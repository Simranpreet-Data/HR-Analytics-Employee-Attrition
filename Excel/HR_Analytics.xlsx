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10f13bcb25057b/Data Analyst Portfolio/HR_Analytics/Excel/"/>
    </mc:Choice>
  </mc:AlternateContent>
  <xr:revisionPtr revIDLastSave="14" documentId="13_ncr:9_{64ECD9CA-5846-44F2-A1D4-F3B6E933235A}" xr6:coauthVersionLast="47" xr6:coauthVersionMax="47" xr10:uidLastSave="{8B9E0B72-570E-4267-80B0-9757562CD9B7}"/>
  <bookViews>
    <workbookView xWindow="-120" yWindow="-120" windowWidth="24240" windowHeight="13740" activeTab="1" xr2:uid="{63B1365E-26E5-4C47-9CB9-16D746C930F0}"/>
  </bookViews>
  <sheets>
    <sheet name="Raw_Data" sheetId="1" r:id="rId1"/>
    <sheet name="Cleaned_Data" sheetId="2" r:id="rId2"/>
    <sheet name="Pivot_Analysis" sheetId="4" r:id="rId3"/>
    <sheet name="Dashboard" sheetId="5" r:id="rId4"/>
  </sheets>
  <definedNames>
    <definedName name="_xlnm._FilterDatabase" localSheetId="1" hidden="1">Cleaned_Data!$A$1:$AI$1471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2" l="1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H13" i="4"/>
  <c r="H12" i="4"/>
  <c r="H11" i="4"/>
  <c r="H9" i="4"/>
  <c r="H8" i="4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2" i="2"/>
  <c r="H10" i="4" l="1"/>
</calcChain>
</file>

<file path=xl/sharedStrings.xml><?xml version="1.0" encoding="utf-8"?>
<sst xmlns="http://schemas.openxmlformats.org/spreadsheetml/2006/main" count="26578" uniqueCount="97">
  <si>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</si>
  <si>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</si>
  <si>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</si>
  <si>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</si>
  <si>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</si>
  <si>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</si>
  <si>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</si>
  <si>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</si>
  <si>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</si>
  <si>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</si>
  <si>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</si>
  <si>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</si>
  <si>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</si>
  <si>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</si>
  <si>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</si>
  <si>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</si>
  <si>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</si>
  <si>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</si>
  <si>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</si>
  <si>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</si>
  <si>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</si>
  <si>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</si>
  <si>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</si>
  <si>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</si>
  <si>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</si>
  <si>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</si>
  <si>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</si>
  <si>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</si>
  <si>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</si>
  <si>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</si>
  <si>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</si>
  <si>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</si>
  <si>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</si>
  <si>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</si>
  <si>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</si>
  <si>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</si>
  <si>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</si>
  <si>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</si>
  <si>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</si>
  <si>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</si>
  <si>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</si>
  <si>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</si>
  <si>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</si>
  <si>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</si>
  <si>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</si>
  <si>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</si>
  <si>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</si>
  <si>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</si>
  <si>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</si>
  <si>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</si>
  <si>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</si>
  <si>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</si>
  <si>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</si>
  <si>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</si>
  <si>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</si>
  <si>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</si>
  <si>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</si>
  <si>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</si>
  <si>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</si>
  <si>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</si>
  <si>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</si>
  <si>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</si>
  <si>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</si>
  <si>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Daily Rate</t>
  </si>
  <si>
    <t>Distance From Home</t>
  </si>
  <si>
    <t>Education Field</t>
  </si>
  <si>
    <t>Environment Satisfaction</t>
  </si>
  <si>
    <t>Job Involvement</t>
  </si>
  <si>
    <t>Job Level</t>
  </si>
  <si>
    <t>Job Role</t>
  </si>
  <si>
    <t>Job Satisfaction</t>
  </si>
  <si>
    <t>Marital Status</t>
  </si>
  <si>
    <t>Monthly Income</t>
  </si>
  <si>
    <t>Num Companies Worked</t>
  </si>
  <si>
    <t>Over Time</t>
  </si>
  <si>
    <t>Percent Salary Hike</t>
  </si>
  <si>
    <t>Performance Rating</t>
  </si>
  <si>
    <t>Relationship Satisfaction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</si>
  <si>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</si>
  <si>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</si>
  <si>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</si>
  <si>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</si>
  <si>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</si>
  <si>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</si>
  <si>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</si>
  <si>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 Manager</t>
  </si>
  <si>
    <t>Age Group</t>
  </si>
  <si>
    <t>Income Group</t>
  </si>
  <si>
    <t>Years At Company Group</t>
  </si>
  <si>
    <t>Grand Total</t>
  </si>
  <si>
    <t>Count of Attrition</t>
  </si>
  <si>
    <t>Calculations</t>
  </si>
  <si>
    <t>26-35</t>
  </si>
  <si>
    <t>18-25</t>
  </si>
  <si>
    <t>36-45</t>
  </si>
  <si>
    <t>46-55</t>
  </si>
  <si>
    <t>56+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</si>
</sst>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123252"/>
      <color rgb="FF1F3A5F"/>
      <color rgb="FF66BB6A"/>
      <color rgb="FF000000"/>
      <color rgb="FFEE7922"/>
      <color rgb="FFF57C00"/>
      <color rgb="FF388E3C"/>
      <color rgb="FF7B1FA2"/>
      <color rgb="FF1976D2"/>
      <color rgb="FF0D47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23252"/>
                </a:solidFill>
              </a:rPr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B1F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208369104295116"/>
          <c:y val="0.18967592592592591"/>
          <c:w val="0.68775283566169776"/>
          <c:h val="0.693086541265675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B1F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Pivot_Analysis!$E$6:$E$15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Human Resources</c:v>
                </c:pt>
                <c:pt idx="5">
                  <c:v>Sales Representative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Laboratory Technician</c:v>
                </c:pt>
              </c:strCache>
            </c:strRef>
          </c:cat>
          <c:val>
            <c:numRef>
              <c:f>Pivot_Analysis!$F$6:$F$15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33</c:v>
                </c:pt>
                <c:pt idx="6">
                  <c:v>47</c:v>
                </c:pt>
                <c:pt idx="7">
                  <c:v>57</c:v>
                </c:pt>
                <c:pt idx="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1-4F69-BA8F-006D37CD0A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3804975"/>
        <c:axId val="1283801615"/>
      </c:barChart>
      <c:catAx>
        <c:axId val="1283804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Job</a:t>
                </a:r>
                <a:r>
                  <a:rPr lang="en-US" b="1" baseline="0"/>
                  <a:t> Role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01615"/>
        <c:crosses val="autoZero"/>
        <c:auto val="1"/>
        <c:lblAlgn val="ctr"/>
        <c:lblOffset val="100"/>
        <c:noMultiLvlLbl val="0"/>
      </c:catAx>
      <c:valAx>
        <c:axId val="128380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Employees</a:t>
                </a:r>
                <a:r>
                  <a:rPr lang="en-US" b="1" baseline="0"/>
                  <a:t> Left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0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23252"/>
                </a:solidFill>
              </a:rPr>
              <a:t>ATTRITION</a:t>
            </a:r>
            <a:r>
              <a:rPr lang="en-US" sz="1800" b="1" baseline="0">
                <a:solidFill>
                  <a:srgbClr val="123252"/>
                </a:solidFill>
              </a:rPr>
              <a:t> BY DEPARTMENT</a:t>
            </a:r>
            <a:endParaRPr lang="en-US" sz="1800" b="1">
              <a:solidFill>
                <a:srgbClr val="12325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Pivot_Analysis!$B$6:$B$9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Pivot_Analysis!$C$6:$C$9</c:f>
              <c:numCache>
                <c:formatCode>General</c:formatCode>
                <c:ptCount val="3"/>
                <c:pt idx="0">
                  <c:v>133</c:v>
                </c:pt>
                <c:pt idx="1">
                  <c:v>92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5-4B18-A058-78BFC6EE68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1236671"/>
        <c:axId val="1481238111"/>
      </c:barChart>
      <c:catAx>
        <c:axId val="148123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38111"/>
        <c:crosses val="autoZero"/>
        <c:auto val="1"/>
        <c:lblAlgn val="ctr"/>
        <c:lblOffset val="100"/>
        <c:noMultiLvlLbl val="0"/>
      </c:catAx>
      <c:valAx>
        <c:axId val="1481238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Employees</a:t>
                </a:r>
                <a:r>
                  <a:rPr lang="en-US" b="1" baseline="0"/>
                  <a:t> Left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3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23252"/>
                </a:solidFill>
              </a:rPr>
              <a:t>ATTRITION</a:t>
            </a:r>
            <a:r>
              <a:rPr lang="en-US" sz="1800" b="1" baseline="0">
                <a:solidFill>
                  <a:srgbClr val="123252"/>
                </a:solidFill>
              </a:rPr>
              <a:t> BY  OVERTIME</a:t>
            </a:r>
            <a:endParaRPr lang="en-US" sz="1800" b="1">
              <a:solidFill>
                <a:srgbClr val="123252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F3A5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029410966491217E-2"/>
              <c:y val="-9.259259259259258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FA15000-ABF5-4102-ABE0-E13BDD25F6FD}" type="PERCENTAGE">
                  <a:rPr lang="en-US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66BB6A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2721667820629709E-3"/>
              <c:y val="2.77777777777777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F083234-330E-4977-B1B1-41EDF1336366}" type="PERCENTAGE">
                  <a:rPr lang="en-US" baseline="0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0767349556554712E-2"/>
                  <c:h val="7.9652960046660837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898077907450684"/>
          <c:y val="0.18302930883639545"/>
          <c:w val="0.47863619812057823"/>
          <c:h val="0.8030818740588096"/>
        </c:manualLayout>
      </c:layout>
      <c:doughnutChart>
        <c:varyColors val="1"/>
        <c:ser>
          <c:idx val="0"/>
          <c:order val="0"/>
          <c:tx>
            <c:strRef>
              <c:f>Pivot_Analysis!$C$22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F3A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C2-4ABD-B34B-6F9A664CDE75}"/>
              </c:ext>
            </c:extLst>
          </c:dPt>
          <c:dPt>
            <c:idx val="1"/>
            <c:bubble3D val="0"/>
            <c:spPr>
              <a:solidFill>
                <a:srgbClr val="66BB6A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C2-4ABD-B34B-6F9A664CDE75}"/>
              </c:ext>
            </c:extLst>
          </c:dPt>
          <c:dLbls>
            <c:dLbl>
              <c:idx val="0"/>
              <c:layout>
                <c:manualLayout>
                  <c:x val="1.1029410966491217E-2"/>
                  <c:y val="-9.259259259259258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FA15000-ABF5-4102-ABE0-E13BDD25F6FD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8C2-4ABD-B34B-6F9A664CDE75}"/>
                </c:ext>
              </c:extLst>
            </c:dLbl>
            <c:dLbl>
              <c:idx val="1"/>
              <c:layout>
                <c:manualLayout>
                  <c:x val="8.2721667820629709E-3"/>
                  <c:y val="2.7777777777777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F083234-330E-4977-B1B1-41EDF1336366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767349556554712E-2"/>
                      <c:h val="7.965296004666083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8C2-4ABD-B34B-6F9A664CDE75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Pivot_Analysis!$B$23:$B$25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Pivot_Analysis!$C$23:$C$25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C2-4ABD-B34B-6F9A664CDE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23252"/>
                </a:solidFill>
              </a:rPr>
              <a:t>ATTRITTION</a:t>
            </a:r>
            <a:r>
              <a:rPr lang="en-US" sz="1800" b="1" baseline="0">
                <a:solidFill>
                  <a:srgbClr val="123252"/>
                </a:solidFill>
              </a:rPr>
              <a:t> BY AGE GROUP</a:t>
            </a:r>
            <a:endParaRPr lang="en-US" sz="1800" b="1">
              <a:solidFill>
                <a:srgbClr val="12325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88E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511984767146787E-2"/>
          <c:y val="0.19019641986735966"/>
          <c:w val="0.87112922738514775"/>
          <c:h val="0.690513640486628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88E3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Pivot_Analysis!$B$14:$B$19</c:f>
              <c:strCache>
                <c:ptCount val="5"/>
                <c:pt idx="0">
                  <c:v>26-35</c:v>
                </c:pt>
                <c:pt idx="1">
                  <c:v>18-25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Pivot_Analysis!$C$14:$C$19</c:f>
              <c:numCache>
                <c:formatCode>General</c:formatCode>
                <c:ptCount val="5"/>
                <c:pt idx="0">
                  <c:v>116</c:v>
                </c:pt>
                <c:pt idx="1">
                  <c:v>44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4-4CC9-8F73-A0ADAFF419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3696911"/>
        <c:axId val="1213697391"/>
      </c:barChart>
      <c:catAx>
        <c:axId val="121369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Age</a:t>
                </a:r>
                <a:r>
                  <a:rPr lang="en-US" b="1" baseline="0"/>
                  <a:t> Group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697391"/>
        <c:crosses val="autoZero"/>
        <c:auto val="1"/>
        <c:lblAlgn val="ctr"/>
        <c:lblOffset val="100"/>
        <c:noMultiLvlLbl val="0"/>
      </c:catAx>
      <c:valAx>
        <c:axId val="1213697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Employees</a:t>
                </a:r>
                <a:r>
                  <a:rPr lang="en-US" b="1" baseline="0"/>
                  <a:t> Left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69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[HR_Analytics.xlsx]Pivot_Analysis!PivotTable5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23252"/>
                </a:solidFill>
              </a:rPr>
              <a:t>ATTRITION</a:t>
            </a:r>
            <a:r>
              <a:rPr lang="en-US" sz="1800" b="1" baseline="0">
                <a:solidFill>
                  <a:srgbClr val="123252"/>
                </a:solidFill>
              </a:rPr>
              <a:t> BY WORK-LIFE-BALANCE</a:t>
            </a:r>
            <a:endParaRPr lang="en-US" sz="1800" b="1">
              <a:solidFill>
                <a:srgbClr val="12325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7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20649702786145E-2"/>
          <c:y val="0.19077259071396513"/>
          <c:w val="0.87625296437519717"/>
          <c:h val="0.685030647794811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Pivot_Analysis!$F$20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Pivot_Analysis!$E$21:$E$25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Pivot_Analysis!$F$21:$F$25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2-4E3C-9A55-FC0C47153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2296831"/>
        <c:axId val="2132297791"/>
      </c:barChart>
      <c:catAx>
        <c:axId val="213229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Work</a:t>
                </a:r>
                <a:r>
                  <a:rPr lang="en-US" b="1" baseline="0"/>
                  <a:t> Life Balance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97791"/>
        <c:crosses val="autoZero"/>
        <c:auto val="1"/>
        <c:lblAlgn val="ctr"/>
        <c:lblOffset val="100"/>
        <c:noMultiLvlLbl val="0"/>
      </c:catAx>
      <c:valAx>
        <c:axId val="2132297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  <a:r>
                  <a:rPr lang="en-US" baseline="0"/>
                  <a:t> Left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9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image" Target="../media/image13.png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chart" Target="../charts/chart2.xml"/><Relationship Id="rId16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5.xml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openxmlformats.org/officeDocument/2006/relationships/image" Target="../media/image14.svg"/><Relationship Id="rId4" Type="http://schemas.openxmlformats.org/officeDocument/2006/relationships/chart" Target="../charts/chart4.xml"/><Relationship Id="rId9" Type="http://schemas.openxmlformats.org/officeDocument/2006/relationships/image" Target="../media/image4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47625</xdr:rowOff>
    </xdr:from>
    <xdr:to>
      <xdr:col>23</xdr:col>
      <xdr:colOff>412750</xdr:colOff>
      <xdr:row>4</xdr:row>
      <xdr:rowOff>74083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744A61E-F251-8913-F9A9-7677F47E49F3}"/>
            </a:ext>
          </a:extLst>
        </xdr:cNvPr>
        <xdr:cNvSpPr/>
      </xdr:nvSpPr>
      <xdr:spPr>
        <a:xfrm>
          <a:off x="76201" y="47625"/>
          <a:ext cx="14454716" cy="788458"/>
        </a:xfrm>
        <a:prstGeom prst="roundRect">
          <a:avLst/>
        </a:prstGeom>
        <a:solidFill>
          <a:srgbClr val="12325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 b="1"/>
            <a:t>                                                     </a:t>
          </a:r>
          <a:r>
            <a:rPr lang="en-US" sz="4400" b="1"/>
            <a:t>HR</a:t>
          </a:r>
          <a:r>
            <a:rPr lang="en-US" sz="4400" b="1" baseline="0"/>
            <a:t> ANALYTICS DASHBOARD</a:t>
          </a:r>
          <a:endParaRPr lang="en-US" sz="4400" b="1"/>
        </a:p>
      </xdr:txBody>
    </xdr:sp>
    <xdr:clientData/>
  </xdr:twoCellAnchor>
  <xdr:twoCellAnchor>
    <xdr:from>
      <xdr:col>0</xdr:col>
      <xdr:colOff>171450</xdr:colOff>
      <xdr:row>5</xdr:row>
      <xdr:rowOff>19050</xdr:rowOff>
    </xdr:from>
    <xdr:to>
      <xdr:col>3</xdr:col>
      <xdr:colOff>514350</xdr:colOff>
      <xdr:row>13</xdr:row>
      <xdr:rowOff>19050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8851D5D-B4B0-1EDC-683B-155757581E16}"/>
            </a:ext>
          </a:extLst>
        </xdr:cNvPr>
        <xdr:cNvSpPr/>
      </xdr:nvSpPr>
      <xdr:spPr>
        <a:xfrm>
          <a:off x="171450" y="971550"/>
          <a:ext cx="2184400" cy="15240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135466</xdr:colOff>
      <xdr:row>5</xdr:row>
      <xdr:rowOff>29633</xdr:rowOff>
    </xdr:from>
    <xdr:to>
      <xdr:col>7</xdr:col>
      <xdr:colOff>482600</xdr:colOff>
      <xdr:row>13</xdr:row>
      <xdr:rowOff>29633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7CB3916-625F-5EAD-08B5-1EB6FA532408}"/>
            </a:ext>
          </a:extLst>
        </xdr:cNvPr>
        <xdr:cNvSpPr/>
      </xdr:nvSpPr>
      <xdr:spPr>
        <a:xfrm>
          <a:off x="2590799" y="982133"/>
          <a:ext cx="2188634" cy="15240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87841</xdr:colOff>
      <xdr:row>5</xdr:row>
      <xdr:rowOff>29634</xdr:rowOff>
    </xdr:from>
    <xdr:to>
      <xdr:col>11</xdr:col>
      <xdr:colOff>434974</xdr:colOff>
      <xdr:row>13</xdr:row>
      <xdr:rowOff>29634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C13BD7F-20A3-978E-8062-558D3EA16EFB}"/>
            </a:ext>
          </a:extLst>
        </xdr:cNvPr>
        <xdr:cNvSpPr/>
      </xdr:nvSpPr>
      <xdr:spPr>
        <a:xfrm>
          <a:off x="4998508" y="982134"/>
          <a:ext cx="2188633" cy="15240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49742</xdr:colOff>
      <xdr:row>5</xdr:row>
      <xdr:rowOff>19050</xdr:rowOff>
    </xdr:from>
    <xdr:to>
      <xdr:col>15</xdr:col>
      <xdr:colOff>396875</xdr:colOff>
      <xdr:row>13</xdr:row>
      <xdr:rowOff>19050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6597B6F-E63A-0558-2322-7BBD64BEA6D9}"/>
            </a:ext>
          </a:extLst>
        </xdr:cNvPr>
        <xdr:cNvSpPr/>
      </xdr:nvSpPr>
      <xdr:spPr>
        <a:xfrm>
          <a:off x="7415742" y="971550"/>
          <a:ext cx="2188633" cy="15240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599017</xdr:colOff>
      <xdr:row>5</xdr:row>
      <xdr:rowOff>19050</xdr:rowOff>
    </xdr:from>
    <xdr:to>
      <xdr:col>19</xdr:col>
      <xdr:colOff>328084</xdr:colOff>
      <xdr:row>13</xdr:row>
      <xdr:rowOff>19050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022FC09-FD40-013A-7308-EAA8BEC50494}"/>
            </a:ext>
          </a:extLst>
        </xdr:cNvPr>
        <xdr:cNvSpPr/>
      </xdr:nvSpPr>
      <xdr:spPr>
        <a:xfrm>
          <a:off x="9806517" y="971550"/>
          <a:ext cx="2184400" cy="15240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535517</xdr:colOff>
      <xdr:row>13</xdr:row>
      <xdr:rowOff>144991</xdr:rowOff>
    </xdr:from>
    <xdr:to>
      <xdr:col>15</xdr:col>
      <xdr:colOff>545042</xdr:colOff>
      <xdr:row>28</xdr:row>
      <xdr:rowOff>30691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23BB0E9-B1B3-49CA-B208-2B6D5409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121708</xdr:colOff>
      <xdr:row>13</xdr:row>
      <xdr:rowOff>142875</xdr:rowOff>
    </xdr:from>
    <xdr:to>
      <xdr:col>7</xdr:col>
      <xdr:colOff>426508</xdr:colOff>
      <xdr:row>28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EC65B8C-743A-4C88-8803-EDAE8DC0F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52917</xdr:colOff>
      <xdr:row>13</xdr:row>
      <xdr:rowOff>146049</xdr:rowOff>
    </xdr:from>
    <xdr:to>
      <xdr:col>23</xdr:col>
      <xdr:colOff>358775</xdr:colOff>
      <xdr:row>28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1854AC9-F832-437A-88FD-6C7BE610F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112184</xdr:colOff>
      <xdr:row>28</xdr:row>
      <xdr:rowOff>150284</xdr:rowOff>
    </xdr:from>
    <xdr:to>
      <xdr:col>7</xdr:col>
      <xdr:colOff>416984</xdr:colOff>
      <xdr:row>43</xdr:row>
      <xdr:rowOff>95250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AA6B361-C78D-4CB8-915F-60324979F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545042</xdr:colOff>
      <xdr:row>28</xdr:row>
      <xdr:rowOff>148165</xdr:rowOff>
    </xdr:from>
    <xdr:to>
      <xdr:col>15</xdr:col>
      <xdr:colOff>529167</xdr:colOff>
      <xdr:row>43</xdr:row>
      <xdr:rowOff>84667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F75820D-427D-409A-B2FE-E6FC5039C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518582</xdr:colOff>
      <xdr:row>41</xdr:row>
      <xdr:rowOff>148166</xdr:rowOff>
    </xdr:from>
    <xdr:to>
      <xdr:col>15</xdr:col>
      <xdr:colOff>402166</xdr:colOff>
      <xdr:row>42</xdr:row>
      <xdr:rowOff>148167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E48A254-36C1-1E77-5377-545C328BEBEC}"/>
            </a:ext>
          </a:extLst>
        </xdr:cNvPr>
        <xdr:cNvSpPr txBox="1"/>
      </xdr:nvSpPr>
      <xdr:spPr>
        <a:xfrm>
          <a:off x="9112249" y="7958666"/>
          <a:ext cx="497417" cy="190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>
              <a:solidFill>
                <a:schemeClr val="bg1">
                  <a:lumMod val="50000"/>
                </a:schemeClr>
              </a:solidFill>
            </a:rPr>
            <a:t>- High</a:t>
          </a:r>
        </a:p>
      </xdr:txBody>
    </xdr:sp>
    <xdr:clientData/>
  </xdr:twoCellAnchor>
  <xdr:twoCellAnchor>
    <xdr:from>
      <xdr:col>9</xdr:col>
      <xdr:colOff>338666</xdr:colOff>
      <xdr:row>41</xdr:row>
      <xdr:rowOff>137583</xdr:rowOff>
    </xdr:from>
    <xdr:to>
      <xdr:col>10</xdr:col>
      <xdr:colOff>211666</xdr:colOff>
      <xdr:row>42</xdr:row>
      <xdr:rowOff>158750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E034CB5-75F6-E41B-B117-BE0B33AAC288}"/>
            </a:ext>
          </a:extLst>
        </xdr:cNvPr>
        <xdr:cNvSpPr txBox="1"/>
      </xdr:nvSpPr>
      <xdr:spPr>
        <a:xfrm>
          <a:off x="5863166" y="7948083"/>
          <a:ext cx="486833" cy="2116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>
              <a:solidFill>
                <a:schemeClr val="bg1">
                  <a:lumMod val="50000"/>
                </a:schemeClr>
              </a:solidFill>
            </a:rPr>
            <a:t>- Low</a:t>
          </a:r>
        </a:p>
      </xdr:txBody>
    </xdr:sp>
    <xdr:clientData/>
  </xdr:twoCellAnchor>
  <xdr:twoCellAnchor editAs="oneCell">
    <xdr:from>
      <xdr:col>6</xdr:col>
      <xdr:colOff>0</xdr:colOff>
      <xdr:row>0</xdr:row>
      <xdr:rowOff>63499</xdr:rowOff>
    </xdr:from>
    <xdr:to>
      <xdr:col>7</xdr:col>
      <xdr:colOff>275167</xdr:colOff>
      <xdr:row>4</xdr:row>
      <xdr:rowOff>190499</xdr:rowOff>
    </xdr:to>
    <xdr:pic>
      <xdr:nvPicPr>
        <xdr:cNvPr id="23" name="Graphic 22" descr="Users with solid fill">
          <a:extLst>
            <a:ext uri="{FF2B5EF4-FFF2-40B4-BE49-F238E27FC236}">
              <a16:creationId xmlns:a16="http://schemas.microsoft.com/office/drawing/2014/main" id="{D1001D9B-7E07-7480-91D3-2CFD2B65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683000" y="63499"/>
          <a:ext cx="889000" cy="889000"/>
        </a:xfrm>
        <a:prstGeom prst="rect">
          <a:avLst/>
        </a:prstGeom>
      </xdr:spPr>
    </xdr:pic>
    <xdr:clientData/>
  </xdr:twoCellAnchor>
  <xdr:twoCellAnchor>
    <xdr:from>
      <xdr:col>19</xdr:col>
      <xdr:colOff>550334</xdr:colOff>
      <xdr:row>5</xdr:row>
      <xdr:rowOff>31750</xdr:rowOff>
    </xdr:from>
    <xdr:to>
      <xdr:col>23</xdr:col>
      <xdr:colOff>279400</xdr:colOff>
      <xdr:row>13</xdr:row>
      <xdr:rowOff>31750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95870A7-6615-4021-A06C-BF93A28768DB}"/>
            </a:ext>
          </a:extLst>
        </xdr:cNvPr>
        <xdr:cNvSpPr/>
      </xdr:nvSpPr>
      <xdr:spPr>
        <a:xfrm>
          <a:off x="12213167" y="984250"/>
          <a:ext cx="2184400" cy="15240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74082</xdr:colOff>
      <xdr:row>9</xdr:row>
      <xdr:rowOff>158751</xdr:rowOff>
    </xdr:from>
    <xdr:to>
      <xdr:col>3</xdr:col>
      <xdr:colOff>31750</xdr:colOff>
      <xdr:row>12</xdr:row>
      <xdr:rowOff>95251</xdr:rowOff>
    </xdr:to>
    <xdr:sp macro="" textlink="Pivot_Analysis!H8">
      <xdr:nvSpPr>
        <xdr:cNvPr id="25" name="TextBox 24">
          <a:extLst>
            <a:ext uri="{FF2B5EF4-FFF2-40B4-BE49-F238E27FC236}">
              <a16:creationId xmlns:a16="http://schemas.microsoft.com/office/drawing/2014/main" id="{F4B0850E-B8AF-F6DD-FAD0-D7A648E64E4F}"/>
            </a:ext>
          </a:extLst>
        </xdr:cNvPr>
        <xdr:cNvSpPr txBox="1"/>
      </xdr:nvSpPr>
      <xdr:spPr>
        <a:xfrm>
          <a:off x="687915" y="1873251"/>
          <a:ext cx="1185335" cy="508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6224C04-45F6-4F20-A80C-48F772DF060F}" type="TxLink">
            <a:rPr lang="en-US" sz="3600" b="1" i="0" u="none" strike="noStrike">
              <a:solidFill>
                <a:srgbClr val="123252"/>
              </a:solidFill>
              <a:latin typeface="Aptos Narrow"/>
            </a:rPr>
            <a:pPr/>
            <a:t>1470</a:t>
          </a:fld>
          <a:endParaRPr lang="en-US" sz="3600" b="1">
            <a:solidFill>
              <a:srgbClr val="123252"/>
            </a:solidFill>
          </a:endParaRPr>
        </a:p>
      </xdr:txBody>
    </xdr:sp>
    <xdr:clientData/>
  </xdr:twoCellAnchor>
  <xdr:twoCellAnchor>
    <xdr:from>
      <xdr:col>5</xdr:col>
      <xdr:colOff>105834</xdr:colOff>
      <xdr:row>9</xdr:row>
      <xdr:rowOff>179917</xdr:rowOff>
    </xdr:from>
    <xdr:to>
      <xdr:col>7</xdr:col>
      <xdr:colOff>74083</xdr:colOff>
      <xdr:row>12</xdr:row>
      <xdr:rowOff>169333</xdr:rowOff>
    </xdr:to>
    <xdr:sp macro="" textlink="Pivot_Analysis!H9">
      <xdr:nvSpPr>
        <xdr:cNvPr id="26" name="TextBox 25">
          <a:extLst>
            <a:ext uri="{FF2B5EF4-FFF2-40B4-BE49-F238E27FC236}">
              <a16:creationId xmlns:a16="http://schemas.microsoft.com/office/drawing/2014/main" id="{5B4EF6E9-4E5C-E842-4981-A39AF94AFBC4}"/>
            </a:ext>
          </a:extLst>
        </xdr:cNvPr>
        <xdr:cNvSpPr txBox="1"/>
      </xdr:nvSpPr>
      <xdr:spPr>
        <a:xfrm>
          <a:off x="3175001" y="1894417"/>
          <a:ext cx="1195915" cy="5609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70E7D4-0607-4970-B891-1B1D580A8C8B}" type="TxLink">
            <a:rPr lang="en-US" sz="3600" b="1" i="0" u="none" strike="noStrike">
              <a:solidFill>
                <a:srgbClr val="123252"/>
              </a:solidFill>
              <a:latin typeface="Aptos Narrow"/>
            </a:rPr>
            <a:pPr/>
            <a:t>237</a:t>
          </a:fld>
          <a:endParaRPr lang="en-US" sz="3600" b="1">
            <a:solidFill>
              <a:srgbClr val="123252"/>
            </a:solidFill>
          </a:endParaRPr>
        </a:p>
      </xdr:txBody>
    </xdr:sp>
    <xdr:clientData/>
  </xdr:twoCellAnchor>
  <xdr:twoCellAnchor>
    <xdr:from>
      <xdr:col>8</xdr:col>
      <xdr:colOff>508001</xdr:colOff>
      <xdr:row>9</xdr:row>
      <xdr:rowOff>179917</xdr:rowOff>
    </xdr:from>
    <xdr:to>
      <xdr:col>11</xdr:col>
      <xdr:colOff>31749</xdr:colOff>
      <xdr:row>12</xdr:row>
      <xdr:rowOff>127001</xdr:rowOff>
    </xdr:to>
    <xdr:sp macro="" textlink="Pivot_Analysis!H10">
      <xdr:nvSpPr>
        <xdr:cNvPr id="27" name="TextBox 26">
          <a:extLst>
            <a:ext uri="{FF2B5EF4-FFF2-40B4-BE49-F238E27FC236}">
              <a16:creationId xmlns:a16="http://schemas.microsoft.com/office/drawing/2014/main" id="{731A1B10-6960-636F-F22B-852E7E46786B}"/>
            </a:ext>
          </a:extLst>
        </xdr:cNvPr>
        <xdr:cNvSpPr txBox="1"/>
      </xdr:nvSpPr>
      <xdr:spPr>
        <a:xfrm>
          <a:off x="5418668" y="1894417"/>
          <a:ext cx="1365248" cy="5185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F6D3408-39BD-41D7-9698-38EDB9BBB536}" type="TxLink">
            <a:rPr lang="en-US" sz="3600" b="1" i="0" u="none" strike="noStrike">
              <a:solidFill>
                <a:srgbClr val="123252"/>
              </a:solidFill>
              <a:latin typeface="Aptos Narrow"/>
            </a:rPr>
            <a:pPr/>
            <a:t>16.1%</a:t>
          </a:fld>
          <a:endParaRPr lang="en-US" sz="3600" b="1">
            <a:solidFill>
              <a:srgbClr val="123252"/>
            </a:solidFill>
          </a:endParaRPr>
        </a:p>
      </xdr:txBody>
    </xdr:sp>
    <xdr:clientData/>
  </xdr:twoCellAnchor>
  <xdr:twoCellAnchor>
    <xdr:from>
      <xdr:col>12</xdr:col>
      <xdr:colOff>370416</xdr:colOff>
      <xdr:row>10</xdr:row>
      <xdr:rowOff>1</xdr:rowOff>
    </xdr:from>
    <xdr:to>
      <xdr:col>15</xdr:col>
      <xdr:colOff>21166</xdr:colOff>
      <xdr:row>12</xdr:row>
      <xdr:rowOff>148167</xdr:rowOff>
    </xdr:to>
    <xdr:sp macro="" textlink="Pivot_Analysis!H11">
      <xdr:nvSpPr>
        <xdr:cNvPr id="28" name="TextBox 27">
          <a:extLst>
            <a:ext uri="{FF2B5EF4-FFF2-40B4-BE49-F238E27FC236}">
              <a16:creationId xmlns:a16="http://schemas.microsoft.com/office/drawing/2014/main" id="{714EE994-8BD8-0175-1110-9C564C9D48F9}"/>
            </a:ext>
          </a:extLst>
        </xdr:cNvPr>
        <xdr:cNvSpPr txBox="1"/>
      </xdr:nvSpPr>
      <xdr:spPr>
        <a:xfrm>
          <a:off x="7736416" y="1905001"/>
          <a:ext cx="1492250" cy="5291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ACB31E7-F2F0-488F-A607-C87A0B73B77F}" type="TxLink">
            <a:rPr lang="en-US" sz="3600" b="1" i="0" u="none" strike="noStrike">
              <a:solidFill>
                <a:srgbClr val="123252"/>
              </a:solidFill>
              <a:latin typeface="Aptos Narrow"/>
            </a:rPr>
            <a:pPr/>
            <a:t>$6,503</a:t>
          </a:fld>
          <a:endParaRPr lang="en-US" sz="3600" b="1">
            <a:solidFill>
              <a:srgbClr val="123252"/>
            </a:solidFill>
          </a:endParaRPr>
        </a:p>
      </xdr:txBody>
    </xdr:sp>
    <xdr:clientData/>
  </xdr:twoCellAnchor>
  <xdr:twoCellAnchor>
    <xdr:from>
      <xdr:col>16</xdr:col>
      <xdr:colOff>328083</xdr:colOff>
      <xdr:row>10</xdr:row>
      <xdr:rowOff>10584</xdr:rowOff>
    </xdr:from>
    <xdr:to>
      <xdr:col>17</xdr:col>
      <xdr:colOff>508000</xdr:colOff>
      <xdr:row>12</xdr:row>
      <xdr:rowOff>116416</xdr:rowOff>
    </xdr:to>
    <xdr:sp macro="" textlink="Pivot_Analysis!H12">
      <xdr:nvSpPr>
        <xdr:cNvPr id="29" name="TextBox 28">
          <a:extLst>
            <a:ext uri="{FF2B5EF4-FFF2-40B4-BE49-F238E27FC236}">
              <a16:creationId xmlns:a16="http://schemas.microsoft.com/office/drawing/2014/main" id="{E8598C1D-716A-DB16-4ECA-8334F653B117}"/>
            </a:ext>
          </a:extLst>
        </xdr:cNvPr>
        <xdr:cNvSpPr txBox="1"/>
      </xdr:nvSpPr>
      <xdr:spPr>
        <a:xfrm>
          <a:off x="10149416" y="1915584"/>
          <a:ext cx="793751" cy="4868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51E511-9B88-48F3-BC67-AFFC8DEDF616}" type="TxLink">
            <a:rPr lang="en-US" sz="3600" b="1" i="0" u="none" strike="noStrike">
              <a:solidFill>
                <a:srgbClr val="123252"/>
              </a:solidFill>
              <a:latin typeface="Aptos Narrow"/>
            </a:rPr>
            <a:pPr/>
            <a:t>7.0</a:t>
          </a:fld>
          <a:endParaRPr lang="en-US" sz="3600" b="1">
            <a:solidFill>
              <a:srgbClr val="123252"/>
            </a:solidFill>
          </a:endParaRPr>
        </a:p>
      </xdr:txBody>
    </xdr:sp>
    <xdr:clientData/>
  </xdr:twoCellAnchor>
  <xdr:twoCellAnchor>
    <xdr:from>
      <xdr:col>20</xdr:col>
      <xdr:colOff>211666</xdr:colOff>
      <xdr:row>10</xdr:row>
      <xdr:rowOff>21167</xdr:rowOff>
    </xdr:from>
    <xdr:to>
      <xdr:col>22</xdr:col>
      <xdr:colOff>158750</xdr:colOff>
      <xdr:row>12</xdr:row>
      <xdr:rowOff>148166</xdr:rowOff>
    </xdr:to>
    <xdr:sp macro="" textlink="Pivot_Analysis!H13">
      <xdr:nvSpPr>
        <xdr:cNvPr id="30" name="TextBox 29">
          <a:extLst>
            <a:ext uri="{FF2B5EF4-FFF2-40B4-BE49-F238E27FC236}">
              <a16:creationId xmlns:a16="http://schemas.microsoft.com/office/drawing/2014/main" id="{20F71258-A0F1-62A6-57C3-6219CE0781C2}"/>
            </a:ext>
          </a:extLst>
        </xdr:cNvPr>
        <xdr:cNvSpPr txBox="1"/>
      </xdr:nvSpPr>
      <xdr:spPr>
        <a:xfrm>
          <a:off x="12488333" y="1926167"/>
          <a:ext cx="1174750" cy="507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6AE8A7-F130-4EAA-AF41-580A3E6E5C06}" type="TxLink">
            <a:rPr lang="en-US" sz="3600" b="1" i="0" u="none" strike="noStrike">
              <a:solidFill>
                <a:srgbClr val="123252"/>
              </a:solidFill>
              <a:latin typeface="Aptos Narrow"/>
            </a:rPr>
            <a:pPr/>
            <a:t>2.2</a:t>
          </a:fld>
          <a:endParaRPr lang="en-US" sz="3600" b="1">
            <a:solidFill>
              <a:srgbClr val="123252"/>
            </a:solidFill>
          </a:endParaRPr>
        </a:p>
      </xdr:txBody>
    </xdr:sp>
    <xdr:clientData/>
  </xdr:twoCellAnchor>
  <xdr:twoCellAnchor editAs="oneCell">
    <xdr:from>
      <xdr:col>1</xdr:col>
      <xdr:colOff>277284</xdr:colOff>
      <xdr:row>5</xdr:row>
      <xdr:rowOff>8467</xdr:rowOff>
    </xdr:from>
    <xdr:to>
      <xdr:col>2</xdr:col>
      <xdr:colOff>402167</xdr:colOff>
      <xdr:row>8</xdr:row>
      <xdr:rowOff>175684</xdr:rowOff>
    </xdr:to>
    <xdr:pic>
      <xdr:nvPicPr>
        <xdr:cNvPr id="31" name="Graphic 30" descr="Users with solid fill">
          <a:extLst>
            <a:ext uri="{FF2B5EF4-FFF2-40B4-BE49-F238E27FC236}">
              <a16:creationId xmlns:a16="http://schemas.microsoft.com/office/drawing/2014/main" id="{A26D199B-BD08-4781-B114-3BEE4F9A1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91117" y="960967"/>
          <a:ext cx="738717" cy="738717"/>
        </a:xfrm>
        <a:prstGeom prst="rect">
          <a:avLst/>
        </a:prstGeom>
      </xdr:spPr>
    </xdr:pic>
    <xdr:clientData/>
  </xdr:twoCellAnchor>
  <xdr:twoCellAnchor editAs="oneCell">
    <xdr:from>
      <xdr:col>9</xdr:col>
      <xdr:colOff>275166</xdr:colOff>
      <xdr:row>5</xdr:row>
      <xdr:rowOff>63500</xdr:rowOff>
    </xdr:from>
    <xdr:to>
      <xdr:col>10</xdr:col>
      <xdr:colOff>232833</xdr:colOff>
      <xdr:row>8</xdr:row>
      <xdr:rowOff>63500</xdr:rowOff>
    </xdr:to>
    <xdr:pic>
      <xdr:nvPicPr>
        <xdr:cNvPr id="39" name="Graphic 38" descr="Bar graph with downward trend with solid fill">
          <a:extLst>
            <a:ext uri="{FF2B5EF4-FFF2-40B4-BE49-F238E27FC236}">
              <a16:creationId xmlns:a16="http://schemas.microsoft.com/office/drawing/2014/main" id="{2B1049AC-7058-DF44-546D-ADB1A243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799666" y="10160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116416</xdr:colOff>
      <xdr:row>5</xdr:row>
      <xdr:rowOff>52917</xdr:rowOff>
    </xdr:from>
    <xdr:to>
      <xdr:col>14</xdr:col>
      <xdr:colOff>105833</xdr:colOff>
      <xdr:row>8</xdr:row>
      <xdr:rowOff>84668</xdr:rowOff>
    </xdr:to>
    <xdr:pic>
      <xdr:nvPicPr>
        <xdr:cNvPr id="41" name="Graphic 40" descr="Money with solid fill">
          <a:extLst>
            <a:ext uri="{FF2B5EF4-FFF2-40B4-BE49-F238E27FC236}">
              <a16:creationId xmlns:a16="http://schemas.microsoft.com/office/drawing/2014/main" id="{96CB6EA2-5736-3D06-A15C-B2DA3AA0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096249" y="1005417"/>
          <a:ext cx="603251" cy="603251"/>
        </a:xfrm>
        <a:prstGeom prst="rect">
          <a:avLst/>
        </a:prstGeom>
      </xdr:spPr>
    </xdr:pic>
    <xdr:clientData/>
  </xdr:twoCellAnchor>
  <xdr:twoCellAnchor editAs="oneCell">
    <xdr:from>
      <xdr:col>5</xdr:col>
      <xdr:colOff>402165</xdr:colOff>
      <xdr:row>5</xdr:row>
      <xdr:rowOff>63499</xdr:rowOff>
    </xdr:from>
    <xdr:to>
      <xdr:col>6</xdr:col>
      <xdr:colOff>349249</xdr:colOff>
      <xdr:row>8</xdr:row>
      <xdr:rowOff>52916</xdr:rowOff>
    </xdr:to>
    <xdr:pic>
      <xdr:nvPicPr>
        <xdr:cNvPr id="43" name="Graphic 42" descr="Exit with solid fill">
          <a:extLst>
            <a:ext uri="{FF2B5EF4-FFF2-40B4-BE49-F238E27FC236}">
              <a16:creationId xmlns:a16="http://schemas.microsoft.com/office/drawing/2014/main" id="{D8355D38-07A7-C34C-CBAE-F084A5700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471332" y="1015999"/>
          <a:ext cx="560917" cy="560917"/>
        </a:xfrm>
        <a:prstGeom prst="rect">
          <a:avLst/>
        </a:prstGeom>
      </xdr:spPr>
    </xdr:pic>
    <xdr:clientData/>
  </xdr:twoCellAnchor>
  <xdr:twoCellAnchor editAs="oneCell">
    <xdr:from>
      <xdr:col>17</xdr:col>
      <xdr:colOff>126999</xdr:colOff>
      <xdr:row>5</xdr:row>
      <xdr:rowOff>21168</xdr:rowOff>
    </xdr:from>
    <xdr:to>
      <xdr:col>18</xdr:col>
      <xdr:colOff>116416</xdr:colOff>
      <xdr:row>8</xdr:row>
      <xdr:rowOff>52918</xdr:rowOff>
    </xdr:to>
    <xdr:pic>
      <xdr:nvPicPr>
        <xdr:cNvPr id="45" name="Graphic 44" descr="City with solid fill">
          <a:extLst>
            <a:ext uri="{FF2B5EF4-FFF2-40B4-BE49-F238E27FC236}">
              <a16:creationId xmlns:a16="http://schemas.microsoft.com/office/drawing/2014/main" id="{3F4B6757-6E68-D107-DEA1-9E138C44A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0562166" y="973668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21</xdr:col>
      <xdr:colOff>74083</xdr:colOff>
      <xdr:row>5</xdr:row>
      <xdr:rowOff>31750</xdr:rowOff>
    </xdr:from>
    <xdr:to>
      <xdr:col>22</xdr:col>
      <xdr:colOff>21167</xdr:colOff>
      <xdr:row>8</xdr:row>
      <xdr:rowOff>21167</xdr:rowOff>
    </xdr:to>
    <xdr:pic>
      <xdr:nvPicPr>
        <xdr:cNvPr id="47" name="Graphic 46" descr="Trophy with solid fill">
          <a:extLst>
            <a:ext uri="{FF2B5EF4-FFF2-40B4-BE49-F238E27FC236}">
              <a16:creationId xmlns:a16="http://schemas.microsoft.com/office/drawing/2014/main" id="{4B0A60DE-54EB-195F-D587-0811300F9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2964583" y="984250"/>
          <a:ext cx="560917" cy="560917"/>
        </a:xfrm>
        <a:prstGeom prst="rect">
          <a:avLst/>
        </a:prstGeom>
      </xdr:spPr>
    </xdr:pic>
    <xdr:clientData/>
  </xdr:twoCellAnchor>
  <xdr:twoCellAnchor>
    <xdr:from>
      <xdr:col>16</xdr:col>
      <xdr:colOff>63501</xdr:colOff>
      <xdr:row>28</xdr:row>
      <xdr:rowOff>148166</xdr:rowOff>
    </xdr:from>
    <xdr:to>
      <xdr:col>23</xdr:col>
      <xdr:colOff>359833</xdr:colOff>
      <xdr:row>43</xdr:row>
      <xdr:rowOff>95250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5A3A98E-7A3D-C8AC-99F7-7EEA0E3E0AFA}"/>
            </a:ext>
          </a:extLst>
        </xdr:cNvPr>
        <xdr:cNvSpPr txBox="1"/>
      </xdr:nvSpPr>
      <xdr:spPr>
        <a:xfrm>
          <a:off x="9884834" y="5482166"/>
          <a:ext cx="4593166" cy="28045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123252"/>
              </a:solidFill>
            </a:rPr>
            <a:t>                                  </a:t>
          </a:r>
          <a:r>
            <a:rPr lang="en-US" sz="2000" b="1">
              <a:solidFill>
                <a:srgbClr val="123252"/>
              </a:solidFill>
            </a:rPr>
            <a:t>KEY</a:t>
          </a:r>
          <a:r>
            <a:rPr lang="en-US" sz="2000" b="1" baseline="0">
              <a:solidFill>
                <a:srgbClr val="123252"/>
              </a:solidFill>
            </a:rPr>
            <a:t> INSIGHTS</a:t>
          </a:r>
          <a:endParaRPr lang="en-US" sz="2000" b="1">
            <a:solidFill>
              <a:srgbClr val="123252"/>
            </a:solidFill>
          </a:endParaRPr>
        </a:p>
        <a:p>
          <a:endParaRPr lang="en-US" sz="1100"/>
        </a:p>
        <a:p>
          <a:r>
            <a:rPr lang="en-US" sz="1400">
              <a:solidFill>
                <a:srgbClr val="123252"/>
              </a:solidFill>
            </a:rPr>
            <a:t>• Research &amp; Development recorded the highest number of  </a:t>
          </a:r>
        </a:p>
        <a:p>
          <a:r>
            <a:rPr lang="en-US" sz="1400">
              <a:solidFill>
                <a:srgbClr val="123252"/>
              </a:solidFill>
            </a:rPr>
            <a:t>   employee exits.</a:t>
          </a:r>
        </a:p>
        <a:p>
          <a:r>
            <a:rPr lang="en-US" sz="1400">
              <a:solidFill>
                <a:srgbClr val="123252"/>
              </a:solidFill>
            </a:rPr>
            <a:t>• Most employees who</a:t>
          </a:r>
          <a:r>
            <a:rPr lang="en-US" sz="1400" baseline="0">
              <a:solidFill>
                <a:srgbClr val="123252"/>
              </a:solidFill>
            </a:rPr>
            <a:t> left the company were working </a:t>
          </a:r>
        </a:p>
        <a:p>
          <a:r>
            <a:rPr lang="en-US" sz="1400" baseline="0">
              <a:solidFill>
                <a:srgbClr val="123252"/>
              </a:solidFill>
            </a:rPr>
            <a:t>   </a:t>
          </a:r>
          <a:r>
            <a:rPr lang="en-US" sz="1400">
              <a:solidFill>
                <a:srgbClr val="123252"/>
              </a:solidFill>
            </a:rPr>
            <a:t>overtime.</a:t>
          </a:r>
        </a:p>
        <a:p>
          <a:r>
            <a:rPr lang="en-US" sz="1400">
              <a:solidFill>
                <a:srgbClr val="123252"/>
              </a:solidFill>
            </a:rPr>
            <a:t>• Employees under the age of 30 </a:t>
          </a:r>
          <a:r>
            <a:rPr lang="en-US" sz="1400">
              <a:solidFill>
                <a:srgbClr val="123252"/>
              </a:solidFill>
              <a:effectLst/>
              <a:latin typeface="+mn-lt"/>
              <a:ea typeface="+mn-ea"/>
              <a:cs typeface="+mn-cs"/>
            </a:rPr>
            <a:t>account for</a:t>
          </a:r>
          <a:endParaRPr lang="en-US" sz="1400">
            <a:solidFill>
              <a:srgbClr val="123252"/>
            </a:solidFill>
            <a:effectLst/>
          </a:endParaRPr>
        </a:p>
        <a:p>
          <a:r>
            <a:rPr lang="en-US" sz="1400" baseline="0">
              <a:solidFill>
                <a:srgbClr val="123252"/>
              </a:solidFill>
              <a:effectLst/>
              <a:latin typeface="+mn-lt"/>
              <a:ea typeface="+mn-ea"/>
              <a:cs typeface="+mn-cs"/>
            </a:rPr>
            <a:t>   the</a:t>
          </a:r>
          <a:r>
            <a:rPr lang="en-US" sz="1400">
              <a:solidFill>
                <a:srgbClr val="123252"/>
              </a:solidFill>
              <a:effectLst/>
              <a:latin typeface="+mn-lt"/>
              <a:ea typeface="+mn-ea"/>
              <a:cs typeface="+mn-cs"/>
            </a:rPr>
            <a:t> largest number</a:t>
          </a:r>
          <a:r>
            <a:rPr lang="en-US" sz="1400" baseline="0">
              <a:solidFill>
                <a:srgbClr val="123252"/>
              </a:solidFill>
              <a:effectLst/>
              <a:latin typeface="+mn-lt"/>
              <a:ea typeface="+mn-ea"/>
              <a:cs typeface="+mn-cs"/>
            </a:rPr>
            <a:t> of employee exists</a:t>
          </a:r>
          <a:r>
            <a:rPr lang="en-US" sz="1400">
              <a:solidFill>
                <a:srgbClr val="123252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400">
            <a:solidFill>
              <a:srgbClr val="123252"/>
            </a:solidFill>
          </a:endParaRPr>
        </a:p>
        <a:p>
          <a:r>
            <a:rPr lang="en-US" sz="1400">
              <a:solidFill>
                <a:srgbClr val="123252"/>
              </a:solidFill>
            </a:rPr>
            <a:t>• Employees with a Work-Life Balance rating of 3 account for</a:t>
          </a:r>
        </a:p>
        <a:p>
          <a:r>
            <a:rPr lang="en-US" sz="1400" baseline="0">
              <a:solidFill>
                <a:srgbClr val="123252"/>
              </a:solidFill>
            </a:rPr>
            <a:t>   the</a:t>
          </a:r>
          <a:r>
            <a:rPr lang="en-US" sz="1400">
              <a:solidFill>
                <a:srgbClr val="123252"/>
              </a:solidFill>
            </a:rPr>
            <a:t> highest number</a:t>
          </a:r>
          <a:r>
            <a:rPr lang="en-US" sz="1400" baseline="0">
              <a:solidFill>
                <a:srgbClr val="123252"/>
              </a:solidFill>
            </a:rPr>
            <a:t> of employee exists</a:t>
          </a:r>
          <a:r>
            <a:rPr lang="en-US" sz="1400">
              <a:solidFill>
                <a:srgbClr val="123252"/>
              </a:solidFill>
            </a:rPr>
            <a:t>.</a:t>
          </a:r>
        </a:p>
        <a:p>
          <a:r>
            <a:rPr lang="en-US" sz="1400">
              <a:solidFill>
                <a:srgbClr val="123252"/>
              </a:solidFill>
            </a:rPr>
            <a:t>• Laboratory Technicians and Sales Executives have the</a:t>
          </a:r>
        </a:p>
        <a:p>
          <a:r>
            <a:rPr lang="en-US" sz="1400">
              <a:solidFill>
                <a:srgbClr val="123252"/>
              </a:solidFill>
            </a:rPr>
            <a:t>   highest employee attrition among all job roles</a:t>
          </a:r>
          <a:r>
            <a:rPr lang="en-US" sz="1200">
              <a:solidFill>
                <a:srgbClr val="123252"/>
              </a:solidFill>
            </a:rPr>
            <a:t>.</a:t>
          </a:r>
        </a:p>
      </xdr:txBody>
    </xdr:sp>
    <xdr:clientData/>
  </xdr:twoCellAnchor>
  <xdr:twoCellAnchor>
    <xdr:from>
      <xdr:col>0</xdr:col>
      <xdr:colOff>529166</xdr:colOff>
      <xdr:row>8</xdr:row>
      <xdr:rowOff>84667</xdr:rowOff>
    </xdr:from>
    <xdr:to>
      <xdr:col>3</xdr:col>
      <xdr:colOff>328083</xdr:colOff>
      <xdr:row>10</xdr:row>
      <xdr:rowOff>42333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002F212-FDEA-CC60-61FB-26F99F5B88C9}"/>
            </a:ext>
          </a:extLst>
        </xdr:cNvPr>
        <xdr:cNvSpPr txBox="1"/>
      </xdr:nvSpPr>
      <xdr:spPr>
        <a:xfrm>
          <a:off x="529166" y="1608667"/>
          <a:ext cx="1640417" cy="33866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>
                  <a:lumMod val="50000"/>
                </a:schemeClr>
              </a:solidFill>
            </a:rPr>
            <a:t>TOTAL</a:t>
          </a: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chemeClr val="bg1">
                  <a:lumMod val="50000"/>
                </a:schemeClr>
              </a:solidFill>
            </a:rPr>
            <a:t>EMPLOYEES</a:t>
          </a:r>
        </a:p>
      </xdr:txBody>
    </xdr:sp>
    <xdr:clientData/>
  </xdr:twoCellAnchor>
  <xdr:twoCellAnchor>
    <xdr:from>
      <xdr:col>4</xdr:col>
      <xdr:colOff>455083</xdr:colOff>
      <xdr:row>8</xdr:row>
      <xdr:rowOff>84667</xdr:rowOff>
    </xdr:from>
    <xdr:to>
      <xdr:col>7</xdr:col>
      <xdr:colOff>254000</xdr:colOff>
      <xdr:row>10</xdr:row>
      <xdr:rowOff>42333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DCB58A8-AA28-4ACE-F2EE-523F686EFEAF}"/>
            </a:ext>
          </a:extLst>
        </xdr:cNvPr>
        <xdr:cNvSpPr txBox="1"/>
      </xdr:nvSpPr>
      <xdr:spPr>
        <a:xfrm>
          <a:off x="2910416" y="1608667"/>
          <a:ext cx="1640417" cy="33866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chemeClr val="bg1">
                  <a:lumMod val="50000"/>
                </a:schemeClr>
              </a:solidFill>
            </a:rPr>
            <a:t>EMPLOYEES LEFT</a:t>
          </a:r>
        </a:p>
      </xdr:txBody>
    </xdr:sp>
    <xdr:clientData/>
  </xdr:twoCellAnchor>
  <xdr:twoCellAnchor>
    <xdr:from>
      <xdr:col>8</xdr:col>
      <xdr:colOff>486833</xdr:colOff>
      <xdr:row>8</xdr:row>
      <xdr:rowOff>95250</xdr:rowOff>
    </xdr:from>
    <xdr:to>
      <xdr:col>11</xdr:col>
      <xdr:colOff>285750</xdr:colOff>
      <xdr:row>10</xdr:row>
      <xdr:rowOff>52916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F3BF27-FE17-5E01-2FDB-B55B33DC49A9}"/>
            </a:ext>
          </a:extLst>
        </xdr:cNvPr>
        <xdr:cNvSpPr txBox="1"/>
      </xdr:nvSpPr>
      <xdr:spPr>
        <a:xfrm>
          <a:off x="5397500" y="1619250"/>
          <a:ext cx="1640417" cy="33866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>
                  <a:lumMod val="50000"/>
                </a:schemeClr>
              </a:solidFill>
            </a:rPr>
            <a:t>ATTRITION</a:t>
          </a: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 RATE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158751</xdr:colOff>
      <xdr:row>8</xdr:row>
      <xdr:rowOff>95251</xdr:rowOff>
    </xdr:from>
    <xdr:to>
      <xdr:col>15</xdr:col>
      <xdr:colOff>306917</xdr:colOff>
      <xdr:row>10</xdr:row>
      <xdr:rowOff>42334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2FA84D-DE1D-8932-9E15-3771B7DAA0DF}"/>
            </a:ext>
          </a:extLst>
        </xdr:cNvPr>
        <xdr:cNvSpPr txBox="1"/>
      </xdr:nvSpPr>
      <xdr:spPr>
        <a:xfrm>
          <a:off x="7524751" y="1619251"/>
          <a:ext cx="1989666" cy="32808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>
                  <a:lumMod val="50000"/>
                </a:schemeClr>
              </a:solidFill>
            </a:rPr>
            <a:t>AVG</a:t>
          </a: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 MONTHLY INCOME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84668</xdr:colOff>
      <xdr:row>8</xdr:row>
      <xdr:rowOff>84669</xdr:rowOff>
    </xdr:from>
    <xdr:to>
      <xdr:col>19</xdr:col>
      <xdr:colOff>275168</xdr:colOff>
      <xdr:row>10</xdr:row>
      <xdr:rowOff>10585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2B75A77-581C-2937-52BD-6F3DE8B1B149}"/>
            </a:ext>
          </a:extLst>
        </xdr:cNvPr>
        <xdr:cNvSpPr txBox="1"/>
      </xdr:nvSpPr>
      <xdr:spPr>
        <a:xfrm>
          <a:off x="9906001" y="1608669"/>
          <a:ext cx="2032000" cy="30691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>
                  <a:lumMod val="50000"/>
                </a:schemeClr>
              </a:solidFill>
            </a:rPr>
            <a:t>AVG</a:t>
          </a: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 YEARS AT COMPANY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84668</xdr:colOff>
      <xdr:row>8</xdr:row>
      <xdr:rowOff>10584</xdr:rowOff>
    </xdr:from>
    <xdr:to>
      <xdr:col>23</xdr:col>
      <xdr:colOff>169333</xdr:colOff>
      <xdr:row>11</xdr:row>
      <xdr:rowOff>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A30DEB1-ADA2-2FBA-F169-C2512DB11767}"/>
            </a:ext>
          </a:extLst>
        </xdr:cNvPr>
        <xdr:cNvSpPr txBox="1"/>
      </xdr:nvSpPr>
      <xdr:spPr>
        <a:xfrm>
          <a:off x="12361335" y="1534584"/>
          <a:ext cx="1926165" cy="56091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>
                  <a:lumMod val="50000"/>
                </a:schemeClr>
              </a:solidFill>
            </a:rPr>
            <a:t>AVG</a:t>
          </a: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 YEARS SINCE LAST  </a:t>
          </a:r>
        </a:p>
        <a:p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            PROMOTION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296334</xdr:colOff>
      <xdr:row>11</xdr:row>
      <xdr:rowOff>31749</xdr:rowOff>
    </xdr:from>
    <xdr:to>
      <xdr:col>22</xdr:col>
      <xdr:colOff>497418</xdr:colOff>
      <xdr:row>12</xdr:row>
      <xdr:rowOff>158750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A0002C8-655F-9549-03D4-A78DF0DCF277}"/>
            </a:ext>
          </a:extLst>
        </xdr:cNvPr>
        <xdr:cNvSpPr txBox="1"/>
      </xdr:nvSpPr>
      <xdr:spPr>
        <a:xfrm>
          <a:off x="13186834" y="2127249"/>
          <a:ext cx="814917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rgbClr val="123252"/>
              </a:solidFill>
            </a:rPr>
            <a:t>Years</a:t>
          </a:r>
        </a:p>
      </xdr:txBody>
    </xdr:sp>
    <xdr:clientData/>
  </xdr:twoCellAnchor>
  <xdr:twoCellAnchor>
    <xdr:from>
      <xdr:col>17</xdr:col>
      <xdr:colOff>423332</xdr:colOff>
      <xdr:row>10</xdr:row>
      <xdr:rowOff>190499</xdr:rowOff>
    </xdr:from>
    <xdr:to>
      <xdr:col>19</xdr:col>
      <xdr:colOff>31750</xdr:colOff>
      <xdr:row>12</xdr:row>
      <xdr:rowOff>137583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AD3AB03-331E-EBD5-3958-E69D80E0F2AE}"/>
            </a:ext>
          </a:extLst>
        </xdr:cNvPr>
        <xdr:cNvSpPr txBox="1"/>
      </xdr:nvSpPr>
      <xdr:spPr>
        <a:xfrm>
          <a:off x="10858499" y="2095499"/>
          <a:ext cx="836084" cy="3280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rgbClr val="123252"/>
              </a:solidFill>
            </a:rPr>
            <a:t>Years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0.28332</cdr:x>
      <cdr:y>0.39815</cdr:y>
    </cdr:from>
    <cdr:to>
      <cdr:x>0.34536</cdr:x>
      <cdr:y>0.54089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C7AE6EC-3720-53B7-59E0-18CC861D8773}"/>
            </a:ext>
          </a:extLst>
        </cdr:cNvPr>
        <cdr:cNvSpPr txBox="1"/>
      </cdr:nvSpPr>
      <cdr:spPr>
        <a:xfrm xmlns:a="http://schemas.openxmlformats.org/drawingml/2006/main">
          <a:off x="1304925" y="1092200"/>
          <a:ext cx="285750" cy="391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0.24426</cdr:x>
      <cdr:y>0.4946</cdr:y>
    </cdr:from>
    <cdr:to>
      <cdr:x>0.33847</cdr:x>
      <cdr:y>0.5679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1B7599B-EE13-6038-68FB-202FE431D91B}"/>
            </a:ext>
          </a:extLst>
        </cdr:cNvPr>
        <cdr:cNvSpPr txBox="1"/>
      </cdr:nvSpPr>
      <cdr:spPr>
        <a:xfrm xmlns:a="http://schemas.openxmlformats.org/drawingml/2006/main">
          <a:off x="1125009" y="1356783"/>
          <a:ext cx="433916" cy="201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bg1"/>
              </a:solidFill>
            </a:rPr>
            <a:t>Yes</a:t>
          </a:r>
        </a:p>
      </cdr:txBody>
    </cdr:sp>
  </cdr:relSizeAnchor>
  <cdr:relSizeAnchor xmlns:cdr="http://schemas.openxmlformats.org/drawingml/2006/chartDrawing">
    <cdr:from>
      <cdr:x>0.57973</cdr:x>
      <cdr:y>0.39429</cdr:y>
    </cdr:from>
    <cdr:to>
      <cdr:x>0.66016</cdr:x>
      <cdr:y>0.46373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40A10B6-4593-3C0B-12CA-505C9B2C1BBE}"/>
            </a:ext>
          </a:extLst>
        </cdr:cNvPr>
        <cdr:cNvSpPr txBox="1"/>
      </cdr:nvSpPr>
      <cdr:spPr>
        <a:xfrm xmlns:a="http://schemas.openxmlformats.org/drawingml/2006/main">
          <a:off x="2670173" y="1081617"/>
          <a:ext cx="370417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bg1"/>
              </a:solidFill>
            </a:rPr>
            <a:t>No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preet Kaur" refreshedDate="46230.519475925925" createdVersion="8" refreshedVersion="8" minRefreshableVersion="3" recordCount="1470" xr:uid="{DB5EFBF1-2F76-4430-8729-1C8CDE4EE8C4}">
  <cacheSource type="worksheet">
    <worksheetSource name="Table3"/>
  </cacheSource>
  <cacheFields count="38">
    <cacheField name="Age" numFmtId="1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 Travel" numFmtId="0">
      <sharedItems/>
    </cacheField>
    <cacheField name="Daily Rate" numFmtId="1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 From Home" numFmtId="1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 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 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 Satisfaction" numFmtId="0">
      <sharedItems containsSemiMixedTypes="0" containsString="0" containsNumber="1" containsInteger="1" minValue="1" maxValue="4"/>
    </cacheField>
    <cacheField name="Marital Status" numFmtId="0">
      <sharedItems/>
    </cacheField>
    <cacheField name="Monthly Income" numFmtId="1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 Time" numFmtId="0">
      <sharedItems count="2">
        <s v="Yes"/>
        <s v="No"/>
      </sharedItems>
    </cacheField>
    <cacheField name="Percent Salary Hike" numFmtId="1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1">
      <sharedItems containsSemiMixedTypes="0" containsString="0" containsNumber="1" containsInteger="1" minValue="0" maxValue="40"/>
    </cacheField>
    <cacheField name="Training Times Last Year" numFmtId="0">
      <sharedItems containsSemiMixedTypes="0" containsString="0" containsNumber="1" containsInteger="1" minValue="0" maxValue="6"/>
    </cacheField>
    <cacheField name="Work Life 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 At Company" numFmtId="1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  <cacheField name="Age Group" numFmtId="1">
      <sharedItems count="9">
        <s v="36-45"/>
        <s v="46-55"/>
        <s v="26-35"/>
        <s v="56+"/>
        <s v="18-25"/>
        <s v="40-49" u="1"/>
        <s v="30-39" u="1"/>
        <s v="Under 30" u="1"/>
        <s v="50+" u="1"/>
      </sharedItems>
    </cacheField>
    <cacheField name="Income Group" numFmtId="0">
      <sharedItems/>
    </cacheField>
    <cacheField name="Years At Company Group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x v="0"/>
    <n v="6"/>
    <n v="4"/>
    <n v="0"/>
    <n v="5"/>
    <x v="0"/>
    <s v="Medium"/>
    <s v="6-10 Years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x v="1"/>
    <n v="10"/>
    <n v="7"/>
    <n v="1"/>
    <n v="7"/>
    <x v="1"/>
    <s v="Medium"/>
    <s v="6-10 Years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x v="1"/>
    <n v="0"/>
    <n v="0"/>
    <n v="0"/>
    <n v="0"/>
    <x v="0"/>
    <s v="Low"/>
    <s v="0-2 Years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x v="1"/>
    <n v="8"/>
    <n v="7"/>
    <n v="3"/>
    <n v="0"/>
    <x v="2"/>
    <s v="Low"/>
    <s v="6-10 Years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x v="1"/>
    <n v="2"/>
    <n v="2"/>
    <n v="2"/>
    <n v="2"/>
    <x v="2"/>
    <s v="Low"/>
    <s v="0-2 Years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x v="2"/>
    <n v="7"/>
    <n v="7"/>
    <n v="3"/>
    <n v="6"/>
    <x v="2"/>
    <s v="Low"/>
    <s v="6-10 Years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x v="2"/>
    <n v="1"/>
    <n v="0"/>
    <n v="0"/>
    <n v="0"/>
    <x v="3"/>
    <s v="Low"/>
    <s v="0-2 Years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x v="1"/>
    <n v="1"/>
    <n v="0"/>
    <n v="0"/>
    <n v="0"/>
    <x v="2"/>
    <s v="Low"/>
    <s v="0-2 Years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x v="1"/>
    <n v="9"/>
    <n v="7"/>
    <n v="1"/>
    <n v="8"/>
    <x v="0"/>
    <s v="Medium"/>
    <s v="6-10 Years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x v="2"/>
    <n v="7"/>
    <n v="7"/>
    <n v="7"/>
    <n v="7"/>
    <x v="0"/>
    <s v="Medium"/>
    <s v="6-10 Years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x v="1"/>
    <n v="5"/>
    <n v="4"/>
    <n v="0"/>
    <n v="3"/>
    <x v="2"/>
    <s v="Low"/>
    <s v="3-5 Years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x v="1"/>
    <n v="9"/>
    <n v="5"/>
    <n v="0"/>
    <n v="8"/>
    <x v="2"/>
    <s v="Low"/>
    <s v="6-10 Years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x v="2"/>
    <n v="5"/>
    <n v="2"/>
    <n v="4"/>
    <n v="3"/>
    <x v="2"/>
    <s v="Low"/>
    <s v="3-5 Years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x v="1"/>
    <n v="2"/>
    <n v="2"/>
    <n v="1"/>
    <n v="2"/>
    <x v="2"/>
    <s v="Low"/>
    <s v="0-2 Years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x v="1"/>
    <n v="4"/>
    <n v="2"/>
    <n v="0"/>
    <n v="3"/>
    <x v="2"/>
    <s v="Low"/>
    <s v="3-5 Years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x v="1"/>
    <n v="10"/>
    <n v="9"/>
    <n v="8"/>
    <n v="8"/>
    <x v="2"/>
    <s v="Medium"/>
    <s v="6-10 Years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x v="2"/>
    <n v="6"/>
    <n v="2"/>
    <n v="0"/>
    <n v="5"/>
    <x v="2"/>
    <s v="Low"/>
    <s v="6-10 Years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x v="2"/>
    <n v="1"/>
    <n v="0"/>
    <n v="0"/>
    <n v="0"/>
    <x v="4"/>
    <s v="Low"/>
    <s v="0-2 Years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x v="1"/>
    <n v="25"/>
    <n v="8"/>
    <n v="3"/>
    <n v="7"/>
    <x v="1"/>
    <s v="High"/>
    <s v="11+ Years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x v="1"/>
    <n v="3"/>
    <n v="2"/>
    <n v="1"/>
    <n v="2"/>
    <x v="0"/>
    <s v="Low"/>
    <s v="3-5 Years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x v="2"/>
    <n v="4"/>
    <n v="2"/>
    <n v="1"/>
    <n v="3"/>
    <x v="4"/>
    <s v="Low"/>
    <s v="3-5 Years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x v="1"/>
    <n v="5"/>
    <n v="3"/>
    <n v="0"/>
    <n v="3"/>
    <x v="0"/>
    <s v="Low"/>
    <s v="3-5 Years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x v="1"/>
    <n v="12"/>
    <n v="6"/>
    <n v="2"/>
    <n v="11"/>
    <x v="2"/>
    <s v="High"/>
    <s v="11+ Years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x v="1"/>
    <n v="0"/>
    <n v="0"/>
    <n v="0"/>
    <n v="0"/>
    <x v="4"/>
    <s v="Low"/>
    <s v="0-2 Years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x v="1"/>
    <n v="4"/>
    <n v="2"/>
    <n v="1"/>
    <n v="3"/>
    <x v="2"/>
    <s v="Low"/>
    <s v="3-5 Years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x v="2"/>
    <n v="14"/>
    <n v="13"/>
    <n v="4"/>
    <n v="8"/>
    <x v="1"/>
    <s v="High"/>
    <s v="11+ Years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x v="1"/>
    <n v="10"/>
    <n v="2"/>
    <n v="6"/>
    <n v="7"/>
    <x v="2"/>
    <s v="Low"/>
    <s v="6-10 Years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x v="1"/>
    <n v="9"/>
    <n v="7"/>
    <n v="4"/>
    <n v="2"/>
    <x v="0"/>
    <s v="Medium"/>
    <s v="6-10 Years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x v="1"/>
    <n v="22"/>
    <n v="6"/>
    <n v="5"/>
    <n v="17"/>
    <x v="0"/>
    <s v="High"/>
    <s v="11+ Years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x v="2"/>
    <n v="2"/>
    <n v="2"/>
    <n v="2"/>
    <n v="1"/>
    <x v="1"/>
    <s v="High"/>
    <s v="0-2 Years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x v="1"/>
    <n v="1"/>
    <n v="1"/>
    <n v="0"/>
    <n v="0"/>
    <x v="2"/>
    <s v="Low"/>
    <s v="0-2 Years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x v="3"/>
    <n v="4"/>
    <n v="2"/>
    <n v="1"/>
    <n v="3"/>
    <x v="0"/>
    <s v="Medium"/>
    <s v="3-5 Years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x v="1"/>
    <n v="10"/>
    <n v="0"/>
    <n v="1"/>
    <n v="8"/>
    <x v="2"/>
    <s v="Low"/>
    <s v="6-10 Years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x v="3"/>
    <n v="1"/>
    <n v="0"/>
    <n v="0"/>
    <n v="0"/>
    <x v="0"/>
    <s v="Low"/>
    <s v="0-2 Years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x v="2"/>
    <n v="2"/>
    <n v="0"/>
    <n v="2"/>
    <n v="0"/>
    <x v="4"/>
    <s v="Low"/>
    <s v="0-2 Years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x v="2"/>
    <n v="5"/>
    <n v="3"/>
    <n v="1"/>
    <n v="4"/>
    <x v="0"/>
    <s v="Low"/>
    <s v="3-5 Years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x v="1"/>
    <n v="3"/>
    <n v="2"/>
    <n v="0"/>
    <n v="2"/>
    <x v="1"/>
    <s v="Low"/>
    <s v="3-5 Years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x v="1"/>
    <n v="2"/>
    <n v="2"/>
    <n v="2"/>
    <n v="2"/>
    <x v="2"/>
    <s v="Low"/>
    <s v="0-2 Years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x v="3"/>
    <n v="1"/>
    <n v="1"/>
    <n v="0"/>
    <n v="0"/>
    <x v="0"/>
    <s v="Low"/>
    <s v="0-2 Years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x v="1"/>
    <n v="5"/>
    <n v="3"/>
    <n v="1"/>
    <n v="3"/>
    <x v="2"/>
    <s v="Medium"/>
    <s v="3-5 Years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x v="1"/>
    <n v="1"/>
    <n v="0"/>
    <n v="0"/>
    <n v="0"/>
    <x v="2"/>
    <s v="Low"/>
    <s v="0-2 Years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x v="1"/>
    <n v="1"/>
    <n v="0"/>
    <n v="0"/>
    <n v="0"/>
    <x v="2"/>
    <s v="Low"/>
    <s v="0-2 Years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x v="2"/>
    <n v="1"/>
    <n v="0"/>
    <n v="0"/>
    <n v="1"/>
    <x v="2"/>
    <s v="Low"/>
    <s v="0-2 Years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x v="1"/>
    <n v="9"/>
    <n v="8"/>
    <n v="1"/>
    <n v="7"/>
    <x v="2"/>
    <s v="Medium"/>
    <s v="6-10 Years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x v="1"/>
    <n v="12"/>
    <n v="8"/>
    <n v="3"/>
    <n v="7"/>
    <x v="2"/>
    <s v="Low"/>
    <s v="11+ Years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x v="1"/>
    <n v="22"/>
    <n v="15"/>
    <n v="15"/>
    <n v="8"/>
    <x v="0"/>
    <s v="High"/>
    <s v="11+ Years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x v="1"/>
    <n v="9"/>
    <n v="5"/>
    <n v="8"/>
    <n v="7"/>
    <x v="2"/>
    <s v="Low"/>
    <s v="6-10 Years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x v="1"/>
    <n v="1"/>
    <n v="0"/>
    <n v="0"/>
    <n v="0"/>
    <x v="0"/>
    <s v="Low"/>
    <s v="0-2 Years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x v="1"/>
    <n v="9"/>
    <n v="6"/>
    <n v="0"/>
    <n v="8"/>
    <x v="1"/>
    <s v="Medium"/>
    <s v="6-10 Years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x v="1"/>
    <n v="1"/>
    <n v="0"/>
    <n v="0"/>
    <n v="1"/>
    <x v="2"/>
    <s v="Low"/>
    <s v="0-2 Years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x v="1"/>
    <n v="1"/>
    <n v="0"/>
    <n v="0"/>
    <n v="0"/>
    <x v="1"/>
    <s v="Medium"/>
    <s v="0-2 Years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x v="2"/>
    <n v="2"/>
    <n v="2"/>
    <n v="2"/>
    <n v="2"/>
    <x v="2"/>
    <s v="Low"/>
    <s v="0-2 Years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x v="2"/>
    <n v="4"/>
    <n v="3"/>
    <n v="1"/>
    <n v="3"/>
    <x v="0"/>
    <s v="Medium"/>
    <s v="3-5 Years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x v="1"/>
    <n v="4"/>
    <n v="0"/>
    <n v="2"/>
    <n v="3"/>
    <x v="2"/>
    <s v="Medium"/>
    <s v="3-5 Years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x v="2"/>
    <n v="2"/>
    <n v="2"/>
    <n v="0"/>
    <n v="0"/>
    <x v="2"/>
    <s v="Low"/>
    <s v="0-2 Years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x v="1"/>
    <n v="15"/>
    <n v="14"/>
    <n v="8"/>
    <n v="12"/>
    <x v="2"/>
    <s v="High"/>
    <s v="11+ Years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x v="2"/>
    <n v="9"/>
    <n v="8"/>
    <n v="1"/>
    <n v="8"/>
    <x v="2"/>
    <s v="Medium"/>
    <s v="6-10 Years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x v="1"/>
    <n v="2"/>
    <n v="2"/>
    <n v="2"/>
    <n v="2"/>
    <x v="2"/>
    <s v="Low"/>
    <s v="0-2 Years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x v="2"/>
    <n v="7"/>
    <n v="7"/>
    <n v="1"/>
    <n v="7"/>
    <x v="2"/>
    <s v="Medium"/>
    <s v="6-10 Years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x v="3"/>
    <n v="7"/>
    <n v="5"/>
    <n v="0"/>
    <n v="7"/>
    <x v="0"/>
    <s v="Medium"/>
    <s v="6-10 Years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x v="1"/>
    <n v="9"/>
    <n v="8"/>
    <n v="7"/>
    <n v="8"/>
    <x v="2"/>
    <s v="Medium"/>
    <s v="6-10 Years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x v="1"/>
    <n v="10"/>
    <n v="3"/>
    <n v="9"/>
    <n v="9"/>
    <x v="0"/>
    <s v="Low"/>
    <s v="6-10 Years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x v="2"/>
    <n v="27"/>
    <n v="3"/>
    <n v="13"/>
    <n v="8"/>
    <x v="1"/>
    <s v="High"/>
    <s v="11+ Years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x v="2"/>
    <n v="21"/>
    <n v="16"/>
    <n v="7"/>
    <n v="9"/>
    <x v="3"/>
    <s v="Medium"/>
    <s v="11+ Years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x v="1"/>
    <n v="17"/>
    <n v="14"/>
    <n v="12"/>
    <n v="8"/>
    <x v="0"/>
    <s v="High"/>
    <s v="11+ Years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x v="1"/>
    <n v="5"/>
    <n v="0"/>
    <n v="0"/>
    <n v="2"/>
    <x v="1"/>
    <s v="High"/>
    <s v="3-5 Years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x v="1"/>
    <n v="6"/>
    <n v="5"/>
    <n v="0"/>
    <n v="3"/>
    <x v="0"/>
    <s v="Medium"/>
    <s v="6-10 Years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x v="1"/>
    <n v="1"/>
    <n v="0"/>
    <n v="0"/>
    <n v="0"/>
    <x v="0"/>
    <s v="Medium"/>
    <s v="0-2 Years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x v="2"/>
    <n v="3"/>
    <n v="2"/>
    <n v="1"/>
    <n v="2"/>
    <x v="2"/>
    <s v="Low"/>
    <s v="3-5 Years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x v="2"/>
    <n v="1"/>
    <n v="0"/>
    <n v="0"/>
    <n v="0"/>
    <x v="0"/>
    <s v="Low"/>
    <s v="0-2 Years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x v="2"/>
    <n v="4"/>
    <n v="3"/>
    <n v="1"/>
    <n v="3"/>
    <x v="3"/>
    <s v="Medium"/>
    <s v="3-5 Years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x v="1"/>
    <n v="5"/>
    <n v="4"/>
    <n v="0"/>
    <n v="4"/>
    <x v="2"/>
    <s v="Low"/>
    <s v="3-5 Years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x v="1"/>
    <n v="1"/>
    <n v="1"/>
    <n v="1"/>
    <n v="0"/>
    <x v="2"/>
    <s v="Low"/>
    <s v="0-2 Years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x v="1"/>
    <n v="10"/>
    <n v="4"/>
    <n v="0"/>
    <n v="9"/>
    <x v="2"/>
    <s v="Medium"/>
    <s v="6-10 Years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x v="1"/>
    <n v="1"/>
    <n v="0"/>
    <n v="0"/>
    <n v="0"/>
    <x v="0"/>
    <s v="Low"/>
    <s v="0-2 Years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x v="1"/>
    <n v="11"/>
    <n v="7"/>
    <n v="1"/>
    <n v="8"/>
    <x v="2"/>
    <s v="Low"/>
    <s v="11+ Years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x v="1"/>
    <n v="15"/>
    <n v="13"/>
    <n v="2"/>
    <n v="8"/>
    <x v="2"/>
    <s v="Low"/>
    <s v="11+ Years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x v="3"/>
    <n v="0"/>
    <n v="0"/>
    <n v="0"/>
    <n v="0"/>
    <x v="0"/>
    <s v="High"/>
    <s v="0-2 Years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x v="3"/>
    <n v="5"/>
    <n v="2"/>
    <n v="0"/>
    <n v="2"/>
    <x v="0"/>
    <s v="High"/>
    <s v="3-5 Years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x v="1"/>
    <n v="4"/>
    <n v="2"/>
    <n v="0"/>
    <n v="2"/>
    <x v="1"/>
    <s v="Medium"/>
    <s v="3-5 Years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x v="2"/>
    <n v="10"/>
    <n v="8"/>
    <n v="3"/>
    <n v="0"/>
    <x v="2"/>
    <s v="Medium"/>
    <s v="6-10 Years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x v="1"/>
    <n v="6"/>
    <n v="4"/>
    <n v="0"/>
    <n v="4"/>
    <x v="2"/>
    <s v="Low"/>
    <s v="6-10 Years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x v="1"/>
    <n v="1"/>
    <n v="0"/>
    <n v="1"/>
    <n v="0"/>
    <x v="1"/>
    <s v="High"/>
    <s v="0-2 Years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x v="1"/>
    <n v="13"/>
    <n v="11"/>
    <n v="1"/>
    <n v="9"/>
    <x v="0"/>
    <s v="Medium"/>
    <s v="11+ Years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x v="1"/>
    <n v="5"/>
    <n v="2"/>
    <n v="1"/>
    <n v="3"/>
    <x v="2"/>
    <s v="Low"/>
    <s v="3-5 Years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x v="2"/>
    <n v="6"/>
    <n v="4"/>
    <n v="0"/>
    <n v="2"/>
    <x v="3"/>
    <s v="Medium"/>
    <s v="6-10 Years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x v="1"/>
    <n v="0"/>
    <n v="0"/>
    <n v="0"/>
    <n v="0"/>
    <x v="4"/>
    <s v="Low"/>
    <s v="0-2 Years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x v="1"/>
    <n v="4"/>
    <n v="2"/>
    <n v="0"/>
    <n v="3"/>
    <x v="1"/>
    <s v="Low"/>
    <s v="3-5 Years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x v="1"/>
    <n v="11"/>
    <n v="10"/>
    <n v="10"/>
    <n v="8"/>
    <x v="2"/>
    <s v="Low"/>
    <s v="11+ Years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x v="1"/>
    <n v="9"/>
    <n v="8"/>
    <n v="4"/>
    <n v="7"/>
    <x v="1"/>
    <s v="Medium"/>
    <s v="6-10 Years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x v="2"/>
    <n v="22"/>
    <n v="3"/>
    <n v="11"/>
    <n v="11"/>
    <x v="0"/>
    <s v="High"/>
    <s v="11+ Years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x v="0"/>
    <n v="10"/>
    <n v="7"/>
    <n v="1"/>
    <n v="0"/>
    <x v="1"/>
    <s v="Medium"/>
    <s v="6-10 Years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x v="2"/>
    <n v="11"/>
    <n v="8"/>
    <n v="2"/>
    <n v="7"/>
    <x v="2"/>
    <s v="Medium"/>
    <s v="11+ Years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x v="2"/>
    <n v="10"/>
    <n v="9"/>
    <n v="9"/>
    <n v="5"/>
    <x v="1"/>
    <s v="High"/>
    <s v="6-10 Years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x v="1"/>
    <n v="11"/>
    <n v="8"/>
    <n v="5"/>
    <n v="7"/>
    <x v="2"/>
    <s v="Medium"/>
    <s v="11+ Years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x v="0"/>
    <n v="4"/>
    <n v="3"/>
    <n v="0"/>
    <n v="3"/>
    <x v="1"/>
    <s v="High"/>
    <s v="3-5 Years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x v="2"/>
    <n v="3"/>
    <n v="2"/>
    <n v="0"/>
    <n v="2"/>
    <x v="4"/>
    <s v="Low"/>
    <s v="3-5 Years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x v="3"/>
    <n v="5"/>
    <n v="4"/>
    <n v="0"/>
    <n v="4"/>
    <x v="2"/>
    <s v="Low"/>
    <s v="3-5 Years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x v="2"/>
    <n v="37"/>
    <n v="10"/>
    <n v="1"/>
    <n v="8"/>
    <x v="3"/>
    <s v="High"/>
    <s v="11+ Years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x v="3"/>
    <n v="3"/>
    <n v="2"/>
    <n v="1"/>
    <n v="2"/>
    <x v="0"/>
    <s v="Low"/>
    <s v="3-5 Years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x v="1"/>
    <n v="3"/>
    <n v="2"/>
    <n v="0"/>
    <n v="2"/>
    <x v="0"/>
    <s v="Low"/>
    <s v="3-5 Years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x v="1"/>
    <n v="1"/>
    <n v="0"/>
    <n v="0"/>
    <n v="0"/>
    <x v="2"/>
    <s v="Low"/>
    <s v="0-2 Years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x v="1"/>
    <n v="1"/>
    <n v="0"/>
    <n v="1"/>
    <n v="0"/>
    <x v="4"/>
    <s v="Low"/>
    <s v="0-2 Years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x v="1"/>
    <n v="16"/>
    <n v="13"/>
    <n v="2"/>
    <n v="10"/>
    <x v="2"/>
    <s v="Low"/>
    <s v="11+ Years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x v="3"/>
    <n v="1"/>
    <n v="0"/>
    <n v="0"/>
    <n v="0"/>
    <x v="0"/>
    <s v="Medium"/>
    <s v="0-2 Years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x v="1"/>
    <n v="3"/>
    <n v="2"/>
    <n v="2"/>
    <n v="2"/>
    <x v="3"/>
    <s v="High"/>
    <s v="3-5 Years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x v="2"/>
    <n v="8"/>
    <n v="3"/>
    <n v="0"/>
    <n v="7"/>
    <x v="1"/>
    <s v="High"/>
    <s v="6-10 Years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x v="1"/>
    <n v="6"/>
    <n v="4"/>
    <n v="0"/>
    <n v="3"/>
    <x v="4"/>
    <s v="Medium"/>
    <s v="6-10 Years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x v="1"/>
    <n v="2"/>
    <n v="2"/>
    <n v="2"/>
    <n v="1"/>
    <x v="4"/>
    <s v="Low"/>
    <s v="0-2 Years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x v="1"/>
    <n v="0"/>
    <n v="0"/>
    <n v="0"/>
    <n v="0"/>
    <x v="4"/>
    <s v="Low"/>
    <s v="0-2 Years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x v="2"/>
    <n v="13"/>
    <n v="12"/>
    <n v="12"/>
    <n v="8"/>
    <x v="1"/>
    <s v="Medium"/>
    <s v="11+ Years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x v="1"/>
    <n v="9"/>
    <n v="7"/>
    <n v="0"/>
    <n v="6"/>
    <x v="2"/>
    <s v="Medium"/>
    <s v="6-10 Years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x v="1"/>
    <n v="5"/>
    <n v="3"/>
    <n v="4"/>
    <n v="4"/>
    <x v="1"/>
    <s v="High"/>
    <s v="3-5 Years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x v="1"/>
    <n v="5"/>
    <n v="3"/>
    <n v="1"/>
    <n v="2"/>
    <x v="4"/>
    <s v="Low"/>
    <s v="3-5 Years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x v="1"/>
    <n v="1"/>
    <n v="0"/>
    <n v="0"/>
    <n v="0"/>
    <x v="2"/>
    <s v="Low"/>
    <s v="0-2 Years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x v="1"/>
    <n v="5"/>
    <n v="3"/>
    <n v="1"/>
    <n v="3"/>
    <x v="0"/>
    <s v="Medium"/>
    <s v="3-5 Years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x v="1"/>
    <n v="11"/>
    <n v="10"/>
    <n v="5"/>
    <n v="8"/>
    <x v="2"/>
    <s v="High"/>
    <s v="11+ Years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x v="1"/>
    <n v="9"/>
    <n v="7"/>
    <n v="2"/>
    <n v="8"/>
    <x v="0"/>
    <s v="Medium"/>
    <s v="6-10 Years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x v="1"/>
    <n v="1"/>
    <n v="0"/>
    <n v="0"/>
    <n v="0"/>
    <x v="0"/>
    <s v="Low"/>
    <s v="0-2 Years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x v="3"/>
    <n v="25"/>
    <n v="12"/>
    <n v="4"/>
    <n v="12"/>
    <x v="0"/>
    <s v="High"/>
    <s v="11+ Years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x v="2"/>
    <n v="10"/>
    <n v="7"/>
    <n v="0"/>
    <n v="9"/>
    <x v="2"/>
    <s v="Low"/>
    <s v="6-10 Years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x v="3"/>
    <n v="7"/>
    <n v="7"/>
    <n v="0"/>
    <n v="7"/>
    <x v="2"/>
    <s v="Medium"/>
    <s v="6-10 Years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x v="1"/>
    <n v="5"/>
    <n v="4"/>
    <n v="4"/>
    <n v="3"/>
    <x v="3"/>
    <s v="Low"/>
    <s v="3-5 Years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x v="1"/>
    <n v="20"/>
    <n v="18"/>
    <n v="15"/>
    <n v="15"/>
    <x v="1"/>
    <s v="High"/>
    <s v="11+ Years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x v="2"/>
    <n v="7"/>
    <n v="7"/>
    <n v="7"/>
    <n v="7"/>
    <x v="2"/>
    <s v="Medium"/>
    <s v="6-10 Years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x v="2"/>
    <n v="5"/>
    <n v="4"/>
    <n v="4"/>
    <n v="3"/>
    <x v="2"/>
    <s v="Low"/>
    <s v="3-5 Years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x v="2"/>
    <n v="40"/>
    <n v="10"/>
    <n v="15"/>
    <n v="6"/>
    <x v="3"/>
    <s v="High"/>
    <s v="11+ Years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x v="2"/>
    <n v="0"/>
    <n v="0"/>
    <n v="0"/>
    <n v="0"/>
    <x v="4"/>
    <s v="Low"/>
    <s v="0-2 Years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x v="1"/>
    <n v="2"/>
    <n v="1"/>
    <n v="2"/>
    <n v="1"/>
    <x v="4"/>
    <s v="Low"/>
    <s v="0-2 Years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x v="2"/>
    <n v="15"/>
    <n v="11"/>
    <n v="5"/>
    <n v="11"/>
    <x v="1"/>
    <s v="Medium"/>
    <s v="11+ Years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x v="1"/>
    <n v="3"/>
    <n v="2"/>
    <n v="1"/>
    <n v="2"/>
    <x v="0"/>
    <s v="Low"/>
    <s v="3-5 Years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x v="1"/>
    <n v="2"/>
    <n v="2"/>
    <n v="2"/>
    <n v="1"/>
    <x v="1"/>
    <s v="Medium"/>
    <s v="0-2 Years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x v="1"/>
    <n v="2"/>
    <n v="2"/>
    <n v="2"/>
    <n v="2"/>
    <x v="2"/>
    <s v="Low"/>
    <s v="0-2 Years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x v="1"/>
    <n v="9"/>
    <n v="7"/>
    <n v="0"/>
    <n v="7"/>
    <x v="0"/>
    <s v="Medium"/>
    <s v="6-10 Years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x v="1"/>
    <n v="8"/>
    <n v="7"/>
    <n v="5"/>
    <n v="7"/>
    <x v="2"/>
    <s v="Low"/>
    <s v="6-10 Years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x v="1"/>
    <n v="3"/>
    <n v="2"/>
    <n v="0"/>
    <n v="1"/>
    <x v="0"/>
    <s v="Low"/>
    <s v="3-5 Years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x v="1"/>
    <n v="4"/>
    <n v="2"/>
    <n v="0"/>
    <n v="3"/>
    <x v="1"/>
    <s v="High"/>
    <s v="3-5 Years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x v="3"/>
    <n v="15"/>
    <n v="11"/>
    <n v="5"/>
    <n v="9"/>
    <x v="0"/>
    <s v="Medium"/>
    <s v="11+ Years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x v="1"/>
    <n v="2"/>
    <n v="2"/>
    <n v="2"/>
    <n v="2"/>
    <x v="4"/>
    <s v="Medium"/>
    <s v="0-2 Years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x v="0"/>
    <n v="11"/>
    <n v="9"/>
    <n v="4"/>
    <n v="7"/>
    <x v="2"/>
    <s v="Medium"/>
    <s v="11+ Years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x v="3"/>
    <n v="5"/>
    <n v="4"/>
    <n v="0"/>
    <n v="4"/>
    <x v="2"/>
    <s v="Low"/>
    <s v="3-5 Years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x v="2"/>
    <n v="6"/>
    <n v="5"/>
    <n v="0"/>
    <n v="3"/>
    <x v="0"/>
    <s v="Low"/>
    <s v="6-10 Years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x v="1"/>
    <n v="3"/>
    <n v="2"/>
    <n v="2"/>
    <n v="2"/>
    <x v="0"/>
    <s v="Low"/>
    <s v="3-5 Years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x v="2"/>
    <n v="5"/>
    <n v="4"/>
    <n v="0"/>
    <n v="4"/>
    <x v="2"/>
    <s v="Low"/>
    <s v="3-5 Years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x v="3"/>
    <n v="8"/>
    <n v="7"/>
    <n v="0"/>
    <n v="7"/>
    <x v="2"/>
    <s v="Low"/>
    <s v="6-10 Years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x v="1"/>
    <n v="3"/>
    <n v="2"/>
    <n v="2"/>
    <n v="2"/>
    <x v="2"/>
    <s v="Low"/>
    <s v="3-5 Years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x v="1"/>
    <n v="5"/>
    <n v="3"/>
    <n v="1"/>
    <n v="2"/>
    <x v="2"/>
    <s v="Low"/>
    <s v="3-5 Years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x v="2"/>
    <n v="7"/>
    <n v="6"/>
    <n v="7"/>
    <n v="7"/>
    <x v="0"/>
    <s v="High"/>
    <s v="6-10 Years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x v="1"/>
    <n v="5"/>
    <n v="0"/>
    <n v="1"/>
    <n v="4"/>
    <x v="0"/>
    <s v="Low"/>
    <s v="3-5 Years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x v="1"/>
    <n v="1"/>
    <n v="0"/>
    <n v="0"/>
    <n v="0"/>
    <x v="4"/>
    <s v="Low"/>
    <s v="0-2 Years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x v="1"/>
    <n v="20"/>
    <n v="7"/>
    <n v="2"/>
    <n v="13"/>
    <x v="0"/>
    <s v="Medium"/>
    <s v="11+ Years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x v="1"/>
    <n v="10"/>
    <n v="8"/>
    <n v="0"/>
    <n v="6"/>
    <x v="2"/>
    <s v="Medium"/>
    <s v="6-10 Years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x v="0"/>
    <n v="7"/>
    <n v="7"/>
    <n v="4"/>
    <n v="5"/>
    <x v="1"/>
    <s v="Low"/>
    <s v="6-10 Years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x v="0"/>
    <n v="17"/>
    <n v="9"/>
    <n v="0"/>
    <n v="15"/>
    <x v="0"/>
    <s v="Low"/>
    <s v="11+ Years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x v="1"/>
    <n v="9"/>
    <n v="8"/>
    <n v="3"/>
    <n v="7"/>
    <x v="2"/>
    <s v="Medium"/>
    <s v="6-10 Years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x v="1"/>
    <n v="10"/>
    <n v="7"/>
    <n v="0"/>
    <n v="9"/>
    <x v="2"/>
    <s v="Low"/>
    <s v="6-10 Years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x v="1"/>
    <n v="1"/>
    <n v="0"/>
    <n v="0"/>
    <n v="0"/>
    <x v="1"/>
    <s v="Medium"/>
    <s v="0-2 Years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x v="2"/>
    <n v="1"/>
    <n v="0"/>
    <n v="0"/>
    <n v="0"/>
    <x v="3"/>
    <s v="Low"/>
    <s v="0-2 Years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x v="2"/>
    <n v="12"/>
    <n v="11"/>
    <n v="2"/>
    <n v="11"/>
    <x v="0"/>
    <s v="High"/>
    <s v="11+ Years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x v="1"/>
    <n v="4"/>
    <n v="3"/>
    <n v="1"/>
    <n v="2"/>
    <x v="2"/>
    <s v="Low"/>
    <s v="3-5 Years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x v="1"/>
    <n v="2"/>
    <n v="2"/>
    <n v="2"/>
    <n v="2"/>
    <x v="4"/>
    <s v="Low"/>
    <s v="0-2 Years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x v="0"/>
    <n v="2"/>
    <n v="2"/>
    <n v="2"/>
    <n v="2"/>
    <x v="2"/>
    <s v="Low"/>
    <s v="0-2 Years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x v="0"/>
    <n v="5"/>
    <n v="2"/>
    <n v="0"/>
    <n v="2"/>
    <x v="2"/>
    <s v="Low"/>
    <s v="3-5 Years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x v="0"/>
    <n v="5"/>
    <n v="3"/>
    <n v="1"/>
    <n v="4"/>
    <x v="3"/>
    <s v="Medium"/>
    <s v="3-5 Years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x v="2"/>
    <n v="1"/>
    <n v="1"/>
    <n v="0"/>
    <n v="1"/>
    <x v="2"/>
    <s v="Low"/>
    <s v="0-2 Years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x v="1"/>
    <n v="5"/>
    <n v="4"/>
    <n v="4"/>
    <n v="4"/>
    <x v="1"/>
    <s v="High"/>
    <s v="3-5 Years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x v="1"/>
    <n v="9"/>
    <n v="8"/>
    <n v="1"/>
    <n v="8"/>
    <x v="0"/>
    <s v="Low"/>
    <s v="6-10 Years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x v="1"/>
    <n v="10"/>
    <n v="9"/>
    <n v="7"/>
    <n v="4"/>
    <x v="2"/>
    <s v="Medium"/>
    <s v="6-10 Years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x v="3"/>
    <n v="8"/>
    <n v="3"/>
    <n v="0"/>
    <n v="7"/>
    <x v="0"/>
    <s v="Medium"/>
    <s v="6-10 Years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x v="1"/>
    <n v="5"/>
    <n v="4"/>
    <n v="1"/>
    <n v="4"/>
    <x v="2"/>
    <s v="Low"/>
    <s v="3-5 Years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x v="2"/>
    <n v="5"/>
    <n v="2"/>
    <n v="1"/>
    <n v="1"/>
    <x v="2"/>
    <s v="Low"/>
    <s v="3-5 Years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x v="3"/>
    <n v="0"/>
    <n v="0"/>
    <n v="0"/>
    <n v="0"/>
    <x v="4"/>
    <s v="Low"/>
    <s v="0-2 Years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x v="2"/>
    <n v="8"/>
    <n v="7"/>
    <n v="7"/>
    <n v="2"/>
    <x v="0"/>
    <s v="Low"/>
    <s v="6-10 Years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x v="1"/>
    <n v="12"/>
    <n v="9"/>
    <n v="6"/>
    <n v="10"/>
    <x v="2"/>
    <s v="Low"/>
    <s v="11+ Years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x v="3"/>
    <n v="5"/>
    <n v="4"/>
    <n v="0"/>
    <n v="3"/>
    <x v="0"/>
    <s v="Medium"/>
    <s v="3-5 Years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x v="1"/>
    <n v="2"/>
    <n v="2"/>
    <n v="2"/>
    <n v="2"/>
    <x v="3"/>
    <s v="Low"/>
    <s v="0-2 Years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x v="3"/>
    <n v="3"/>
    <n v="1"/>
    <n v="0"/>
    <n v="2"/>
    <x v="2"/>
    <s v="Low"/>
    <s v="3-5 Years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x v="2"/>
    <n v="1"/>
    <n v="0"/>
    <n v="1"/>
    <n v="0"/>
    <x v="4"/>
    <s v="Low"/>
    <s v="0-2 Years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x v="1"/>
    <n v="24"/>
    <n v="13"/>
    <n v="15"/>
    <n v="7"/>
    <x v="1"/>
    <s v="High"/>
    <s v="11+ Years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x v="1"/>
    <n v="2"/>
    <n v="2"/>
    <n v="2"/>
    <n v="1"/>
    <x v="0"/>
    <s v="Low"/>
    <s v="0-2 Years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x v="1"/>
    <n v="4"/>
    <n v="2"/>
    <n v="0"/>
    <n v="2"/>
    <x v="2"/>
    <s v="Low"/>
    <s v="3-5 Years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x v="1"/>
    <n v="3"/>
    <n v="2"/>
    <n v="1"/>
    <n v="2"/>
    <x v="2"/>
    <s v="Low"/>
    <s v="3-5 Years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x v="2"/>
    <n v="4"/>
    <n v="3"/>
    <n v="0"/>
    <n v="2"/>
    <x v="0"/>
    <s v="Low"/>
    <s v="3-5 Years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x v="2"/>
    <n v="3"/>
    <n v="2"/>
    <n v="0"/>
    <n v="2"/>
    <x v="1"/>
    <s v="Low"/>
    <s v="3-5 Years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x v="1"/>
    <n v="4"/>
    <n v="2"/>
    <n v="1"/>
    <n v="3"/>
    <x v="1"/>
    <s v="Low"/>
    <s v="3-5 Years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x v="1"/>
    <n v="8"/>
    <n v="7"/>
    <n v="1"/>
    <n v="6"/>
    <x v="2"/>
    <s v="Low"/>
    <s v="6-10 Years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x v="1"/>
    <n v="20"/>
    <n v="8"/>
    <n v="9"/>
    <n v="9"/>
    <x v="0"/>
    <s v="High"/>
    <s v="11+ Years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x v="1"/>
    <n v="24"/>
    <n v="15"/>
    <n v="2"/>
    <n v="15"/>
    <x v="1"/>
    <s v="High"/>
    <s v="11+ Years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x v="2"/>
    <n v="10"/>
    <n v="9"/>
    <n v="1"/>
    <n v="9"/>
    <x v="2"/>
    <s v="Medium"/>
    <s v="6-10 Years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x v="1"/>
    <n v="7"/>
    <n v="7"/>
    <n v="1"/>
    <n v="0"/>
    <x v="1"/>
    <s v="High"/>
    <s v="6-10 Years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x v="1"/>
    <n v="33"/>
    <n v="18"/>
    <n v="11"/>
    <n v="9"/>
    <x v="1"/>
    <s v="High"/>
    <s v="11+ Years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x v="2"/>
    <n v="7"/>
    <n v="7"/>
    <n v="0"/>
    <n v="3"/>
    <x v="2"/>
    <s v="Low"/>
    <s v="6-10 Years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x v="1"/>
    <n v="1"/>
    <n v="0"/>
    <n v="0"/>
    <n v="1"/>
    <x v="2"/>
    <s v="Medium"/>
    <s v="0-2 Years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x v="3"/>
    <n v="5"/>
    <n v="4"/>
    <n v="2"/>
    <n v="2"/>
    <x v="0"/>
    <s v="Low"/>
    <s v="3-5 Years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x v="1"/>
    <n v="20"/>
    <n v="8"/>
    <n v="11"/>
    <n v="8"/>
    <x v="0"/>
    <s v="High"/>
    <s v="11+ Years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x v="2"/>
    <n v="8"/>
    <n v="7"/>
    <n v="1"/>
    <n v="7"/>
    <x v="0"/>
    <s v="Low"/>
    <s v="6-10 Years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x v="1"/>
    <n v="6"/>
    <n v="2"/>
    <n v="1"/>
    <n v="2"/>
    <x v="2"/>
    <s v="Low"/>
    <s v="6-10 Years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x v="1"/>
    <n v="5"/>
    <n v="3"/>
    <n v="0"/>
    <n v="2"/>
    <x v="0"/>
    <s v="Medium"/>
    <s v="3-5 Years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x v="1"/>
    <n v="1"/>
    <n v="0"/>
    <n v="0"/>
    <n v="0"/>
    <x v="0"/>
    <s v="Medium"/>
    <s v="0-2 Years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x v="0"/>
    <n v="7"/>
    <n v="7"/>
    <n v="1"/>
    <n v="7"/>
    <x v="0"/>
    <s v="Medium"/>
    <s v="6-10 Years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x v="1"/>
    <n v="2"/>
    <n v="2"/>
    <n v="2"/>
    <n v="0"/>
    <x v="2"/>
    <s v="Low"/>
    <s v="0-2 Years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x v="1"/>
    <n v="7"/>
    <n v="7"/>
    <n v="1"/>
    <n v="7"/>
    <x v="1"/>
    <s v="Medium"/>
    <s v="6-10 Years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x v="3"/>
    <n v="5"/>
    <n v="3"/>
    <n v="2"/>
    <n v="0"/>
    <x v="2"/>
    <s v="Low"/>
    <s v="3-5 Years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x v="3"/>
    <n v="7"/>
    <n v="2"/>
    <n v="3"/>
    <n v="7"/>
    <x v="0"/>
    <s v="Low"/>
    <s v="6-10 Years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x v="1"/>
    <n v="1"/>
    <n v="0"/>
    <n v="0"/>
    <n v="0"/>
    <x v="0"/>
    <s v="Medium"/>
    <s v="0-2 Years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x v="2"/>
    <n v="10"/>
    <n v="4"/>
    <n v="1"/>
    <n v="9"/>
    <x v="2"/>
    <s v="Medium"/>
    <s v="6-10 Years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x v="2"/>
    <n v="4"/>
    <n v="2"/>
    <n v="2"/>
    <n v="2"/>
    <x v="4"/>
    <s v="Low"/>
    <s v="3-5 Years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x v="1"/>
    <n v="8"/>
    <n v="1"/>
    <n v="1"/>
    <n v="7"/>
    <x v="0"/>
    <s v="Low"/>
    <s v="6-10 Years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x v="0"/>
    <n v="3"/>
    <n v="2"/>
    <n v="0"/>
    <n v="2"/>
    <x v="0"/>
    <s v="Low"/>
    <s v="3-5 Years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x v="1"/>
    <n v="4"/>
    <n v="2"/>
    <n v="0"/>
    <n v="3"/>
    <x v="1"/>
    <s v="Medium"/>
    <s v="3-5 Years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x v="2"/>
    <n v="14"/>
    <n v="8"/>
    <n v="9"/>
    <n v="8"/>
    <x v="2"/>
    <s v="High"/>
    <s v="11+ Years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x v="1"/>
    <n v="11"/>
    <n v="8"/>
    <n v="5"/>
    <n v="8"/>
    <x v="2"/>
    <s v="Medium"/>
    <s v="11+ Years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x v="1"/>
    <n v="7"/>
    <n v="7"/>
    <n v="0"/>
    <n v="7"/>
    <x v="2"/>
    <s v="Medium"/>
    <s v="6-10 Years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x v="0"/>
    <n v="10"/>
    <n v="9"/>
    <n v="4"/>
    <n v="7"/>
    <x v="1"/>
    <s v="High"/>
    <s v="6-10 Years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x v="1"/>
    <n v="5"/>
    <n v="2"/>
    <n v="0"/>
    <n v="4"/>
    <x v="2"/>
    <s v="Low"/>
    <s v="3-5 Years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x v="1"/>
    <n v="1"/>
    <n v="0"/>
    <n v="0"/>
    <n v="0"/>
    <x v="0"/>
    <s v="High"/>
    <s v="0-2 Years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x v="2"/>
    <n v="6"/>
    <n v="3"/>
    <n v="0"/>
    <n v="1"/>
    <x v="2"/>
    <s v="Medium"/>
    <s v="6-10 Years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x v="2"/>
    <n v="6"/>
    <n v="2"/>
    <n v="1"/>
    <n v="5"/>
    <x v="2"/>
    <s v="Low"/>
    <s v="6-10 Years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x v="1"/>
    <n v="19"/>
    <n v="7"/>
    <n v="12"/>
    <n v="8"/>
    <x v="0"/>
    <s v="Medium"/>
    <s v="11+ Years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x v="1"/>
    <n v="6"/>
    <n v="2"/>
    <n v="0"/>
    <n v="5"/>
    <x v="1"/>
    <s v="Medium"/>
    <s v="6-10 Years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x v="3"/>
    <n v="13"/>
    <n v="11"/>
    <n v="3"/>
    <n v="7"/>
    <x v="0"/>
    <s v="Medium"/>
    <s v="11+ Years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x v="1"/>
    <n v="3"/>
    <n v="2"/>
    <n v="1"/>
    <n v="1"/>
    <x v="2"/>
    <s v="Low"/>
    <s v="3-5 Years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x v="1"/>
    <n v="10"/>
    <n v="8"/>
    <n v="0"/>
    <n v="7"/>
    <x v="0"/>
    <s v="High"/>
    <s v="6-10 Years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x v="2"/>
    <n v="16"/>
    <n v="10"/>
    <n v="5"/>
    <n v="13"/>
    <x v="0"/>
    <s v="High"/>
    <s v="11+ Years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x v="1"/>
    <n v="5"/>
    <n v="4"/>
    <n v="1"/>
    <n v="4"/>
    <x v="2"/>
    <s v="Low"/>
    <s v="3-5 Years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x v="1"/>
    <n v="1"/>
    <n v="0"/>
    <n v="0"/>
    <n v="0"/>
    <x v="3"/>
    <s v="Low"/>
    <s v="0-2 Years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x v="1"/>
    <n v="9"/>
    <n v="8"/>
    <n v="5"/>
    <n v="8"/>
    <x v="0"/>
    <s v="Low"/>
    <s v="6-10 Years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x v="1"/>
    <n v="11"/>
    <n v="10"/>
    <n v="4"/>
    <n v="1"/>
    <x v="2"/>
    <s v="Medium"/>
    <s v="11+ Years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x v="3"/>
    <n v="10"/>
    <n v="7"/>
    <n v="0"/>
    <n v="8"/>
    <x v="2"/>
    <s v="Medium"/>
    <s v="6-10 Years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x v="2"/>
    <n v="4"/>
    <n v="3"/>
    <n v="0"/>
    <n v="1"/>
    <x v="2"/>
    <s v="Low"/>
    <s v="3-5 Years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x v="2"/>
    <n v="2"/>
    <n v="2"/>
    <n v="2"/>
    <n v="2"/>
    <x v="1"/>
    <s v="Low"/>
    <s v="0-2 Years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x v="1"/>
    <n v="22"/>
    <n v="17"/>
    <n v="11"/>
    <n v="15"/>
    <x v="0"/>
    <s v="High"/>
    <s v="11+ Years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x v="2"/>
    <n v="2"/>
    <n v="2"/>
    <n v="2"/>
    <n v="2"/>
    <x v="3"/>
    <s v="Low"/>
    <s v="0-2 Years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x v="2"/>
    <n v="7"/>
    <n v="0"/>
    <n v="0"/>
    <n v="6"/>
    <x v="1"/>
    <s v="High"/>
    <s v="6-10 Years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x v="0"/>
    <n v="5"/>
    <n v="4"/>
    <n v="0"/>
    <n v="4"/>
    <x v="2"/>
    <s v="Low"/>
    <s v="3-5 Years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x v="1"/>
    <n v="17"/>
    <n v="13"/>
    <n v="1"/>
    <n v="9"/>
    <x v="0"/>
    <s v="High"/>
    <s v="11+ Years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x v="3"/>
    <n v="9"/>
    <n v="7"/>
    <n v="1"/>
    <n v="7"/>
    <x v="2"/>
    <s v="Low"/>
    <s v="6-10 Years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x v="3"/>
    <n v="33"/>
    <n v="7"/>
    <n v="15"/>
    <n v="12"/>
    <x v="1"/>
    <s v="High"/>
    <s v="11+ Years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x v="1"/>
    <n v="4"/>
    <n v="3"/>
    <n v="1"/>
    <n v="2"/>
    <x v="2"/>
    <s v="Low"/>
    <s v="3-5 Years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x v="0"/>
    <n v="3"/>
    <n v="2"/>
    <n v="1"/>
    <n v="2"/>
    <x v="2"/>
    <s v="Low"/>
    <s v="3-5 Years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x v="1"/>
    <n v="3"/>
    <n v="2"/>
    <n v="1"/>
    <n v="2"/>
    <x v="0"/>
    <s v="Low"/>
    <s v="3-5 Years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x v="1"/>
    <n v="3"/>
    <n v="2"/>
    <n v="2"/>
    <n v="2"/>
    <x v="2"/>
    <s v="Low"/>
    <s v="3-5 Years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x v="2"/>
    <n v="1"/>
    <n v="0"/>
    <n v="0"/>
    <n v="0"/>
    <x v="0"/>
    <s v="Low"/>
    <s v="0-2 Years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x v="1"/>
    <n v="9"/>
    <n v="8"/>
    <n v="4"/>
    <n v="7"/>
    <x v="0"/>
    <s v="Low"/>
    <s v="6-10 Years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x v="1"/>
    <n v="24"/>
    <n v="0"/>
    <n v="1"/>
    <n v="7"/>
    <x v="0"/>
    <s v="High"/>
    <s v="11+ Years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x v="1"/>
    <n v="2"/>
    <n v="2"/>
    <n v="2"/>
    <n v="2"/>
    <x v="2"/>
    <s v="High"/>
    <s v="0-2 Years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x v="2"/>
    <n v="2"/>
    <n v="2"/>
    <n v="0"/>
    <n v="2"/>
    <x v="2"/>
    <s v="Low"/>
    <s v="0-2 Years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x v="1"/>
    <n v="11"/>
    <n v="9"/>
    <n v="5"/>
    <n v="9"/>
    <x v="2"/>
    <s v="Medium"/>
    <s v="11+ Years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x v="2"/>
    <n v="3"/>
    <n v="1"/>
    <n v="0"/>
    <n v="2"/>
    <x v="0"/>
    <s v="Low"/>
    <s v="3-5 Years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x v="1"/>
    <n v="3"/>
    <n v="2"/>
    <n v="0"/>
    <n v="2"/>
    <x v="0"/>
    <s v="Medium"/>
    <s v="3-5 Years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x v="1"/>
    <n v="1"/>
    <n v="0"/>
    <n v="0"/>
    <n v="0"/>
    <x v="0"/>
    <s v="High"/>
    <s v="0-2 Years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x v="1"/>
    <n v="19"/>
    <n v="6"/>
    <n v="11"/>
    <n v="8"/>
    <x v="0"/>
    <s v="High"/>
    <s v="11+ Years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x v="1"/>
    <n v="6"/>
    <n v="5"/>
    <n v="1"/>
    <n v="5"/>
    <x v="2"/>
    <s v="Low"/>
    <s v="6-10 Years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x v="1"/>
    <n v="3"/>
    <n v="2"/>
    <n v="0"/>
    <n v="2"/>
    <x v="0"/>
    <s v="Medium"/>
    <s v="3-5 Years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x v="1"/>
    <n v="3"/>
    <n v="2"/>
    <n v="0"/>
    <n v="2"/>
    <x v="2"/>
    <s v="Medium"/>
    <s v="3-5 Years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x v="1"/>
    <n v="4"/>
    <n v="2"/>
    <n v="1"/>
    <n v="2"/>
    <x v="4"/>
    <s v="Low"/>
    <s v="3-5 Years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x v="1"/>
    <n v="9"/>
    <n v="6"/>
    <n v="7"/>
    <n v="8"/>
    <x v="0"/>
    <s v="Low"/>
    <s v="6-10 Years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x v="1"/>
    <n v="21"/>
    <n v="7"/>
    <n v="3"/>
    <n v="9"/>
    <x v="0"/>
    <s v="High"/>
    <s v="11+ Years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x v="2"/>
    <n v="1"/>
    <n v="0"/>
    <n v="0"/>
    <n v="0"/>
    <x v="1"/>
    <s v="Low"/>
    <s v="0-2 Years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x v="3"/>
    <n v="5"/>
    <n v="4"/>
    <n v="1"/>
    <n v="4"/>
    <x v="2"/>
    <s v="Low"/>
    <s v="3-5 Years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x v="0"/>
    <n v="5"/>
    <n v="1"/>
    <n v="0"/>
    <n v="3"/>
    <x v="2"/>
    <s v="Low"/>
    <s v="3-5 Years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x v="1"/>
    <n v="8"/>
    <n v="7"/>
    <n v="7"/>
    <n v="5"/>
    <x v="0"/>
    <s v="Medium"/>
    <s v="6-10 Years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x v="1"/>
    <n v="6"/>
    <n v="2"/>
    <n v="0"/>
    <n v="4"/>
    <x v="2"/>
    <s v="Low"/>
    <s v="6-10 Years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x v="2"/>
    <n v="7"/>
    <n v="7"/>
    <n v="7"/>
    <n v="7"/>
    <x v="1"/>
    <s v="High"/>
    <s v="6-10 Years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x v="0"/>
    <n v="0"/>
    <n v="0"/>
    <n v="0"/>
    <n v="0"/>
    <x v="2"/>
    <s v="Low"/>
    <s v="0-2 Years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x v="1"/>
    <n v="0"/>
    <n v="0"/>
    <n v="0"/>
    <n v="0"/>
    <x v="2"/>
    <s v="Medium"/>
    <s v="0-2 Years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x v="1"/>
    <n v="9"/>
    <n v="0"/>
    <n v="7"/>
    <n v="8"/>
    <x v="2"/>
    <s v="Medium"/>
    <s v="6-10 Years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x v="1"/>
    <n v="6"/>
    <n v="3"/>
    <n v="1"/>
    <n v="5"/>
    <x v="4"/>
    <s v="Low"/>
    <s v="6-10 Years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x v="1"/>
    <n v="20"/>
    <n v="7"/>
    <n v="4"/>
    <n v="10"/>
    <x v="0"/>
    <s v="High"/>
    <s v="11+ Years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x v="1"/>
    <n v="15"/>
    <n v="13"/>
    <n v="10"/>
    <n v="11"/>
    <x v="0"/>
    <s v="Low"/>
    <s v="11+ Years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x v="1"/>
    <n v="36"/>
    <n v="10"/>
    <n v="4"/>
    <n v="13"/>
    <x v="1"/>
    <s v="High"/>
    <s v="11+ Years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x v="2"/>
    <n v="10"/>
    <n v="7"/>
    <n v="9"/>
    <n v="9"/>
    <x v="1"/>
    <s v="High"/>
    <s v="6-10 Years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x v="2"/>
    <n v="5"/>
    <n v="2"/>
    <n v="0"/>
    <n v="4"/>
    <x v="2"/>
    <s v="Low"/>
    <s v="3-5 Years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x v="3"/>
    <n v="5"/>
    <n v="4"/>
    <n v="0"/>
    <n v="1"/>
    <x v="0"/>
    <s v="Medium"/>
    <s v="3-5 Years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x v="3"/>
    <n v="3"/>
    <n v="2"/>
    <n v="1"/>
    <n v="0"/>
    <x v="4"/>
    <s v="Low"/>
    <s v="3-5 Years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x v="1"/>
    <n v="5"/>
    <n v="2"/>
    <n v="0"/>
    <n v="2"/>
    <x v="0"/>
    <s v="High"/>
    <s v="3-5 Years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x v="2"/>
    <n v="7"/>
    <n v="7"/>
    <n v="6"/>
    <n v="2"/>
    <x v="2"/>
    <s v="High"/>
    <s v="6-10 Years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x v="1"/>
    <n v="8"/>
    <n v="0"/>
    <n v="7"/>
    <n v="7"/>
    <x v="0"/>
    <s v="Medium"/>
    <s v="6-10 Years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x v="0"/>
    <n v="6"/>
    <n v="5"/>
    <n v="1"/>
    <n v="4"/>
    <x v="2"/>
    <s v="Medium"/>
    <s v="6-10 Years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x v="2"/>
    <n v="10"/>
    <n v="4"/>
    <n v="1"/>
    <n v="6"/>
    <x v="1"/>
    <s v="High"/>
    <s v="6-10 Years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x v="2"/>
    <n v="5"/>
    <n v="3"/>
    <n v="1"/>
    <n v="3"/>
    <x v="1"/>
    <s v="High"/>
    <s v="3-5 Years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x v="1"/>
    <n v="20"/>
    <n v="16"/>
    <n v="11"/>
    <n v="6"/>
    <x v="0"/>
    <s v="Low"/>
    <s v="11+ Years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x v="2"/>
    <n v="10"/>
    <n v="7"/>
    <n v="0"/>
    <n v="9"/>
    <x v="2"/>
    <s v="Low"/>
    <s v="6-10 Years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x v="1"/>
    <n v="10"/>
    <n v="7"/>
    <n v="0"/>
    <n v="8"/>
    <x v="1"/>
    <s v="Medium"/>
    <s v="6-10 Years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x v="1"/>
    <n v="5"/>
    <n v="3"/>
    <n v="3"/>
    <n v="3"/>
    <x v="2"/>
    <s v="Low"/>
    <s v="3-5 Years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x v="1"/>
    <n v="17"/>
    <n v="12"/>
    <n v="5"/>
    <n v="7"/>
    <x v="0"/>
    <s v="Low"/>
    <s v="11+ Years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x v="0"/>
    <n v="1"/>
    <n v="0"/>
    <n v="0"/>
    <n v="0"/>
    <x v="0"/>
    <s v="Low"/>
    <s v="0-2 Years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x v="1"/>
    <n v="2"/>
    <n v="2"/>
    <n v="1"/>
    <n v="2"/>
    <x v="0"/>
    <s v="Medium"/>
    <s v="0-2 Years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x v="1"/>
    <n v="3"/>
    <n v="2"/>
    <n v="0"/>
    <n v="2"/>
    <x v="2"/>
    <s v="Low"/>
    <s v="3-5 Years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x v="1"/>
    <n v="5"/>
    <n v="3"/>
    <n v="0"/>
    <n v="2"/>
    <x v="2"/>
    <s v="Low"/>
    <s v="3-5 Years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x v="1"/>
    <n v="3"/>
    <n v="2"/>
    <n v="1"/>
    <n v="2"/>
    <x v="1"/>
    <s v="High"/>
    <s v="3-5 Years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x v="1"/>
    <n v="8"/>
    <n v="0"/>
    <n v="7"/>
    <n v="7"/>
    <x v="0"/>
    <s v="Low"/>
    <s v="6-10 Years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x v="2"/>
    <n v="2"/>
    <n v="2"/>
    <n v="2"/>
    <n v="2"/>
    <x v="2"/>
    <s v="Low"/>
    <s v="0-2 Years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x v="1"/>
    <n v="8"/>
    <n v="7"/>
    <n v="7"/>
    <n v="4"/>
    <x v="2"/>
    <s v="Medium"/>
    <s v="6-10 Years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x v="2"/>
    <n v="4"/>
    <n v="2"/>
    <n v="1"/>
    <n v="2"/>
    <x v="0"/>
    <s v="Low"/>
    <s v="3-5 Years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x v="3"/>
    <n v="20"/>
    <n v="4"/>
    <n v="4"/>
    <n v="8"/>
    <x v="0"/>
    <s v="High"/>
    <s v="11+ Years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x v="1"/>
    <n v="0"/>
    <n v="0"/>
    <n v="0"/>
    <n v="0"/>
    <x v="4"/>
    <s v="Low"/>
    <s v="0-2 Years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x v="2"/>
    <n v="11"/>
    <n v="9"/>
    <n v="6"/>
    <n v="9"/>
    <x v="2"/>
    <s v="Medium"/>
    <s v="11+ Years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x v="1"/>
    <n v="1"/>
    <n v="0"/>
    <n v="0"/>
    <n v="0"/>
    <x v="0"/>
    <s v="Low"/>
    <s v="0-2 Years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x v="1"/>
    <n v="4"/>
    <n v="1"/>
    <n v="1"/>
    <n v="2"/>
    <x v="1"/>
    <s v="Medium"/>
    <s v="3-5 Years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x v="1"/>
    <n v="22"/>
    <n v="10"/>
    <n v="0"/>
    <n v="4"/>
    <x v="0"/>
    <s v="High"/>
    <s v="11+ Years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x v="1"/>
    <n v="0"/>
    <n v="0"/>
    <n v="0"/>
    <n v="0"/>
    <x v="4"/>
    <s v="Low"/>
    <s v="0-2 Years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x v="1"/>
    <n v="8"/>
    <n v="3"/>
    <n v="0"/>
    <n v="7"/>
    <x v="2"/>
    <s v="Medium"/>
    <s v="6-10 Years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x v="2"/>
    <n v="8"/>
    <n v="7"/>
    <n v="7"/>
    <n v="7"/>
    <x v="2"/>
    <s v="Medium"/>
    <s v="6-10 Years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x v="2"/>
    <n v="18"/>
    <n v="10"/>
    <n v="3"/>
    <n v="7"/>
    <x v="0"/>
    <s v="Medium"/>
    <s v="11+ Years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x v="1"/>
    <n v="9"/>
    <n v="8"/>
    <n v="0"/>
    <n v="8"/>
    <x v="0"/>
    <s v="Medium"/>
    <s v="6-10 Years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x v="2"/>
    <n v="13"/>
    <n v="8"/>
    <n v="4"/>
    <n v="8"/>
    <x v="2"/>
    <s v="Medium"/>
    <s v="11+ Years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x v="1"/>
    <n v="10"/>
    <n v="8"/>
    <n v="0"/>
    <n v="1"/>
    <x v="0"/>
    <s v="High"/>
    <s v="6-10 Years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x v="1"/>
    <n v="5"/>
    <n v="3"/>
    <n v="1"/>
    <n v="2"/>
    <x v="3"/>
    <s v="Medium"/>
    <s v="3-5 Years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x v="1"/>
    <n v="5"/>
    <n v="2"/>
    <n v="0"/>
    <n v="3"/>
    <x v="2"/>
    <s v="Low"/>
    <s v="3-5 Years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x v="1"/>
    <n v="2"/>
    <n v="2"/>
    <n v="1"/>
    <n v="0"/>
    <x v="2"/>
    <s v="Medium"/>
    <s v="0-2 Years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x v="1"/>
    <n v="24"/>
    <n v="9"/>
    <n v="9"/>
    <n v="11"/>
    <x v="0"/>
    <s v="Medium"/>
    <s v="11+ Years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x v="0"/>
    <n v="2"/>
    <n v="2"/>
    <n v="2"/>
    <n v="2"/>
    <x v="2"/>
    <s v="Low"/>
    <s v="0-2 Years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x v="1"/>
    <n v="10"/>
    <n v="6"/>
    <n v="8"/>
    <n v="8"/>
    <x v="2"/>
    <s v="High"/>
    <s v="6-10 Years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x v="1"/>
    <n v="21"/>
    <n v="9"/>
    <n v="11"/>
    <n v="10"/>
    <x v="0"/>
    <s v="High"/>
    <s v="11+ Years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x v="1"/>
    <n v="8"/>
    <n v="7"/>
    <n v="1"/>
    <n v="7"/>
    <x v="0"/>
    <s v="Low"/>
    <s v="6-10 Years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x v="1"/>
    <n v="7"/>
    <n v="1"/>
    <n v="0"/>
    <n v="7"/>
    <x v="1"/>
    <s v="High"/>
    <s v="6-10 Years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x v="2"/>
    <n v="8"/>
    <n v="2"/>
    <n v="7"/>
    <n v="7"/>
    <x v="1"/>
    <s v="Low"/>
    <s v="6-10 Years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x v="2"/>
    <n v="4"/>
    <n v="3"/>
    <n v="1"/>
    <n v="2"/>
    <x v="2"/>
    <s v="Low"/>
    <s v="3-5 Years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x v="1"/>
    <n v="13"/>
    <n v="12"/>
    <n v="11"/>
    <n v="9"/>
    <x v="2"/>
    <s v="Medium"/>
    <s v="11+ Years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x v="1"/>
    <n v="5"/>
    <n v="4"/>
    <n v="0"/>
    <n v="4"/>
    <x v="2"/>
    <s v="Low"/>
    <s v="3-5 Years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x v="1"/>
    <n v="7"/>
    <n v="7"/>
    <n v="1"/>
    <n v="7"/>
    <x v="2"/>
    <s v="Medium"/>
    <s v="6-10 Years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x v="2"/>
    <n v="7"/>
    <n v="7"/>
    <n v="0"/>
    <n v="7"/>
    <x v="2"/>
    <s v="Medium"/>
    <s v="6-10 Years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x v="2"/>
    <n v="3"/>
    <n v="2"/>
    <n v="2"/>
    <n v="2"/>
    <x v="2"/>
    <s v="Low"/>
    <s v="3-5 Years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x v="1"/>
    <n v="10"/>
    <n v="8"/>
    <n v="1"/>
    <n v="9"/>
    <x v="2"/>
    <s v="Medium"/>
    <s v="6-10 Years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x v="1"/>
    <n v="10"/>
    <n v="9"/>
    <n v="8"/>
    <n v="9"/>
    <x v="2"/>
    <s v="Medium"/>
    <s v="6-10 Years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x v="1"/>
    <n v="21"/>
    <n v="9"/>
    <n v="13"/>
    <n v="3"/>
    <x v="0"/>
    <s v="High"/>
    <s v="11+ Years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x v="2"/>
    <n v="1"/>
    <n v="0"/>
    <n v="0"/>
    <n v="0"/>
    <x v="0"/>
    <s v="Medium"/>
    <s v="0-2 Years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x v="2"/>
    <n v="7"/>
    <n v="7"/>
    <n v="0"/>
    <n v="1"/>
    <x v="2"/>
    <s v="Low"/>
    <s v="6-10 Years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x v="1"/>
    <n v="3"/>
    <n v="2"/>
    <n v="1"/>
    <n v="1"/>
    <x v="1"/>
    <s v="High"/>
    <s v="3-5 Years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x v="3"/>
    <n v="9"/>
    <n v="7"/>
    <n v="0"/>
    <n v="0"/>
    <x v="0"/>
    <s v="Medium"/>
    <s v="6-10 Years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x v="1"/>
    <n v="5"/>
    <n v="4"/>
    <n v="1"/>
    <n v="4"/>
    <x v="2"/>
    <s v="Medium"/>
    <s v="3-5 Years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x v="2"/>
    <n v="4"/>
    <n v="3"/>
    <n v="0"/>
    <n v="3"/>
    <x v="1"/>
    <s v="Low"/>
    <s v="3-5 Years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x v="2"/>
    <n v="1"/>
    <n v="0"/>
    <n v="0"/>
    <n v="0"/>
    <x v="0"/>
    <s v="Medium"/>
    <s v="0-2 Years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x v="1"/>
    <n v="10"/>
    <n v="9"/>
    <n v="9"/>
    <n v="8"/>
    <x v="0"/>
    <s v="Low"/>
    <s v="6-10 Years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x v="2"/>
    <n v="4"/>
    <n v="3"/>
    <n v="0"/>
    <n v="2"/>
    <x v="0"/>
    <s v="Medium"/>
    <s v="3-5 Years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x v="2"/>
    <n v="7"/>
    <n v="7"/>
    <n v="0"/>
    <n v="7"/>
    <x v="2"/>
    <s v="Low"/>
    <s v="6-10 Years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x v="1"/>
    <n v="3"/>
    <n v="2"/>
    <n v="2"/>
    <n v="2"/>
    <x v="2"/>
    <s v="Low"/>
    <s v="3-5 Years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x v="1"/>
    <n v="10"/>
    <n v="9"/>
    <n v="1"/>
    <n v="2"/>
    <x v="2"/>
    <s v="Medium"/>
    <s v="6-10 Years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x v="1"/>
    <n v="8"/>
    <n v="7"/>
    <n v="0"/>
    <n v="7"/>
    <x v="2"/>
    <s v="Medium"/>
    <s v="6-10 Years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x v="2"/>
    <n v="6"/>
    <n v="2"/>
    <n v="0"/>
    <n v="4"/>
    <x v="0"/>
    <s v="Medium"/>
    <s v="6-10 Years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x v="1"/>
    <n v="11"/>
    <n v="10"/>
    <n v="2"/>
    <n v="9"/>
    <x v="0"/>
    <s v="High"/>
    <s v="11+ Years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x v="2"/>
    <n v="11"/>
    <n v="9"/>
    <n v="4"/>
    <n v="10"/>
    <x v="2"/>
    <s v="Medium"/>
    <s v="11+ Years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x v="1"/>
    <n v="7"/>
    <n v="7"/>
    <n v="1"/>
    <n v="7"/>
    <x v="2"/>
    <s v="Medium"/>
    <s v="6-10 Years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x v="1"/>
    <n v="16"/>
    <n v="6"/>
    <n v="0"/>
    <n v="13"/>
    <x v="2"/>
    <s v="Medium"/>
    <s v="11+ Years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x v="2"/>
    <n v="4"/>
    <n v="2"/>
    <n v="0"/>
    <n v="2"/>
    <x v="4"/>
    <s v="Low"/>
    <s v="3-5 Years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x v="1"/>
    <n v="5"/>
    <n v="4"/>
    <n v="1"/>
    <n v="2"/>
    <x v="0"/>
    <s v="Medium"/>
    <s v="3-5 Years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x v="1"/>
    <n v="0"/>
    <n v="0"/>
    <n v="0"/>
    <n v="0"/>
    <x v="1"/>
    <s v="Low"/>
    <s v="0-2 Years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x v="1"/>
    <n v="1"/>
    <n v="0"/>
    <n v="0"/>
    <n v="0"/>
    <x v="0"/>
    <s v="High"/>
    <s v="0-2 Years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x v="2"/>
    <n v="4"/>
    <n v="3"/>
    <n v="0"/>
    <n v="2"/>
    <x v="2"/>
    <s v="Low"/>
    <s v="3-5 Years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x v="1"/>
    <n v="3"/>
    <n v="2"/>
    <n v="1"/>
    <n v="0"/>
    <x v="0"/>
    <s v="Low"/>
    <s v="3-5 Years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x v="1"/>
    <n v="8"/>
    <n v="0"/>
    <n v="0"/>
    <n v="7"/>
    <x v="2"/>
    <s v="Low"/>
    <s v="6-10 Years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x v="0"/>
    <n v="0"/>
    <n v="0"/>
    <n v="0"/>
    <n v="0"/>
    <x v="1"/>
    <s v="High"/>
    <s v="0-2 Years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x v="1"/>
    <n v="7"/>
    <n v="7"/>
    <n v="6"/>
    <n v="7"/>
    <x v="0"/>
    <s v="Medium"/>
    <s v="6-10 Years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x v="3"/>
    <n v="2"/>
    <n v="2"/>
    <n v="2"/>
    <n v="2"/>
    <x v="2"/>
    <s v="Low"/>
    <s v="0-2 Years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x v="1"/>
    <n v="8"/>
    <n v="7"/>
    <n v="7"/>
    <n v="7"/>
    <x v="2"/>
    <s v="Medium"/>
    <s v="6-10 Years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x v="1"/>
    <n v="1"/>
    <n v="0"/>
    <n v="0"/>
    <n v="0"/>
    <x v="0"/>
    <s v="Medium"/>
    <s v="0-2 Years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x v="1"/>
    <n v="3"/>
    <n v="2"/>
    <n v="1"/>
    <n v="2"/>
    <x v="4"/>
    <s v="Low"/>
    <s v="3-5 Years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x v="1"/>
    <n v="1"/>
    <n v="0"/>
    <n v="0"/>
    <n v="0"/>
    <x v="0"/>
    <s v="Medium"/>
    <s v="0-2 Years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x v="1"/>
    <n v="13"/>
    <n v="9"/>
    <n v="1"/>
    <n v="12"/>
    <x v="0"/>
    <s v="Medium"/>
    <s v="11+ Years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x v="1"/>
    <n v="3"/>
    <n v="2"/>
    <n v="1"/>
    <n v="2"/>
    <x v="3"/>
    <s v="Medium"/>
    <s v="3-5 Years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x v="1"/>
    <n v="7"/>
    <n v="7"/>
    <n v="1"/>
    <n v="7"/>
    <x v="0"/>
    <s v="Low"/>
    <s v="6-10 Years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x v="2"/>
    <n v="3"/>
    <n v="2"/>
    <n v="2"/>
    <n v="2"/>
    <x v="4"/>
    <s v="Low"/>
    <s v="3-5 Years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x v="1"/>
    <n v="1"/>
    <n v="0"/>
    <n v="0"/>
    <n v="0"/>
    <x v="2"/>
    <s v="Low"/>
    <s v="0-2 Years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x v="1"/>
    <n v="5"/>
    <n v="4"/>
    <n v="0"/>
    <n v="3"/>
    <x v="0"/>
    <s v="Low"/>
    <s v="3-5 Years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x v="3"/>
    <n v="1"/>
    <n v="0"/>
    <n v="0"/>
    <n v="0"/>
    <x v="1"/>
    <s v="Medium"/>
    <s v="0-2 Years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x v="1"/>
    <n v="8"/>
    <n v="7"/>
    <n v="7"/>
    <n v="7"/>
    <x v="0"/>
    <s v="Medium"/>
    <s v="6-10 Years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x v="1"/>
    <n v="4"/>
    <n v="3"/>
    <n v="1"/>
    <n v="3"/>
    <x v="1"/>
    <s v="High"/>
    <s v="3-5 Years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x v="1"/>
    <n v="6"/>
    <n v="4"/>
    <n v="1"/>
    <n v="0"/>
    <x v="0"/>
    <s v="Medium"/>
    <s v="6-10 Years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x v="1"/>
    <n v="2"/>
    <n v="2"/>
    <n v="2"/>
    <n v="2"/>
    <x v="2"/>
    <s v="Low"/>
    <s v="0-2 Years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x v="1"/>
    <n v="1"/>
    <n v="0"/>
    <n v="0"/>
    <n v="0"/>
    <x v="4"/>
    <s v="Low"/>
    <s v="0-2 Years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x v="1"/>
    <n v="3"/>
    <n v="2"/>
    <n v="1"/>
    <n v="2"/>
    <x v="2"/>
    <s v="Low"/>
    <s v="3-5 Years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x v="1"/>
    <n v="1"/>
    <n v="1"/>
    <n v="0"/>
    <n v="0"/>
    <x v="2"/>
    <s v="Medium"/>
    <s v="0-2 Years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x v="1"/>
    <n v="5"/>
    <n v="2"/>
    <n v="0"/>
    <n v="4"/>
    <x v="2"/>
    <s v="Low"/>
    <s v="3-5 Years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x v="1"/>
    <n v="7"/>
    <n v="5"/>
    <n v="0"/>
    <n v="7"/>
    <x v="2"/>
    <s v="Medium"/>
    <s v="6-10 Years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x v="1"/>
    <n v="5"/>
    <n v="2"/>
    <n v="0"/>
    <n v="0"/>
    <x v="1"/>
    <s v="High"/>
    <s v="3-5 Years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x v="2"/>
    <n v="7"/>
    <n v="7"/>
    <n v="0"/>
    <n v="7"/>
    <x v="1"/>
    <s v="Low"/>
    <s v="6-10 Years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x v="1"/>
    <n v="2"/>
    <n v="2"/>
    <n v="2"/>
    <n v="2"/>
    <x v="0"/>
    <s v="Low"/>
    <s v="0-2 Years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x v="2"/>
    <n v="5"/>
    <n v="2"/>
    <n v="0"/>
    <n v="4"/>
    <x v="2"/>
    <s v="Medium"/>
    <s v="3-5 Years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x v="1"/>
    <n v="5"/>
    <n v="4"/>
    <n v="1"/>
    <n v="2"/>
    <x v="1"/>
    <s v="High"/>
    <s v="3-5 Years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x v="3"/>
    <n v="5"/>
    <n v="2"/>
    <n v="0"/>
    <n v="3"/>
    <x v="4"/>
    <s v="Low"/>
    <s v="3-5 Years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x v="1"/>
    <n v="1"/>
    <n v="0"/>
    <n v="0"/>
    <n v="0"/>
    <x v="2"/>
    <s v="Low"/>
    <s v="0-2 Years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x v="1"/>
    <n v="6"/>
    <n v="4"/>
    <n v="0"/>
    <n v="4"/>
    <x v="2"/>
    <s v="Low"/>
    <s v="6-10 Years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x v="1"/>
    <n v="2"/>
    <n v="1"/>
    <n v="1"/>
    <n v="2"/>
    <x v="4"/>
    <s v="Low"/>
    <s v="0-2 Years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x v="1"/>
    <n v="10"/>
    <n v="9"/>
    <n v="9"/>
    <n v="0"/>
    <x v="0"/>
    <s v="Medium"/>
    <s v="6-10 Years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x v="1"/>
    <n v="1"/>
    <n v="0"/>
    <n v="0"/>
    <n v="0"/>
    <x v="2"/>
    <s v="Low"/>
    <s v="0-2 Years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x v="2"/>
    <n v="18"/>
    <n v="7"/>
    <n v="12"/>
    <n v="17"/>
    <x v="0"/>
    <s v="Low"/>
    <s v="11+ Years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x v="1"/>
    <n v="5"/>
    <n v="4"/>
    <n v="1"/>
    <n v="3"/>
    <x v="0"/>
    <s v="Medium"/>
    <s v="3-5 Years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x v="1"/>
    <n v="5"/>
    <n v="2"/>
    <n v="1"/>
    <n v="2"/>
    <x v="0"/>
    <s v="Low"/>
    <s v="3-5 Years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x v="2"/>
    <n v="1"/>
    <n v="0"/>
    <n v="0"/>
    <n v="1"/>
    <x v="0"/>
    <s v="Low"/>
    <s v="0-2 Years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x v="1"/>
    <n v="25"/>
    <n v="10"/>
    <n v="3"/>
    <n v="9"/>
    <x v="0"/>
    <s v="High"/>
    <s v="11+ Years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x v="1"/>
    <n v="1"/>
    <n v="0"/>
    <n v="0"/>
    <n v="0"/>
    <x v="0"/>
    <s v="Low"/>
    <s v="0-2 Years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x v="2"/>
    <n v="4"/>
    <n v="2"/>
    <n v="1"/>
    <n v="2"/>
    <x v="1"/>
    <s v="High"/>
    <s v="3-5 Years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x v="1"/>
    <n v="3"/>
    <n v="2"/>
    <n v="1"/>
    <n v="2"/>
    <x v="2"/>
    <s v="Medium"/>
    <s v="3-5 Years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x v="0"/>
    <n v="13"/>
    <n v="10"/>
    <n v="3"/>
    <n v="12"/>
    <x v="2"/>
    <s v="Low"/>
    <s v="11+ Years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x v="1"/>
    <n v="3"/>
    <n v="2"/>
    <n v="1"/>
    <n v="2"/>
    <x v="0"/>
    <s v="Low"/>
    <s v="3-5 Years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x v="1"/>
    <n v="5"/>
    <n v="2"/>
    <n v="0"/>
    <n v="2"/>
    <x v="0"/>
    <s v="Low"/>
    <s v="3-5 Years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x v="1"/>
    <n v="5"/>
    <n v="4"/>
    <n v="1"/>
    <n v="3"/>
    <x v="4"/>
    <s v="Low"/>
    <s v="3-5 Years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x v="1"/>
    <n v="13"/>
    <n v="11"/>
    <n v="10"/>
    <n v="7"/>
    <x v="0"/>
    <s v="Low"/>
    <s v="11+ Years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x v="1"/>
    <n v="4"/>
    <n v="2"/>
    <n v="3"/>
    <n v="2"/>
    <x v="2"/>
    <s v="Low"/>
    <s v="3-5 Years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x v="1"/>
    <n v="21"/>
    <n v="8"/>
    <n v="1"/>
    <n v="6"/>
    <x v="0"/>
    <s v="High"/>
    <s v="11+ Years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x v="2"/>
    <n v="7"/>
    <n v="7"/>
    <n v="7"/>
    <n v="7"/>
    <x v="3"/>
    <s v="High"/>
    <s v="6-10 Years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x v="1"/>
    <n v="5"/>
    <n v="4"/>
    <n v="4"/>
    <n v="4"/>
    <x v="2"/>
    <s v="Medium"/>
    <s v="3-5 Years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x v="1"/>
    <n v="10"/>
    <n v="7"/>
    <n v="0"/>
    <n v="7"/>
    <x v="0"/>
    <s v="Medium"/>
    <s v="6-10 Years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x v="1"/>
    <n v="10"/>
    <n v="0"/>
    <n v="1"/>
    <n v="8"/>
    <x v="2"/>
    <s v="Low"/>
    <s v="6-10 Years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x v="1"/>
    <n v="2"/>
    <n v="2"/>
    <n v="0"/>
    <n v="2"/>
    <x v="4"/>
    <s v="Low"/>
    <s v="0-2 Years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x v="1"/>
    <n v="5"/>
    <n v="4"/>
    <n v="0"/>
    <n v="4"/>
    <x v="1"/>
    <s v="Medium"/>
    <s v="3-5 Years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x v="2"/>
    <n v="2"/>
    <n v="2"/>
    <n v="0"/>
    <n v="2"/>
    <x v="0"/>
    <s v="Low"/>
    <s v="0-2 Years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x v="0"/>
    <n v="5"/>
    <n v="2"/>
    <n v="1"/>
    <n v="4"/>
    <x v="1"/>
    <s v="High"/>
    <s v="3-5 Years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x v="1"/>
    <n v="5"/>
    <n v="4"/>
    <n v="0"/>
    <n v="2"/>
    <x v="0"/>
    <s v="Low"/>
    <s v="3-5 Years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x v="1"/>
    <n v="5"/>
    <n v="4"/>
    <n v="0"/>
    <n v="2"/>
    <x v="2"/>
    <s v="Medium"/>
    <s v="3-5 Years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x v="0"/>
    <n v="29"/>
    <n v="8"/>
    <n v="11"/>
    <n v="10"/>
    <x v="3"/>
    <s v="High"/>
    <s v="11+ Years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x v="2"/>
    <n v="10"/>
    <n v="7"/>
    <n v="0"/>
    <n v="8"/>
    <x v="1"/>
    <s v="Low"/>
    <s v="6-10 Years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x v="3"/>
    <n v="6"/>
    <n v="5"/>
    <n v="0"/>
    <n v="4"/>
    <x v="0"/>
    <s v="Low"/>
    <s v="6-10 Years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x v="1"/>
    <n v="5"/>
    <n v="3"/>
    <n v="1"/>
    <n v="4"/>
    <x v="4"/>
    <s v="Low"/>
    <s v="3-5 Years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x v="2"/>
    <n v="2"/>
    <n v="2"/>
    <n v="1"/>
    <n v="0"/>
    <x v="2"/>
    <s v="Low"/>
    <s v="0-2 Years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x v="1"/>
    <n v="1"/>
    <n v="0"/>
    <n v="0"/>
    <n v="0"/>
    <x v="0"/>
    <s v="Low"/>
    <s v="0-2 Years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x v="1"/>
    <n v="20"/>
    <n v="15"/>
    <n v="1"/>
    <n v="12"/>
    <x v="0"/>
    <s v="High"/>
    <s v="11+ Years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x v="0"/>
    <n v="3"/>
    <n v="2"/>
    <n v="0"/>
    <n v="2"/>
    <x v="2"/>
    <s v="Low"/>
    <s v="3-5 Years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x v="0"/>
    <n v="5"/>
    <n v="3"/>
    <n v="1"/>
    <n v="4"/>
    <x v="2"/>
    <s v="Low"/>
    <s v="3-5 Years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x v="1"/>
    <n v="10"/>
    <n v="2"/>
    <n v="0"/>
    <n v="7"/>
    <x v="2"/>
    <s v="High"/>
    <s v="6-10 Years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x v="3"/>
    <n v="2"/>
    <n v="2"/>
    <n v="1"/>
    <n v="1"/>
    <x v="2"/>
    <s v="Low"/>
    <s v="0-2 Years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x v="3"/>
    <n v="1"/>
    <n v="0"/>
    <n v="0"/>
    <n v="0"/>
    <x v="4"/>
    <s v="Low"/>
    <s v="0-2 Years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x v="1"/>
    <n v="9"/>
    <n v="8"/>
    <n v="7"/>
    <n v="8"/>
    <x v="2"/>
    <s v="Medium"/>
    <s v="6-10 Years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x v="2"/>
    <n v="1"/>
    <n v="0"/>
    <n v="0"/>
    <n v="0"/>
    <x v="3"/>
    <s v="High"/>
    <s v="0-2 Years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x v="1"/>
    <n v="27"/>
    <n v="10"/>
    <n v="15"/>
    <n v="7"/>
    <x v="1"/>
    <s v="High"/>
    <s v="11+ Years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x v="2"/>
    <n v="11"/>
    <n v="7"/>
    <n v="6"/>
    <n v="7"/>
    <x v="2"/>
    <s v="Low"/>
    <s v="11+ Years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x v="3"/>
    <n v="18"/>
    <n v="13"/>
    <n v="13"/>
    <n v="11"/>
    <x v="3"/>
    <s v="High"/>
    <s v="11+ Years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x v="1"/>
    <n v="5"/>
    <n v="0"/>
    <n v="0"/>
    <n v="4"/>
    <x v="1"/>
    <s v="Medium"/>
    <s v="3-5 Years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x v="0"/>
    <n v="3"/>
    <n v="2"/>
    <n v="0"/>
    <n v="1"/>
    <x v="1"/>
    <s v="High"/>
    <s v="3-5 Years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x v="1"/>
    <n v="5"/>
    <n v="4"/>
    <n v="4"/>
    <n v="3"/>
    <x v="2"/>
    <s v="Low"/>
    <s v="3-5 Years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x v="1"/>
    <n v="1"/>
    <n v="0"/>
    <n v="0"/>
    <n v="0"/>
    <x v="1"/>
    <s v="Low"/>
    <s v="0-2 Years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x v="1"/>
    <n v="7"/>
    <n v="3"/>
    <n v="5"/>
    <n v="7"/>
    <x v="2"/>
    <s v="Low"/>
    <s v="6-10 Years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x v="1"/>
    <n v="3"/>
    <n v="2"/>
    <n v="1"/>
    <n v="2"/>
    <x v="1"/>
    <s v="Medium"/>
    <s v="3-5 Years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x v="3"/>
    <n v="13"/>
    <n v="8"/>
    <n v="0"/>
    <n v="8"/>
    <x v="2"/>
    <s v="High"/>
    <s v="11+ Years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x v="3"/>
    <n v="7"/>
    <n v="6"/>
    <n v="7"/>
    <n v="7"/>
    <x v="2"/>
    <s v="High"/>
    <s v="6-10 Years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x v="1"/>
    <n v="4"/>
    <n v="3"/>
    <n v="1"/>
    <n v="3"/>
    <x v="2"/>
    <s v="Low"/>
    <s v="3-5 Years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x v="1"/>
    <n v="3"/>
    <n v="2"/>
    <n v="1"/>
    <n v="2"/>
    <x v="2"/>
    <s v="Low"/>
    <s v="3-5 Years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x v="1"/>
    <n v="8"/>
    <n v="7"/>
    <n v="0"/>
    <n v="0"/>
    <x v="2"/>
    <s v="Medium"/>
    <s v="6-10 Years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x v="1"/>
    <n v="1"/>
    <n v="0"/>
    <n v="0"/>
    <n v="0"/>
    <x v="2"/>
    <s v="Medium"/>
    <s v="0-2 Years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x v="1"/>
    <n v="3"/>
    <n v="2"/>
    <n v="0"/>
    <n v="2"/>
    <x v="2"/>
    <s v="Medium"/>
    <s v="3-5 Years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x v="1"/>
    <n v="2"/>
    <n v="2"/>
    <n v="2"/>
    <n v="0"/>
    <x v="0"/>
    <s v="Low"/>
    <s v="0-2 Years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x v="2"/>
    <n v="10"/>
    <n v="3"/>
    <n v="9"/>
    <n v="7"/>
    <x v="0"/>
    <s v="Medium"/>
    <s v="6-10 Years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x v="1"/>
    <n v="2"/>
    <n v="2"/>
    <n v="1"/>
    <n v="2"/>
    <x v="4"/>
    <s v="Low"/>
    <s v="0-2 Years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x v="1"/>
    <n v="9"/>
    <n v="7"/>
    <n v="6"/>
    <n v="7"/>
    <x v="1"/>
    <s v="Low"/>
    <s v="6-10 Years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x v="1"/>
    <n v="10"/>
    <n v="9"/>
    <n v="7"/>
    <n v="7"/>
    <x v="1"/>
    <s v="High"/>
    <s v="6-10 Years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x v="1"/>
    <n v="14"/>
    <n v="3"/>
    <n v="1"/>
    <n v="10"/>
    <x v="0"/>
    <s v="Medium"/>
    <s v="11+ Years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x v="1"/>
    <n v="11"/>
    <n v="9"/>
    <n v="6"/>
    <n v="9"/>
    <x v="2"/>
    <s v="Low"/>
    <s v="11+ Years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x v="1"/>
    <n v="20"/>
    <n v="6"/>
    <n v="5"/>
    <n v="13"/>
    <x v="0"/>
    <s v="High"/>
    <s v="11+ Years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x v="1"/>
    <n v="8"/>
    <n v="3"/>
    <n v="0"/>
    <n v="7"/>
    <x v="0"/>
    <s v="Low"/>
    <s v="6-10 Years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x v="3"/>
    <n v="6"/>
    <n v="5"/>
    <n v="0"/>
    <n v="5"/>
    <x v="2"/>
    <s v="Medium"/>
    <s v="6-10 Years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x v="2"/>
    <n v="10"/>
    <n v="9"/>
    <n v="5"/>
    <n v="8"/>
    <x v="0"/>
    <s v="Medium"/>
    <s v="6-10 Years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x v="3"/>
    <n v="8"/>
    <n v="7"/>
    <n v="3"/>
    <n v="7"/>
    <x v="0"/>
    <s v="Low"/>
    <s v="6-10 Years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x v="2"/>
    <n v="7"/>
    <n v="7"/>
    <n v="1"/>
    <n v="0"/>
    <x v="2"/>
    <s v="Low"/>
    <s v="6-10 Years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x v="3"/>
    <n v="3"/>
    <n v="2"/>
    <n v="1"/>
    <n v="2"/>
    <x v="2"/>
    <s v="Low"/>
    <s v="3-5 Years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x v="1"/>
    <n v="6"/>
    <n v="1"/>
    <n v="0"/>
    <n v="5"/>
    <x v="2"/>
    <s v="High"/>
    <s v="6-10 Years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x v="2"/>
    <n v="5"/>
    <n v="4"/>
    <n v="0"/>
    <n v="1"/>
    <x v="2"/>
    <s v="High"/>
    <s v="3-5 Years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x v="1"/>
    <n v="0"/>
    <n v="0"/>
    <n v="0"/>
    <n v="0"/>
    <x v="4"/>
    <s v="Low"/>
    <s v="0-2 Years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x v="1"/>
    <n v="1"/>
    <n v="0"/>
    <n v="0"/>
    <n v="1"/>
    <x v="0"/>
    <s v="High"/>
    <s v="0-2 Years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x v="1"/>
    <n v="8"/>
    <n v="7"/>
    <n v="0"/>
    <n v="7"/>
    <x v="0"/>
    <s v="Medium"/>
    <s v="6-10 Years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x v="1"/>
    <n v="0"/>
    <n v="0"/>
    <n v="0"/>
    <n v="0"/>
    <x v="2"/>
    <s v="Low"/>
    <s v="0-2 Years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x v="1"/>
    <n v="5"/>
    <n v="4"/>
    <n v="0"/>
    <n v="3"/>
    <x v="2"/>
    <s v="Low"/>
    <s v="3-5 Years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x v="1"/>
    <n v="10"/>
    <n v="7"/>
    <n v="5"/>
    <n v="7"/>
    <x v="2"/>
    <s v="Medium"/>
    <s v="6-10 Years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x v="0"/>
    <n v="1"/>
    <n v="0"/>
    <n v="0"/>
    <n v="0"/>
    <x v="2"/>
    <s v="Low"/>
    <s v="0-2 Years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x v="3"/>
    <n v="6"/>
    <n v="5"/>
    <n v="1"/>
    <n v="2"/>
    <x v="0"/>
    <s v="Medium"/>
    <s v="6-10 Years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x v="2"/>
    <n v="2"/>
    <n v="2"/>
    <n v="1"/>
    <n v="2"/>
    <x v="1"/>
    <s v="High"/>
    <s v="0-2 Years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x v="1"/>
    <n v="18"/>
    <n v="16"/>
    <n v="11"/>
    <n v="8"/>
    <x v="0"/>
    <s v="High"/>
    <s v="11+ Years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x v="1"/>
    <n v="9"/>
    <n v="5"/>
    <n v="7"/>
    <n v="7"/>
    <x v="0"/>
    <s v="Medium"/>
    <s v="6-10 Years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x v="1"/>
    <n v="10"/>
    <n v="9"/>
    <n v="6"/>
    <n v="9"/>
    <x v="1"/>
    <s v="Medium"/>
    <s v="6-10 Years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x v="1"/>
    <n v="4"/>
    <n v="2"/>
    <n v="1"/>
    <n v="2"/>
    <x v="2"/>
    <s v="Low"/>
    <s v="3-5 Years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x v="1"/>
    <n v="2"/>
    <n v="2"/>
    <n v="2"/>
    <n v="1"/>
    <x v="4"/>
    <s v="Low"/>
    <s v="0-2 Years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x v="1"/>
    <n v="1"/>
    <n v="0"/>
    <n v="0"/>
    <n v="0"/>
    <x v="0"/>
    <s v="Medium"/>
    <s v="0-2 Years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x v="2"/>
    <n v="6"/>
    <n v="5"/>
    <n v="4"/>
    <n v="3"/>
    <x v="0"/>
    <s v="Medium"/>
    <s v="6-10 Years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x v="1"/>
    <n v="31"/>
    <n v="9"/>
    <n v="0"/>
    <n v="9"/>
    <x v="1"/>
    <s v="High"/>
    <s v="11+ Years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x v="1"/>
    <n v="6"/>
    <n v="5"/>
    <n v="1"/>
    <n v="4"/>
    <x v="4"/>
    <s v="Low"/>
    <s v="6-10 Years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x v="3"/>
    <n v="5"/>
    <n v="3"/>
    <n v="1"/>
    <n v="4"/>
    <x v="2"/>
    <s v="Medium"/>
    <s v="3-5 Years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x v="1"/>
    <n v="1"/>
    <n v="0"/>
    <n v="0"/>
    <n v="0"/>
    <x v="4"/>
    <s v="Low"/>
    <s v="0-2 Years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x v="1"/>
    <n v="32"/>
    <n v="5"/>
    <n v="10"/>
    <n v="7"/>
    <x v="1"/>
    <s v="High"/>
    <s v="11+ Years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x v="1"/>
    <n v="7"/>
    <n v="4"/>
    <n v="0"/>
    <n v="6"/>
    <x v="4"/>
    <s v="Low"/>
    <s v="6-10 Years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x v="1"/>
    <n v="6"/>
    <n v="3"/>
    <n v="1"/>
    <n v="2"/>
    <x v="4"/>
    <s v="Low"/>
    <s v="6-10 Years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x v="3"/>
    <n v="1"/>
    <n v="0"/>
    <n v="0"/>
    <n v="0"/>
    <x v="2"/>
    <s v="Low"/>
    <s v="0-2 Years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x v="1"/>
    <n v="6"/>
    <n v="5"/>
    <n v="1"/>
    <n v="3"/>
    <x v="2"/>
    <s v="Low"/>
    <s v="6-10 Years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x v="0"/>
    <n v="3"/>
    <n v="1"/>
    <n v="1"/>
    <n v="2"/>
    <x v="2"/>
    <s v="Low"/>
    <s v="3-5 Years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x v="1"/>
    <n v="3"/>
    <n v="2"/>
    <n v="0"/>
    <n v="2"/>
    <x v="2"/>
    <s v="Low"/>
    <s v="3-5 Years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x v="3"/>
    <n v="7"/>
    <n v="7"/>
    <n v="5"/>
    <n v="7"/>
    <x v="2"/>
    <s v="Medium"/>
    <s v="6-10 Years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x v="2"/>
    <n v="5"/>
    <n v="3"/>
    <n v="0"/>
    <n v="3"/>
    <x v="2"/>
    <s v="Low"/>
    <s v="3-5 Years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x v="2"/>
    <n v="3"/>
    <n v="0"/>
    <n v="1"/>
    <n v="0"/>
    <x v="0"/>
    <s v="Medium"/>
    <s v="3-5 Years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x v="3"/>
    <n v="1"/>
    <n v="0"/>
    <n v="0"/>
    <n v="0"/>
    <x v="4"/>
    <s v="Low"/>
    <s v="0-2 Years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x v="1"/>
    <n v="10"/>
    <n v="2"/>
    <n v="2"/>
    <n v="2"/>
    <x v="0"/>
    <s v="Low"/>
    <s v="6-10 Years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x v="2"/>
    <n v="1"/>
    <n v="0"/>
    <n v="0"/>
    <n v="0"/>
    <x v="0"/>
    <s v="High"/>
    <s v="0-2 Years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x v="2"/>
    <n v="0"/>
    <n v="0"/>
    <n v="0"/>
    <n v="0"/>
    <x v="0"/>
    <s v="Low"/>
    <s v="0-2 Years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x v="1"/>
    <n v="8"/>
    <n v="7"/>
    <n v="4"/>
    <n v="7"/>
    <x v="0"/>
    <s v="Medium"/>
    <s v="6-10 Years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x v="0"/>
    <n v="3"/>
    <n v="2"/>
    <n v="0"/>
    <n v="2"/>
    <x v="1"/>
    <s v="High"/>
    <s v="3-5 Years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x v="3"/>
    <n v="2"/>
    <n v="2"/>
    <n v="0"/>
    <n v="2"/>
    <x v="0"/>
    <s v="Medium"/>
    <s v="0-2 Years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x v="1"/>
    <n v="8"/>
    <n v="2"/>
    <n v="0"/>
    <n v="6"/>
    <x v="2"/>
    <s v="Low"/>
    <s v="6-10 Years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x v="1"/>
    <n v="4"/>
    <n v="3"/>
    <n v="0"/>
    <n v="2"/>
    <x v="2"/>
    <s v="Low"/>
    <s v="3-5 Years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x v="1"/>
    <n v="3"/>
    <n v="2"/>
    <n v="1"/>
    <n v="2"/>
    <x v="4"/>
    <s v="Low"/>
    <s v="3-5 Years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x v="3"/>
    <n v="2"/>
    <n v="2"/>
    <n v="0"/>
    <n v="1"/>
    <x v="0"/>
    <s v="High"/>
    <s v="0-2 Years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x v="1"/>
    <n v="2"/>
    <n v="2"/>
    <n v="2"/>
    <n v="2"/>
    <x v="4"/>
    <s v="Low"/>
    <s v="0-2 Years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x v="1"/>
    <n v="5"/>
    <n v="0"/>
    <n v="1"/>
    <n v="2"/>
    <x v="2"/>
    <s v="Medium"/>
    <s v="3-5 Years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x v="2"/>
    <n v="6"/>
    <n v="4"/>
    <n v="0"/>
    <n v="5"/>
    <x v="2"/>
    <s v="Medium"/>
    <s v="6-10 Years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x v="1"/>
    <n v="1"/>
    <n v="0"/>
    <n v="0"/>
    <n v="0"/>
    <x v="2"/>
    <s v="Low"/>
    <s v="0-2 Years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x v="3"/>
    <n v="14"/>
    <n v="7"/>
    <n v="8"/>
    <n v="10"/>
    <x v="1"/>
    <s v="Medium"/>
    <s v="11+ Years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x v="2"/>
    <n v="10"/>
    <n v="9"/>
    <n v="8"/>
    <n v="8"/>
    <x v="2"/>
    <s v="Low"/>
    <s v="6-10 Years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x v="1"/>
    <n v="1"/>
    <n v="1"/>
    <n v="0"/>
    <n v="0"/>
    <x v="0"/>
    <s v="Low"/>
    <s v="0-2 Years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x v="1"/>
    <n v="3"/>
    <n v="2"/>
    <n v="0"/>
    <n v="2"/>
    <x v="2"/>
    <s v="Low"/>
    <s v="3-5 Years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x v="1"/>
    <n v="10"/>
    <n v="7"/>
    <n v="7"/>
    <n v="8"/>
    <x v="0"/>
    <s v="Medium"/>
    <s v="6-10 Years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x v="2"/>
    <n v="6"/>
    <n v="0"/>
    <n v="1"/>
    <n v="2"/>
    <x v="2"/>
    <s v="Medium"/>
    <s v="6-10 Years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x v="1"/>
    <n v="17"/>
    <n v="11"/>
    <n v="11"/>
    <n v="8"/>
    <x v="2"/>
    <s v="Medium"/>
    <s v="11+ Years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x v="0"/>
    <n v="13"/>
    <n v="11"/>
    <n v="4"/>
    <n v="7"/>
    <x v="2"/>
    <s v="Medium"/>
    <s v="11+ Years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x v="3"/>
    <n v="9"/>
    <n v="7"/>
    <n v="7"/>
    <n v="1"/>
    <x v="1"/>
    <s v="High"/>
    <s v="6-10 Years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x v="1"/>
    <n v="3"/>
    <n v="2"/>
    <n v="0"/>
    <n v="2"/>
    <x v="0"/>
    <s v="Medium"/>
    <s v="3-5 Years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x v="1"/>
    <n v="4"/>
    <n v="2"/>
    <n v="1"/>
    <n v="1"/>
    <x v="2"/>
    <s v="Low"/>
    <s v="3-5 Years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x v="1"/>
    <n v="1"/>
    <n v="0"/>
    <n v="1"/>
    <n v="1"/>
    <x v="4"/>
    <s v="Low"/>
    <s v="0-2 Years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x v="1"/>
    <n v="10"/>
    <n v="8"/>
    <n v="9"/>
    <n v="7"/>
    <x v="2"/>
    <s v="Low"/>
    <s v="6-10 Years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x v="1"/>
    <n v="1"/>
    <n v="0"/>
    <n v="0"/>
    <n v="0"/>
    <x v="2"/>
    <s v="Low"/>
    <s v="0-2 Years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x v="3"/>
    <n v="3"/>
    <n v="2"/>
    <n v="0"/>
    <n v="2"/>
    <x v="4"/>
    <s v="Low"/>
    <s v="3-5 Years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x v="1"/>
    <n v="3"/>
    <n v="2"/>
    <n v="1"/>
    <n v="2"/>
    <x v="4"/>
    <s v="Low"/>
    <s v="3-5 Years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x v="1"/>
    <n v="7"/>
    <n v="7"/>
    <n v="0"/>
    <n v="5"/>
    <x v="0"/>
    <s v="Low"/>
    <s v="6-10 Years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x v="1"/>
    <n v="10"/>
    <n v="7"/>
    <n v="2"/>
    <n v="8"/>
    <x v="2"/>
    <s v="Low"/>
    <s v="6-10 Years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x v="1"/>
    <n v="2"/>
    <n v="2"/>
    <n v="2"/>
    <n v="2"/>
    <x v="1"/>
    <s v="Medium"/>
    <s v="0-2 Years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x v="1"/>
    <n v="6"/>
    <n v="5"/>
    <n v="0"/>
    <n v="4"/>
    <x v="2"/>
    <s v="Low"/>
    <s v="6-10 Years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x v="1"/>
    <n v="1"/>
    <n v="0"/>
    <n v="0"/>
    <n v="0"/>
    <x v="0"/>
    <s v="Low"/>
    <s v="0-2 Years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x v="1"/>
    <n v="20"/>
    <n v="8"/>
    <n v="3"/>
    <n v="8"/>
    <x v="1"/>
    <s v="Low"/>
    <s v="11+ Years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x v="3"/>
    <n v="8"/>
    <n v="7"/>
    <n v="7"/>
    <n v="7"/>
    <x v="2"/>
    <s v="Medium"/>
    <s v="6-10 Years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x v="1"/>
    <n v="2"/>
    <n v="2"/>
    <n v="2"/>
    <n v="0"/>
    <x v="4"/>
    <s v="Low"/>
    <s v="0-2 Years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x v="1"/>
    <n v="20"/>
    <n v="7"/>
    <n v="11"/>
    <n v="10"/>
    <x v="0"/>
    <s v="Low"/>
    <s v="11+ Years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x v="2"/>
    <n v="10"/>
    <n v="7"/>
    <n v="0"/>
    <n v="8"/>
    <x v="2"/>
    <s v="Medium"/>
    <s v="6-10 Years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x v="1"/>
    <n v="4"/>
    <n v="3"/>
    <n v="1"/>
    <n v="3"/>
    <x v="1"/>
    <s v="Medium"/>
    <s v="3-5 Years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x v="2"/>
    <n v="9"/>
    <n v="7"/>
    <n v="1"/>
    <n v="8"/>
    <x v="0"/>
    <s v="Medium"/>
    <s v="6-10 Years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x v="1"/>
    <n v="9"/>
    <n v="7"/>
    <n v="0"/>
    <n v="7"/>
    <x v="2"/>
    <s v="Medium"/>
    <s v="6-10 Years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x v="1"/>
    <n v="7"/>
    <n v="7"/>
    <n v="7"/>
    <n v="7"/>
    <x v="2"/>
    <s v="High"/>
    <s v="6-10 Years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x v="1"/>
    <n v="7"/>
    <n v="7"/>
    <n v="1"/>
    <n v="7"/>
    <x v="1"/>
    <s v="Low"/>
    <s v="6-10 Years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x v="1"/>
    <n v="18"/>
    <n v="13"/>
    <n v="1"/>
    <n v="12"/>
    <x v="0"/>
    <s v="High"/>
    <s v="11+ Years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x v="1"/>
    <n v="5"/>
    <n v="1"/>
    <n v="1"/>
    <n v="3"/>
    <x v="1"/>
    <s v="High"/>
    <s v="3-5 Years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x v="2"/>
    <n v="21"/>
    <n v="6"/>
    <n v="12"/>
    <n v="6"/>
    <x v="0"/>
    <s v="High"/>
    <s v="11+ Years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x v="1"/>
    <n v="2"/>
    <n v="2"/>
    <n v="2"/>
    <n v="2"/>
    <x v="3"/>
    <s v="Medium"/>
    <s v="0-2 Years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x v="2"/>
    <n v="9"/>
    <n v="7"/>
    <n v="1"/>
    <n v="7"/>
    <x v="2"/>
    <s v="Medium"/>
    <s v="6-10 Years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x v="1"/>
    <n v="22"/>
    <n v="7"/>
    <n v="2"/>
    <n v="10"/>
    <x v="0"/>
    <s v="High"/>
    <s v="11+ Years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x v="1"/>
    <n v="2"/>
    <n v="2"/>
    <n v="2"/>
    <n v="2"/>
    <x v="1"/>
    <s v="Low"/>
    <s v="0-2 Years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x v="1"/>
    <n v="7"/>
    <n v="7"/>
    <n v="3"/>
    <n v="7"/>
    <x v="2"/>
    <s v="Low"/>
    <s v="6-10 Years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x v="1"/>
    <n v="8"/>
    <n v="7"/>
    <n v="0"/>
    <n v="5"/>
    <x v="0"/>
    <s v="High"/>
    <s v="6-10 Years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x v="3"/>
    <n v="1"/>
    <n v="0"/>
    <n v="0"/>
    <n v="0"/>
    <x v="0"/>
    <s v="Medium"/>
    <s v="0-2 Years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x v="1"/>
    <n v="5"/>
    <n v="2"/>
    <n v="1"/>
    <n v="4"/>
    <x v="0"/>
    <s v="Low"/>
    <s v="3-5 Years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x v="2"/>
    <n v="22"/>
    <n v="2"/>
    <n v="11"/>
    <n v="13"/>
    <x v="1"/>
    <s v="High"/>
    <s v="11+ Years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x v="2"/>
    <n v="8"/>
    <n v="7"/>
    <n v="7"/>
    <n v="7"/>
    <x v="2"/>
    <s v="Medium"/>
    <s v="6-10 Years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x v="1"/>
    <n v="1"/>
    <n v="0"/>
    <n v="0"/>
    <n v="0"/>
    <x v="2"/>
    <s v="Low"/>
    <s v="0-2 Years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x v="1"/>
    <n v="2"/>
    <n v="2"/>
    <n v="2"/>
    <n v="2"/>
    <x v="0"/>
    <s v="Low"/>
    <s v="0-2 Years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x v="1"/>
    <n v="2"/>
    <n v="2"/>
    <n v="2"/>
    <n v="2"/>
    <x v="0"/>
    <s v="Medium"/>
    <s v="0-2 Years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x v="1"/>
    <n v="5"/>
    <n v="1"/>
    <n v="4"/>
    <n v="3"/>
    <x v="2"/>
    <s v="Medium"/>
    <s v="3-5 Years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x v="3"/>
    <n v="4"/>
    <n v="3"/>
    <n v="0"/>
    <n v="2"/>
    <x v="4"/>
    <s v="Low"/>
    <s v="3-5 Years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x v="0"/>
    <n v="8"/>
    <n v="3"/>
    <n v="3"/>
    <n v="6"/>
    <x v="0"/>
    <s v="Medium"/>
    <s v="6-10 Years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x v="2"/>
    <n v="10"/>
    <n v="7"/>
    <n v="1"/>
    <n v="1"/>
    <x v="3"/>
    <s v="High"/>
    <s v="6-10 Years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x v="2"/>
    <n v="4"/>
    <n v="2"/>
    <n v="2"/>
    <n v="3"/>
    <x v="0"/>
    <s v="Low"/>
    <s v="3-5 Years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x v="0"/>
    <n v="7"/>
    <n v="6"/>
    <n v="0"/>
    <n v="7"/>
    <x v="2"/>
    <s v="Medium"/>
    <s v="6-10 Years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x v="1"/>
    <n v="2"/>
    <n v="2"/>
    <n v="2"/>
    <n v="2"/>
    <x v="2"/>
    <s v="Low"/>
    <s v="0-2 Years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x v="1"/>
    <n v="2"/>
    <n v="2"/>
    <n v="2"/>
    <n v="2"/>
    <x v="1"/>
    <s v="Low"/>
    <s v="0-2 Years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x v="3"/>
    <n v="1"/>
    <n v="0"/>
    <n v="0"/>
    <n v="0"/>
    <x v="2"/>
    <s v="Medium"/>
    <s v="0-2 Years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x v="1"/>
    <n v="10"/>
    <n v="8"/>
    <n v="4"/>
    <n v="7"/>
    <x v="2"/>
    <s v="Medium"/>
    <s v="6-10 Years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x v="0"/>
    <n v="1"/>
    <n v="0"/>
    <n v="0"/>
    <n v="1"/>
    <x v="0"/>
    <s v="Low"/>
    <s v="0-2 Years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x v="1"/>
    <n v="0"/>
    <n v="0"/>
    <n v="0"/>
    <n v="0"/>
    <x v="2"/>
    <s v="Medium"/>
    <s v="0-2 Years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x v="3"/>
    <n v="34"/>
    <n v="6"/>
    <n v="1"/>
    <n v="16"/>
    <x v="1"/>
    <s v="High"/>
    <s v="11+ Years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x v="2"/>
    <n v="10"/>
    <n v="9"/>
    <n v="7"/>
    <n v="8"/>
    <x v="2"/>
    <s v="Low"/>
    <s v="6-10 Years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x v="2"/>
    <n v="6"/>
    <n v="5"/>
    <n v="1"/>
    <n v="4"/>
    <x v="4"/>
    <s v="Medium"/>
    <s v="6-10 Years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x v="1"/>
    <n v="8"/>
    <n v="7"/>
    <n v="3"/>
    <n v="1"/>
    <x v="0"/>
    <s v="Medium"/>
    <s v="6-10 Years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x v="1"/>
    <n v="2"/>
    <n v="2"/>
    <n v="0"/>
    <n v="2"/>
    <x v="4"/>
    <s v="Low"/>
    <s v="0-2 Years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x v="1"/>
    <n v="5"/>
    <n v="4"/>
    <n v="1"/>
    <n v="3"/>
    <x v="1"/>
    <s v="Medium"/>
    <s v="3-5 Years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x v="1"/>
    <n v="6"/>
    <n v="5"/>
    <n v="1"/>
    <n v="4"/>
    <x v="2"/>
    <s v="Medium"/>
    <s v="6-10 Years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x v="1"/>
    <n v="5"/>
    <n v="2"/>
    <n v="1"/>
    <n v="4"/>
    <x v="1"/>
    <s v="High"/>
    <s v="3-5 Years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x v="1"/>
    <n v="10"/>
    <n v="7"/>
    <n v="0"/>
    <n v="9"/>
    <x v="0"/>
    <s v="Medium"/>
    <s v="6-10 Years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x v="1"/>
    <n v="4"/>
    <n v="3"/>
    <n v="1"/>
    <n v="2"/>
    <x v="1"/>
    <s v="Low"/>
    <s v="3-5 Years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x v="1"/>
    <n v="2"/>
    <n v="2"/>
    <n v="2"/>
    <n v="0"/>
    <x v="2"/>
    <s v="Low"/>
    <s v="0-2 Years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x v="2"/>
    <n v="8"/>
    <n v="7"/>
    <n v="1"/>
    <n v="1"/>
    <x v="2"/>
    <s v="Low"/>
    <s v="6-10 Years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x v="2"/>
    <n v="4"/>
    <n v="3"/>
    <n v="1"/>
    <n v="2"/>
    <x v="2"/>
    <s v="Medium"/>
    <s v="3-5 Years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x v="1"/>
    <n v="4"/>
    <n v="2"/>
    <n v="1"/>
    <n v="3"/>
    <x v="2"/>
    <s v="Low"/>
    <s v="3-5 Years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x v="1"/>
    <n v="5"/>
    <n v="3"/>
    <n v="1"/>
    <n v="4"/>
    <x v="1"/>
    <s v="Medium"/>
    <s v="3-5 Years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x v="1"/>
    <n v="4"/>
    <n v="2"/>
    <n v="1"/>
    <n v="1"/>
    <x v="2"/>
    <s v="Low"/>
    <s v="3-5 Years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x v="2"/>
    <n v="5"/>
    <n v="3"/>
    <n v="4"/>
    <n v="3"/>
    <x v="0"/>
    <s v="Low"/>
    <s v="3-5 Years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x v="1"/>
    <n v="15"/>
    <n v="7"/>
    <n v="4"/>
    <n v="12"/>
    <x v="0"/>
    <s v="Medium"/>
    <s v="11+ Years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x v="1"/>
    <n v="6"/>
    <n v="5"/>
    <n v="1"/>
    <n v="3"/>
    <x v="2"/>
    <s v="Low"/>
    <s v="6-10 Years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x v="2"/>
    <n v="3"/>
    <n v="2"/>
    <n v="0"/>
    <n v="2"/>
    <x v="2"/>
    <s v="Low"/>
    <s v="3-5 Years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x v="1"/>
    <n v="2"/>
    <n v="2"/>
    <n v="0"/>
    <n v="2"/>
    <x v="2"/>
    <s v="Low"/>
    <s v="0-2 Years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x v="1"/>
    <n v="8"/>
    <n v="7"/>
    <n v="3"/>
    <n v="7"/>
    <x v="0"/>
    <s v="Low"/>
    <s v="6-10 Years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x v="1"/>
    <n v="3"/>
    <n v="2"/>
    <n v="1"/>
    <n v="2"/>
    <x v="2"/>
    <s v="Medium"/>
    <s v="3-5 Years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x v="2"/>
    <n v="24"/>
    <n v="7"/>
    <n v="14"/>
    <n v="9"/>
    <x v="0"/>
    <s v="High"/>
    <s v="11+ Years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x v="1"/>
    <n v="0"/>
    <n v="0"/>
    <n v="0"/>
    <n v="0"/>
    <x v="4"/>
    <s v="Low"/>
    <s v="0-2 Years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x v="1"/>
    <n v="1"/>
    <n v="0"/>
    <n v="0"/>
    <n v="0"/>
    <x v="4"/>
    <s v="Low"/>
    <s v="0-2 Years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x v="1"/>
    <n v="5"/>
    <n v="2"/>
    <n v="1"/>
    <n v="4"/>
    <x v="1"/>
    <s v="Low"/>
    <s v="3-5 Years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x v="1"/>
    <n v="4"/>
    <n v="3"/>
    <n v="0"/>
    <n v="3"/>
    <x v="1"/>
    <s v="High"/>
    <s v="3-5 Years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x v="1"/>
    <n v="1"/>
    <n v="0"/>
    <n v="0"/>
    <n v="0"/>
    <x v="2"/>
    <s v="Low"/>
    <s v="0-2 Years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x v="3"/>
    <n v="13"/>
    <n v="9"/>
    <n v="3"/>
    <n v="7"/>
    <x v="2"/>
    <s v="High"/>
    <s v="11+ Years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x v="1"/>
    <n v="3"/>
    <n v="2"/>
    <n v="0"/>
    <n v="2"/>
    <x v="2"/>
    <s v="Medium"/>
    <s v="3-5 Years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x v="2"/>
    <n v="26"/>
    <n v="14"/>
    <n v="3"/>
    <n v="0"/>
    <x v="1"/>
    <s v="High"/>
    <s v="11+ Years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x v="1"/>
    <n v="9"/>
    <n v="7"/>
    <n v="0"/>
    <n v="5"/>
    <x v="0"/>
    <s v="Medium"/>
    <s v="6-10 Years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x v="1"/>
    <n v="10"/>
    <n v="7"/>
    <n v="0"/>
    <n v="7"/>
    <x v="2"/>
    <s v="Low"/>
    <s v="6-10 Years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x v="1"/>
    <n v="31"/>
    <n v="15"/>
    <n v="13"/>
    <n v="8"/>
    <x v="3"/>
    <s v="High"/>
    <s v="11+ Years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x v="1"/>
    <n v="2"/>
    <n v="2"/>
    <n v="2"/>
    <n v="2"/>
    <x v="2"/>
    <s v="Low"/>
    <s v="0-2 Years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x v="1"/>
    <n v="4"/>
    <n v="3"/>
    <n v="0"/>
    <n v="2"/>
    <x v="0"/>
    <s v="Medium"/>
    <s v="3-5 Years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x v="2"/>
    <n v="2"/>
    <n v="2"/>
    <n v="2"/>
    <n v="1"/>
    <x v="2"/>
    <s v="Low"/>
    <s v="0-2 Years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x v="1"/>
    <n v="5"/>
    <n v="2"/>
    <n v="0"/>
    <n v="4"/>
    <x v="0"/>
    <s v="Low"/>
    <s v="3-5 Years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x v="1"/>
    <n v="14"/>
    <n v="13"/>
    <n v="6"/>
    <n v="8"/>
    <x v="2"/>
    <s v="Medium"/>
    <s v="11+ Years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x v="1"/>
    <n v="1"/>
    <n v="0"/>
    <n v="0"/>
    <n v="0"/>
    <x v="0"/>
    <s v="Medium"/>
    <s v="0-2 Years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x v="2"/>
    <n v="0"/>
    <n v="0"/>
    <n v="0"/>
    <n v="0"/>
    <x v="2"/>
    <s v="Medium"/>
    <s v="0-2 Years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x v="1"/>
    <n v="1"/>
    <n v="0"/>
    <n v="0"/>
    <n v="0"/>
    <x v="0"/>
    <s v="Low"/>
    <s v="0-2 Years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x v="2"/>
    <n v="9"/>
    <n v="8"/>
    <n v="7"/>
    <n v="8"/>
    <x v="0"/>
    <s v="Low"/>
    <s v="6-10 Years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x v="2"/>
    <n v="4"/>
    <n v="3"/>
    <n v="1"/>
    <n v="2"/>
    <x v="0"/>
    <s v="Medium"/>
    <s v="3-5 Years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x v="1"/>
    <n v="5"/>
    <n v="2"/>
    <n v="1"/>
    <n v="3"/>
    <x v="2"/>
    <s v="Low"/>
    <s v="3-5 Years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x v="3"/>
    <n v="9"/>
    <n v="8"/>
    <n v="7"/>
    <n v="7"/>
    <x v="1"/>
    <s v="Medium"/>
    <s v="6-10 Years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x v="2"/>
    <n v="9"/>
    <n v="7"/>
    <n v="7"/>
    <n v="3"/>
    <x v="1"/>
    <s v="Medium"/>
    <s v="6-10 Years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x v="1"/>
    <n v="4"/>
    <n v="1"/>
    <n v="1"/>
    <n v="0"/>
    <x v="0"/>
    <s v="High"/>
    <s v="3-5 Years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x v="1"/>
    <n v="9"/>
    <n v="8"/>
    <n v="0"/>
    <n v="8"/>
    <x v="2"/>
    <s v="High"/>
    <s v="6-10 Years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x v="3"/>
    <n v="8"/>
    <n v="5"/>
    <n v="1"/>
    <n v="6"/>
    <x v="2"/>
    <s v="High"/>
    <s v="6-10 Years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x v="1"/>
    <n v="8"/>
    <n v="7"/>
    <n v="7"/>
    <n v="5"/>
    <x v="2"/>
    <s v="Low"/>
    <s v="6-10 Years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x v="0"/>
    <n v="3"/>
    <n v="2"/>
    <n v="0"/>
    <n v="2"/>
    <x v="2"/>
    <s v="Low"/>
    <s v="3-5 Years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x v="1"/>
    <n v="8"/>
    <n v="7"/>
    <n v="1"/>
    <n v="7"/>
    <x v="2"/>
    <s v="Low"/>
    <s v="6-10 Years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x v="2"/>
    <n v="0"/>
    <n v="0"/>
    <n v="0"/>
    <n v="0"/>
    <x v="2"/>
    <s v="Low"/>
    <s v="0-2 Years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x v="2"/>
    <n v="20"/>
    <n v="6"/>
    <n v="4"/>
    <n v="17"/>
    <x v="1"/>
    <s v="High"/>
    <s v="11+ Years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x v="2"/>
    <n v="5"/>
    <n v="2"/>
    <n v="2"/>
    <n v="3"/>
    <x v="0"/>
    <s v="Medium"/>
    <s v="3-5 Years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x v="2"/>
    <n v="4"/>
    <n v="3"/>
    <n v="0"/>
    <n v="1"/>
    <x v="4"/>
    <s v="Low"/>
    <s v="3-5 Years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x v="1"/>
    <n v="9"/>
    <n v="8"/>
    <n v="0"/>
    <n v="8"/>
    <x v="2"/>
    <s v="Low"/>
    <s v="6-10 Years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x v="2"/>
    <n v="6"/>
    <n v="5"/>
    <n v="1"/>
    <n v="1"/>
    <x v="2"/>
    <s v="Low"/>
    <s v="6-10 Years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x v="2"/>
    <n v="18"/>
    <n v="14"/>
    <n v="4"/>
    <n v="11"/>
    <x v="0"/>
    <s v="Medium"/>
    <s v="11+ Years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x v="2"/>
    <n v="5"/>
    <n v="2"/>
    <n v="0"/>
    <n v="3"/>
    <x v="2"/>
    <s v="Low"/>
    <s v="3-5 Years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x v="2"/>
    <n v="5"/>
    <n v="4"/>
    <n v="0"/>
    <n v="3"/>
    <x v="2"/>
    <s v="Low"/>
    <s v="3-5 Years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x v="1"/>
    <n v="5"/>
    <n v="2"/>
    <n v="0"/>
    <n v="4"/>
    <x v="1"/>
    <s v="High"/>
    <s v="3-5 Years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x v="1"/>
    <n v="5"/>
    <n v="4"/>
    <n v="0"/>
    <n v="2"/>
    <x v="0"/>
    <s v="High"/>
    <s v="3-5 Years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x v="2"/>
    <n v="5"/>
    <n v="3"/>
    <n v="1"/>
    <n v="3"/>
    <x v="2"/>
    <s v="Medium"/>
    <s v="3-5 Years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x v="1"/>
    <n v="9"/>
    <n v="8"/>
    <n v="0"/>
    <n v="0"/>
    <x v="1"/>
    <s v="High"/>
    <s v="6-10 Years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x v="1"/>
    <n v="1"/>
    <n v="0"/>
    <n v="0"/>
    <n v="0"/>
    <x v="0"/>
    <s v="Medium"/>
    <s v="0-2 Years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x v="1"/>
    <n v="5"/>
    <n v="1"/>
    <n v="0"/>
    <n v="4"/>
    <x v="2"/>
    <s v="Low"/>
    <s v="3-5 Years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x v="0"/>
    <n v="2"/>
    <n v="2"/>
    <n v="2"/>
    <n v="2"/>
    <x v="4"/>
    <s v="Low"/>
    <s v="0-2 Years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x v="2"/>
    <n v="3"/>
    <n v="2"/>
    <n v="0"/>
    <n v="2"/>
    <x v="0"/>
    <s v="Low"/>
    <s v="3-5 Years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x v="1"/>
    <n v="2"/>
    <n v="1"/>
    <n v="2"/>
    <n v="2"/>
    <x v="0"/>
    <s v="Low"/>
    <s v="0-2 Years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x v="1"/>
    <n v="5"/>
    <n v="4"/>
    <n v="0"/>
    <n v="3"/>
    <x v="0"/>
    <s v="Low"/>
    <s v="3-5 Years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x v="1"/>
    <n v="5"/>
    <n v="3"/>
    <n v="0"/>
    <n v="3"/>
    <x v="4"/>
    <s v="Low"/>
    <s v="3-5 Years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x v="1"/>
    <n v="17"/>
    <n v="14"/>
    <n v="5"/>
    <n v="15"/>
    <x v="2"/>
    <s v="High"/>
    <s v="11+ Years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x v="2"/>
    <n v="10"/>
    <n v="2"/>
    <n v="7"/>
    <n v="8"/>
    <x v="2"/>
    <s v="Low"/>
    <s v="6-10 Years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x v="1"/>
    <n v="3"/>
    <n v="0"/>
    <n v="0"/>
    <n v="2"/>
    <x v="2"/>
    <s v="Low"/>
    <s v="3-5 Years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x v="3"/>
    <n v="5"/>
    <n v="2"/>
    <n v="0"/>
    <n v="3"/>
    <x v="4"/>
    <s v="Low"/>
    <s v="3-5 Years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x v="1"/>
    <n v="4"/>
    <n v="2"/>
    <n v="0"/>
    <n v="2"/>
    <x v="1"/>
    <s v="Low"/>
    <s v="3-5 Years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x v="2"/>
    <n v="5"/>
    <n v="2"/>
    <n v="3"/>
    <n v="4"/>
    <x v="4"/>
    <s v="Low"/>
    <s v="3-5 Years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x v="1"/>
    <n v="10"/>
    <n v="8"/>
    <n v="5"/>
    <n v="3"/>
    <x v="2"/>
    <s v="Medium"/>
    <s v="6-10 Years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x v="1"/>
    <n v="2"/>
    <n v="2"/>
    <n v="1"/>
    <n v="2"/>
    <x v="0"/>
    <s v="Low"/>
    <s v="0-2 Years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x v="2"/>
    <n v="5"/>
    <n v="3"/>
    <n v="1"/>
    <n v="3"/>
    <x v="0"/>
    <s v="Medium"/>
    <s v="3-5 Years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x v="1"/>
    <n v="6"/>
    <n v="4"/>
    <n v="0"/>
    <n v="2"/>
    <x v="2"/>
    <s v="Low"/>
    <s v="6-10 Years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x v="1"/>
    <n v="3"/>
    <n v="2"/>
    <n v="0"/>
    <n v="2"/>
    <x v="2"/>
    <s v="Low"/>
    <s v="3-5 Years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x v="1"/>
    <n v="2"/>
    <n v="0"/>
    <n v="2"/>
    <n v="2"/>
    <x v="1"/>
    <s v="High"/>
    <s v="0-2 Years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x v="1"/>
    <n v="13"/>
    <n v="10"/>
    <n v="4"/>
    <n v="8"/>
    <x v="2"/>
    <s v="High"/>
    <s v="11+ Years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x v="1"/>
    <n v="5"/>
    <n v="4"/>
    <n v="0"/>
    <n v="0"/>
    <x v="0"/>
    <s v="Low"/>
    <s v="3-5 Years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x v="1"/>
    <n v="12"/>
    <n v="9"/>
    <n v="3"/>
    <n v="8"/>
    <x v="1"/>
    <s v="High"/>
    <s v="11+ Years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x v="2"/>
    <n v="5"/>
    <n v="2"/>
    <n v="2"/>
    <n v="2"/>
    <x v="0"/>
    <s v="Medium"/>
    <s v="3-5 Years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x v="1"/>
    <n v="7"/>
    <n v="6"/>
    <n v="7"/>
    <n v="7"/>
    <x v="1"/>
    <s v="Low"/>
    <s v="6-10 Years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x v="1"/>
    <n v="10"/>
    <n v="0"/>
    <n v="0"/>
    <n v="9"/>
    <x v="0"/>
    <s v="Medium"/>
    <s v="6-10 Years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x v="1"/>
    <n v="31"/>
    <n v="6"/>
    <n v="14"/>
    <n v="7"/>
    <x v="1"/>
    <s v="High"/>
    <s v="11+ Years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x v="1"/>
    <n v="5"/>
    <n v="4"/>
    <n v="0"/>
    <n v="4"/>
    <x v="0"/>
    <s v="Medium"/>
    <s v="3-5 Years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x v="3"/>
    <n v="4"/>
    <n v="3"/>
    <n v="0"/>
    <n v="3"/>
    <x v="2"/>
    <s v="Low"/>
    <s v="3-5 Years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x v="0"/>
    <n v="1"/>
    <n v="0"/>
    <n v="0"/>
    <n v="1"/>
    <x v="2"/>
    <s v="Low"/>
    <s v="0-2 Years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x v="1"/>
    <n v="4"/>
    <n v="3"/>
    <n v="0"/>
    <n v="3"/>
    <x v="2"/>
    <s v="Low"/>
    <s v="3-5 Years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x v="1"/>
    <n v="8"/>
    <n v="7"/>
    <n v="7"/>
    <n v="1"/>
    <x v="0"/>
    <s v="Low"/>
    <s v="6-10 Years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x v="1"/>
    <n v="4"/>
    <n v="2"/>
    <n v="0"/>
    <n v="2"/>
    <x v="2"/>
    <s v="Low"/>
    <s v="3-5 Years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x v="2"/>
    <n v="1"/>
    <n v="0"/>
    <n v="0"/>
    <n v="0"/>
    <x v="3"/>
    <s v="Low"/>
    <s v="0-2 Years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x v="3"/>
    <n v="1"/>
    <n v="0"/>
    <n v="0"/>
    <n v="0"/>
    <x v="0"/>
    <s v="Low"/>
    <s v="0-2 Years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x v="2"/>
    <n v="2"/>
    <n v="2"/>
    <n v="0"/>
    <n v="2"/>
    <x v="4"/>
    <s v="Low"/>
    <s v="0-2 Years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x v="2"/>
    <n v="1"/>
    <n v="0"/>
    <n v="0"/>
    <n v="0"/>
    <x v="4"/>
    <s v="Low"/>
    <s v="0-2 Years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x v="2"/>
    <n v="16"/>
    <n v="8"/>
    <n v="4"/>
    <n v="11"/>
    <x v="0"/>
    <s v="Medium"/>
    <s v="11+ Years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x v="2"/>
    <n v="3"/>
    <n v="2"/>
    <n v="1"/>
    <n v="2"/>
    <x v="1"/>
    <s v="Low"/>
    <s v="3-5 Years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x v="3"/>
    <n v="3"/>
    <n v="2"/>
    <n v="0"/>
    <n v="2"/>
    <x v="4"/>
    <s v="Low"/>
    <s v="3-5 Years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x v="2"/>
    <n v="7"/>
    <n v="7"/>
    <n v="1"/>
    <n v="0"/>
    <x v="0"/>
    <s v="Low"/>
    <s v="6-10 Years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x v="1"/>
    <n v="2"/>
    <n v="2"/>
    <n v="2"/>
    <n v="2"/>
    <x v="2"/>
    <s v="Low"/>
    <s v="0-2 Years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x v="0"/>
    <n v="2"/>
    <n v="2"/>
    <n v="2"/>
    <n v="2"/>
    <x v="0"/>
    <s v="Low"/>
    <s v="0-2 Years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x v="1"/>
    <n v="1"/>
    <n v="1"/>
    <n v="0"/>
    <n v="0"/>
    <x v="2"/>
    <s v="Low"/>
    <s v="0-2 Years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x v="1"/>
    <n v="1"/>
    <n v="0"/>
    <n v="1"/>
    <n v="0"/>
    <x v="2"/>
    <s v="Low"/>
    <s v="0-2 Years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x v="1"/>
    <n v="5"/>
    <n v="4"/>
    <n v="0"/>
    <n v="3"/>
    <x v="0"/>
    <s v="Medium"/>
    <s v="3-5 Years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x v="1"/>
    <n v="3"/>
    <n v="2"/>
    <n v="0"/>
    <n v="2"/>
    <x v="2"/>
    <s v="Low"/>
    <s v="3-5 Years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x v="1"/>
    <n v="6"/>
    <n v="0"/>
    <n v="0"/>
    <n v="4"/>
    <x v="3"/>
    <s v="High"/>
    <s v="6-10 Years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x v="3"/>
    <n v="7"/>
    <n v="7"/>
    <n v="5"/>
    <n v="2"/>
    <x v="2"/>
    <s v="Low"/>
    <s v="6-10 Years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x v="0"/>
    <n v="10"/>
    <n v="6"/>
    <n v="0"/>
    <n v="7"/>
    <x v="2"/>
    <s v="Low"/>
    <s v="6-10 Years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x v="2"/>
    <n v="26"/>
    <n v="9"/>
    <n v="1"/>
    <n v="7"/>
    <x v="1"/>
    <s v="Medium"/>
    <s v="11+ Years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x v="2"/>
    <n v="0"/>
    <n v="0"/>
    <n v="0"/>
    <n v="0"/>
    <x v="1"/>
    <s v="Low"/>
    <s v="0-2 Years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x v="2"/>
    <n v="9"/>
    <n v="8"/>
    <n v="0"/>
    <n v="0"/>
    <x v="2"/>
    <s v="Medium"/>
    <s v="6-10 Years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x v="1"/>
    <n v="6"/>
    <n v="2"/>
    <n v="0"/>
    <n v="1"/>
    <x v="0"/>
    <s v="Low"/>
    <s v="6-10 Years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x v="1"/>
    <n v="15"/>
    <n v="12"/>
    <n v="5"/>
    <n v="11"/>
    <x v="0"/>
    <s v="High"/>
    <s v="11+ Years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x v="1"/>
    <n v="3"/>
    <n v="0"/>
    <n v="0"/>
    <n v="2"/>
    <x v="2"/>
    <s v="Low"/>
    <s v="3-5 Years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x v="1"/>
    <n v="1"/>
    <n v="0"/>
    <n v="0"/>
    <n v="0"/>
    <x v="4"/>
    <s v="Low"/>
    <s v="0-2 Years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x v="2"/>
    <n v="1"/>
    <n v="0"/>
    <n v="0"/>
    <n v="0"/>
    <x v="0"/>
    <s v="Medium"/>
    <s v="0-2 Years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x v="1"/>
    <n v="7"/>
    <n v="7"/>
    <n v="0"/>
    <n v="7"/>
    <x v="2"/>
    <s v="Low"/>
    <s v="6-10 Years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x v="1"/>
    <n v="18"/>
    <n v="13"/>
    <n v="2"/>
    <n v="17"/>
    <x v="0"/>
    <s v="Low"/>
    <s v="11+ Years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x v="1"/>
    <n v="11"/>
    <n v="8"/>
    <n v="3"/>
    <n v="9"/>
    <x v="0"/>
    <s v="Low"/>
    <s v="11+ Years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x v="3"/>
    <n v="1"/>
    <n v="0"/>
    <n v="0"/>
    <n v="0"/>
    <x v="4"/>
    <s v="Low"/>
    <s v="0-2 Years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x v="1"/>
    <n v="1"/>
    <n v="0"/>
    <n v="0"/>
    <n v="0"/>
    <x v="4"/>
    <s v="Low"/>
    <s v="0-2 Years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x v="0"/>
    <n v="9"/>
    <n v="7"/>
    <n v="8"/>
    <n v="5"/>
    <x v="2"/>
    <s v="Medium"/>
    <s v="6-10 Years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x v="1"/>
    <n v="1"/>
    <n v="1"/>
    <n v="0"/>
    <n v="0"/>
    <x v="0"/>
    <s v="Low"/>
    <s v="0-2 Years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x v="3"/>
    <n v="8"/>
    <n v="7"/>
    <n v="6"/>
    <n v="3"/>
    <x v="2"/>
    <s v="Medium"/>
    <s v="6-10 Years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x v="1"/>
    <n v="16"/>
    <n v="7"/>
    <n v="3"/>
    <n v="7"/>
    <x v="0"/>
    <s v="High"/>
    <s v="11+ Years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x v="1"/>
    <n v="5"/>
    <n v="0"/>
    <n v="1"/>
    <n v="4"/>
    <x v="2"/>
    <s v="Medium"/>
    <s v="3-5 Years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x v="0"/>
    <n v="14"/>
    <n v="1"/>
    <n v="11"/>
    <n v="7"/>
    <x v="0"/>
    <s v="High"/>
    <s v="11+ Years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x v="2"/>
    <n v="9"/>
    <n v="7"/>
    <n v="0"/>
    <n v="8"/>
    <x v="0"/>
    <s v="Low"/>
    <s v="6-10 Years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x v="1"/>
    <n v="3"/>
    <n v="1"/>
    <n v="0"/>
    <n v="2"/>
    <x v="2"/>
    <s v="Low"/>
    <s v="3-5 Years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x v="1"/>
    <n v="5"/>
    <n v="2"/>
    <n v="1"/>
    <n v="0"/>
    <x v="2"/>
    <s v="Low"/>
    <s v="3-5 Years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x v="2"/>
    <n v="9"/>
    <n v="8"/>
    <n v="7"/>
    <n v="8"/>
    <x v="1"/>
    <s v="High"/>
    <s v="6-10 Years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x v="1"/>
    <n v="1"/>
    <n v="0"/>
    <n v="0"/>
    <n v="0"/>
    <x v="3"/>
    <s v="Low"/>
    <s v="0-2 Years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x v="3"/>
    <n v="17"/>
    <n v="13"/>
    <n v="15"/>
    <n v="2"/>
    <x v="1"/>
    <s v="High"/>
    <s v="11+ Years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x v="3"/>
    <n v="8"/>
    <n v="4"/>
    <n v="7"/>
    <n v="7"/>
    <x v="2"/>
    <s v="Medium"/>
    <s v="6-10 Years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x v="1"/>
    <n v="5"/>
    <n v="3"/>
    <n v="1"/>
    <n v="3"/>
    <x v="0"/>
    <s v="Medium"/>
    <s v="3-5 Years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x v="1"/>
    <n v="10"/>
    <n v="9"/>
    <n v="0"/>
    <n v="8"/>
    <x v="2"/>
    <s v="Medium"/>
    <s v="6-10 Years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x v="1"/>
    <n v="8"/>
    <n v="7"/>
    <n v="0"/>
    <n v="7"/>
    <x v="0"/>
    <s v="Medium"/>
    <s v="6-10 Years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x v="2"/>
    <n v="1"/>
    <n v="0"/>
    <n v="0"/>
    <n v="0"/>
    <x v="0"/>
    <s v="High"/>
    <s v="0-2 Years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x v="3"/>
    <n v="19"/>
    <n v="10"/>
    <n v="2"/>
    <n v="7"/>
    <x v="1"/>
    <s v="Medium"/>
    <s v="11+ Years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x v="1"/>
    <n v="7"/>
    <n v="7"/>
    <n v="0"/>
    <n v="7"/>
    <x v="0"/>
    <s v="Medium"/>
    <s v="6-10 Years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x v="1"/>
    <n v="3"/>
    <n v="2"/>
    <n v="1"/>
    <n v="2"/>
    <x v="2"/>
    <s v="Low"/>
    <s v="3-5 Years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x v="1"/>
    <n v="10"/>
    <n v="8"/>
    <n v="6"/>
    <n v="0"/>
    <x v="2"/>
    <s v="High"/>
    <s v="6-10 Years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x v="1"/>
    <n v="0"/>
    <n v="0"/>
    <n v="0"/>
    <n v="0"/>
    <x v="2"/>
    <s v="Low"/>
    <s v="0-2 Years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x v="1"/>
    <n v="3"/>
    <n v="2"/>
    <n v="0"/>
    <n v="2"/>
    <x v="2"/>
    <s v="Low"/>
    <s v="3-5 Years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x v="1"/>
    <n v="5"/>
    <n v="3"/>
    <n v="0"/>
    <n v="2"/>
    <x v="0"/>
    <s v="Low"/>
    <s v="3-5 Years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x v="2"/>
    <n v="5"/>
    <n v="4"/>
    <n v="1"/>
    <n v="3"/>
    <x v="1"/>
    <s v="High"/>
    <s v="3-5 Years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x v="1"/>
    <n v="6"/>
    <n v="5"/>
    <n v="1"/>
    <n v="2"/>
    <x v="2"/>
    <s v="Medium"/>
    <s v="6-10 Years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x v="3"/>
    <n v="18"/>
    <n v="16"/>
    <n v="0"/>
    <n v="11"/>
    <x v="0"/>
    <s v="High"/>
    <s v="11+ Years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x v="1"/>
    <n v="2"/>
    <n v="2"/>
    <n v="2"/>
    <n v="2"/>
    <x v="2"/>
    <s v="Low"/>
    <s v="0-2 Years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x v="1"/>
    <n v="9"/>
    <n v="8"/>
    <n v="0"/>
    <n v="8"/>
    <x v="0"/>
    <s v="Low"/>
    <s v="6-10 Years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x v="1"/>
    <n v="9"/>
    <n v="0"/>
    <n v="0"/>
    <n v="7"/>
    <x v="1"/>
    <s v="Low"/>
    <s v="6-10 Years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x v="1"/>
    <n v="5"/>
    <n v="2"/>
    <n v="0"/>
    <n v="1"/>
    <x v="2"/>
    <s v="Low"/>
    <s v="3-5 Years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x v="1"/>
    <n v="12"/>
    <n v="11"/>
    <n v="1"/>
    <n v="5"/>
    <x v="1"/>
    <s v="High"/>
    <s v="11+ Years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x v="2"/>
    <n v="2"/>
    <n v="1"/>
    <n v="0"/>
    <n v="2"/>
    <x v="0"/>
    <s v="Low"/>
    <s v="0-2 Years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x v="1"/>
    <n v="8"/>
    <n v="7"/>
    <n v="0"/>
    <n v="7"/>
    <x v="1"/>
    <s v="High"/>
    <s v="6-10 Years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x v="1"/>
    <n v="4"/>
    <n v="2"/>
    <n v="3"/>
    <n v="2"/>
    <x v="4"/>
    <s v="Low"/>
    <s v="3-5 Years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x v="0"/>
    <n v="4"/>
    <n v="2"/>
    <n v="0"/>
    <n v="2"/>
    <x v="2"/>
    <s v="Low"/>
    <s v="3-5 Years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x v="1"/>
    <n v="4"/>
    <n v="3"/>
    <n v="0"/>
    <n v="3"/>
    <x v="2"/>
    <s v="Low"/>
    <s v="3-5 Years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x v="1"/>
    <n v="0"/>
    <n v="0"/>
    <n v="0"/>
    <n v="0"/>
    <x v="4"/>
    <s v="Low"/>
    <s v="0-2 Years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x v="1"/>
    <n v="10"/>
    <n v="7"/>
    <n v="0"/>
    <n v="8"/>
    <x v="1"/>
    <s v="High"/>
    <s v="6-10 Years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x v="2"/>
    <n v="16"/>
    <n v="10"/>
    <n v="10"/>
    <n v="1"/>
    <x v="2"/>
    <s v="High"/>
    <s v="11+ Years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x v="2"/>
    <n v="8"/>
    <n v="7"/>
    <n v="1"/>
    <n v="7"/>
    <x v="2"/>
    <s v="High"/>
    <s v="6-10 Years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x v="1"/>
    <n v="1"/>
    <n v="0"/>
    <n v="0"/>
    <n v="0"/>
    <x v="4"/>
    <s v="Low"/>
    <s v="0-2 Years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x v="1"/>
    <n v="3"/>
    <n v="2"/>
    <n v="1"/>
    <n v="2"/>
    <x v="2"/>
    <s v="Low"/>
    <s v="3-5 Years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x v="1"/>
    <n v="8"/>
    <n v="7"/>
    <n v="1"/>
    <n v="3"/>
    <x v="2"/>
    <s v="Medium"/>
    <s v="6-10 Years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x v="2"/>
    <n v="4"/>
    <n v="3"/>
    <n v="1"/>
    <n v="1"/>
    <x v="4"/>
    <s v="Low"/>
    <s v="3-5 Years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x v="1"/>
    <n v="2"/>
    <n v="2"/>
    <n v="2"/>
    <n v="2"/>
    <x v="1"/>
    <s v="Low"/>
    <s v="0-2 Years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x v="1"/>
    <n v="15"/>
    <n v="11"/>
    <n v="4"/>
    <n v="8"/>
    <x v="1"/>
    <s v="High"/>
    <s v="11+ Years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x v="1"/>
    <n v="2"/>
    <n v="2"/>
    <n v="2"/>
    <n v="1"/>
    <x v="0"/>
    <s v="Medium"/>
    <s v="0-2 Years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x v="1"/>
    <n v="21"/>
    <n v="6"/>
    <n v="11"/>
    <n v="8"/>
    <x v="0"/>
    <s v="High"/>
    <s v="11+ Years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x v="1"/>
    <n v="3"/>
    <n v="2"/>
    <n v="2"/>
    <n v="2"/>
    <x v="2"/>
    <s v="Low"/>
    <s v="3-5 Years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x v="2"/>
    <n v="3"/>
    <n v="2"/>
    <n v="1"/>
    <n v="2"/>
    <x v="2"/>
    <s v="Low"/>
    <s v="3-5 Years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x v="3"/>
    <n v="1"/>
    <n v="0"/>
    <n v="0"/>
    <n v="0"/>
    <x v="0"/>
    <s v="High"/>
    <s v="0-2 Years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x v="1"/>
    <n v="1"/>
    <n v="0"/>
    <n v="0"/>
    <n v="0"/>
    <x v="1"/>
    <s v="Low"/>
    <s v="0-2 Years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x v="1"/>
    <n v="5"/>
    <n v="3"/>
    <n v="4"/>
    <n v="3"/>
    <x v="3"/>
    <s v="High"/>
    <s v="3-5 Years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x v="0"/>
    <n v="1"/>
    <n v="0"/>
    <n v="0"/>
    <n v="0"/>
    <x v="0"/>
    <s v="Low"/>
    <s v="0-2 Years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x v="1"/>
    <n v="8"/>
    <n v="7"/>
    <n v="6"/>
    <n v="7"/>
    <x v="1"/>
    <s v="Medium"/>
    <s v="6-10 Years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x v="1"/>
    <n v="21"/>
    <n v="16"/>
    <n v="5"/>
    <n v="10"/>
    <x v="0"/>
    <s v="High"/>
    <s v="11+ Years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x v="1"/>
    <n v="1"/>
    <n v="0"/>
    <n v="0"/>
    <n v="0"/>
    <x v="0"/>
    <s v="Medium"/>
    <s v="0-2 Years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x v="1"/>
    <n v="2"/>
    <n v="2"/>
    <n v="2"/>
    <n v="2"/>
    <x v="2"/>
    <s v="Low"/>
    <s v="0-2 Years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x v="1"/>
    <n v="32"/>
    <n v="14"/>
    <n v="6"/>
    <n v="9"/>
    <x v="1"/>
    <s v="High"/>
    <s v="11+ Years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x v="1"/>
    <n v="12"/>
    <n v="11"/>
    <n v="11"/>
    <n v="11"/>
    <x v="0"/>
    <s v="High"/>
    <s v="11+ Years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x v="1"/>
    <n v="18"/>
    <n v="7"/>
    <n v="0"/>
    <n v="13"/>
    <x v="1"/>
    <s v="Medium"/>
    <s v="11+ Years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x v="1"/>
    <n v="17"/>
    <n v="13"/>
    <n v="15"/>
    <n v="14"/>
    <x v="0"/>
    <s v="Low"/>
    <s v="11+ Years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x v="1"/>
    <n v="21"/>
    <n v="6"/>
    <n v="2"/>
    <n v="8"/>
    <x v="0"/>
    <s v="High"/>
    <s v="11+ Years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x v="2"/>
    <n v="2"/>
    <n v="2"/>
    <n v="2"/>
    <n v="2"/>
    <x v="2"/>
    <s v="Low"/>
    <s v="0-2 Years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x v="3"/>
    <n v="9"/>
    <n v="3"/>
    <n v="1"/>
    <n v="1"/>
    <x v="0"/>
    <s v="High"/>
    <s v="6-10 Years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x v="1"/>
    <n v="8"/>
    <n v="7"/>
    <n v="7"/>
    <n v="7"/>
    <x v="2"/>
    <s v="Low"/>
    <s v="6-10 Years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x v="2"/>
    <n v="15"/>
    <n v="1"/>
    <n v="0"/>
    <n v="9"/>
    <x v="2"/>
    <s v="Medium"/>
    <s v="11+ Years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x v="0"/>
    <n v="6"/>
    <n v="4"/>
    <n v="0"/>
    <n v="4"/>
    <x v="3"/>
    <s v="High"/>
    <s v="6-10 Years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x v="1"/>
    <n v="6"/>
    <n v="3"/>
    <n v="0"/>
    <n v="4"/>
    <x v="0"/>
    <s v="Low"/>
    <s v="6-10 Years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x v="1"/>
    <n v="15"/>
    <n v="7"/>
    <n v="6"/>
    <n v="12"/>
    <x v="1"/>
    <s v="Medium"/>
    <s v="11+ Years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x v="2"/>
    <n v="1"/>
    <n v="0"/>
    <n v="0"/>
    <n v="0"/>
    <x v="0"/>
    <s v="Low"/>
    <s v="0-2 Years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x v="1"/>
    <n v="3"/>
    <n v="2"/>
    <n v="1"/>
    <n v="2"/>
    <x v="2"/>
    <s v="Low"/>
    <s v="3-5 Years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x v="1"/>
    <n v="1"/>
    <n v="1"/>
    <n v="0"/>
    <n v="0"/>
    <x v="2"/>
    <s v="Low"/>
    <s v="0-2 Years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x v="1"/>
    <n v="1"/>
    <n v="0"/>
    <n v="0"/>
    <n v="0"/>
    <x v="2"/>
    <s v="Low"/>
    <s v="0-2 Years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x v="1"/>
    <n v="2"/>
    <n v="2"/>
    <n v="2"/>
    <n v="2"/>
    <x v="0"/>
    <s v="Low"/>
    <s v="0-2 Years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x v="2"/>
    <n v="8"/>
    <n v="1"/>
    <n v="7"/>
    <n v="7"/>
    <x v="1"/>
    <s v="High"/>
    <s v="6-10 Years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x v="2"/>
    <n v="4"/>
    <n v="3"/>
    <n v="0"/>
    <n v="1"/>
    <x v="0"/>
    <s v="Low"/>
    <s v="3-5 Years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x v="2"/>
    <n v="7"/>
    <n v="7"/>
    <n v="7"/>
    <n v="5"/>
    <x v="0"/>
    <s v="Medium"/>
    <s v="6-10 Years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x v="1"/>
    <n v="5"/>
    <n v="3"/>
    <n v="1"/>
    <n v="3"/>
    <x v="2"/>
    <s v="Low"/>
    <s v="3-5 Years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x v="1"/>
    <n v="2"/>
    <n v="2"/>
    <n v="2"/>
    <n v="2"/>
    <x v="1"/>
    <s v="High"/>
    <s v="0-2 Years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x v="1"/>
    <n v="9"/>
    <n v="4"/>
    <n v="7"/>
    <n v="0"/>
    <x v="1"/>
    <s v="High"/>
    <s v="6-10 Years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x v="1"/>
    <n v="5"/>
    <n v="4"/>
    <n v="0"/>
    <n v="3"/>
    <x v="3"/>
    <s v="Low"/>
    <s v="3-5 Years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x v="2"/>
    <n v="14"/>
    <n v="8"/>
    <n v="7"/>
    <n v="8"/>
    <x v="0"/>
    <s v="Medium"/>
    <s v="11+ Years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x v="3"/>
    <n v="9"/>
    <n v="7"/>
    <n v="6"/>
    <n v="2"/>
    <x v="1"/>
    <s v="High"/>
    <s v="6-10 Years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x v="1"/>
    <n v="1"/>
    <n v="0"/>
    <n v="0"/>
    <n v="0"/>
    <x v="0"/>
    <s v="High"/>
    <s v="0-2 Years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x v="1"/>
    <n v="2"/>
    <n v="2"/>
    <n v="0"/>
    <n v="2"/>
    <x v="4"/>
    <s v="Low"/>
    <s v="0-2 Years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x v="2"/>
    <n v="1"/>
    <n v="0"/>
    <n v="1"/>
    <n v="0"/>
    <x v="4"/>
    <s v="Low"/>
    <s v="0-2 Years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x v="1"/>
    <n v="16"/>
    <n v="13"/>
    <n v="1"/>
    <n v="7"/>
    <x v="1"/>
    <s v="Low"/>
    <s v="11+ Years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x v="3"/>
    <n v="10"/>
    <n v="0"/>
    <n v="2"/>
    <n v="7"/>
    <x v="1"/>
    <s v="Low"/>
    <s v="6-10 Years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x v="2"/>
    <n v="10"/>
    <n v="7"/>
    <n v="1"/>
    <n v="9"/>
    <x v="2"/>
    <s v="Medium"/>
    <s v="6-10 Years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x v="1"/>
    <n v="5"/>
    <n v="3"/>
    <n v="1"/>
    <n v="3"/>
    <x v="2"/>
    <s v="Low"/>
    <s v="3-5 Years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x v="2"/>
    <n v="6"/>
    <n v="2"/>
    <n v="0"/>
    <n v="2"/>
    <x v="2"/>
    <s v="Medium"/>
    <s v="6-10 Years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x v="1"/>
    <n v="10"/>
    <n v="6"/>
    <n v="0"/>
    <n v="8"/>
    <x v="0"/>
    <s v="Low"/>
    <s v="6-10 Years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x v="2"/>
    <n v="19"/>
    <n v="9"/>
    <n v="1"/>
    <n v="9"/>
    <x v="0"/>
    <s v="Medium"/>
    <s v="11+ Years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x v="1"/>
    <n v="11"/>
    <n v="10"/>
    <n v="11"/>
    <n v="1"/>
    <x v="0"/>
    <s v="High"/>
    <s v="11+ Years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x v="1"/>
    <n v="3"/>
    <n v="2"/>
    <n v="1"/>
    <n v="2"/>
    <x v="2"/>
    <s v="Low"/>
    <s v="3-5 Years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x v="1"/>
    <n v="3"/>
    <n v="2"/>
    <n v="1"/>
    <n v="2"/>
    <x v="1"/>
    <s v="High"/>
    <s v="3-5 Years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x v="3"/>
    <n v="8"/>
    <n v="7"/>
    <n v="1"/>
    <n v="7"/>
    <x v="2"/>
    <s v="Low"/>
    <s v="6-10 Years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x v="1"/>
    <n v="20"/>
    <n v="6"/>
    <n v="3"/>
    <n v="6"/>
    <x v="0"/>
    <s v="High"/>
    <s v="11+ Years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x v="1"/>
    <n v="3"/>
    <n v="2"/>
    <n v="1"/>
    <n v="2"/>
    <x v="2"/>
    <s v="Medium"/>
    <s v="3-5 Years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x v="1"/>
    <n v="8"/>
    <n v="7"/>
    <n v="4"/>
    <n v="7"/>
    <x v="2"/>
    <s v="Medium"/>
    <s v="6-10 Years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x v="1"/>
    <n v="13"/>
    <n v="7"/>
    <n v="3"/>
    <n v="8"/>
    <x v="2"/>
    <s v="Low"/>
    <s v="11+ Years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x v="2"/>
    <n v="4"/>
    <n v="2"/>
    <n v="2"/>
    <n v="2"/>
    <x v="2"/>
    <s v="Low"/>
    <s v="3-5 Years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x v="2"/>
    <n v="6"/>
    <n v="2"/>
    <n v="0"/>
    <n v="4"/>
    <x v="2"/>
    <s v="Medium"/>
    <s v="6-10 Years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x v="1"/>
    <n v="1"/>
    <n v="0"/>
    <n v="0"/>
    <n v="0"/>
    <x v="0"/>
    <s v="Medium"/>
    <s v="0-2 Years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x v="3"/>
    <n v="7"/>
    <n v="7"/>
    <n v="5"/>
    <n v="6"/>
    <x v="4"/>
    <s v="Low"/>
    <s v="6-10 Years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x v="2"/>
    <n v="1"/>
    <n v="1"/>
    <n v="0"/>
    <n v="0"/>
    <x v="2"/>
    <s v="Low"/>
    <s v="0-2 Years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x v="1"/>
    <n v="2"/>
    <n v="2"/>
    <n v="2"/>
    <n v="2"/>
    <x v="2"/>
    <s v="Low"/>
    <s v="0-2 Years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x v="1"/>
    <n v="22"/>
    <n v="6"/>
    <n v="13"/>
    <n v="7"/>
    <x v="0"/>
    <s v="High"/>
    <s v="11+ Years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x v="1"/>
    <n v="1"/>
    <n v="0"/>
    <n v="0"/>
    <n v="0"/>
    <x v="2"/>
    <s v="Low"/>
    <s v="0-2 Years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x v="1"/>
    <n v="0"/>
    <n v="0"/>
    <n v="0"/>
    <n v="0"/>
    <x v="1"/>
    <s v="Low"/>
    <s v="0-2 Years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x v="1"/>
    <n v="3"/>
    <n v="2"/>
    <n v="0"/>
    <n v="2"/>
    <x v="2"/>
    <s v="Low"/>
    <s v="3-5 Years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x v="1"/>
    <n v="0"/>
    <n v="0"/>
    <n v="0"/>
    <n v="0"/>
    <x v="2"/>
    <s v="Low"/>
    <s v="0-2 Years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x v="2"/>
    <n v="5"/>
    <n v="4"/>
    <n v="2"/>
    <n v="1"/>
    <x v="1"/>
    <s v="High"/>
    <s v="3-5 Years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x v="1"/>
    <n v="15"/>
    <n v="10"/>
    <n v="4"/>
    <n v="12"/>
    <x v="0"/>
    <s v="Medium"/>
    <s v="11+ Years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x v="1"/>
    <n v="8"/>
    <n v="6"/>
    <n v="4"/>
    <n v="0"/>
    <x v="1"/>
    <s v="High"/>
    <s v="6-10 Years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x v="1"/>
    <n v="8"/>
    <n v="7"/>
    <n v="2"/>
    <n v="7"/>
    <x v="0"/>
    <s v="Medium"/>
    <s v="6-10 Years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x v="1"/>
    <n v="7"/>
    <n v="5"/>
    <n v="1"/>
    <n v="7"/>
    <x v="2"/>
    <s v="Low"/>
    <s v="6-10 Years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x v="2"/>
    <n v="9"/>
    <n v="7"/>
    <n v="1"/>
    <n v="7"/>
    <x v="2"/>
    <s v="Medium"/>
    <s v="6-10 Years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x v="1"/>
    <n v="12"/>
    <n v="9"/>
    <n v="4"/>
    <n v="9"/>
    <x v="1"/>
    <s v="High"/>
    <s v="11+ Years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x v="1"/>
    <n v="1"/>
    <n v="0"/>
    <n v="0"/>
    <n v="0"/>
    <x v="0"/>
    <s v="Medium"/>
    <s v="0-2 Years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x v="1"/>
    <n v="8"/>
    <n v="7"/>
    <n v="0"/>
    <n v="1"/>
    <x v="0"/>
    <s v="High"/>
    <s v="6-10 Years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x v="1"/>
    <n v="18"/>
    <n v="7"/>
    <n v="11"/>
    <n v="5"/>
    <x v="0"/>
    <s v="High"/>
    <s v="11+ Years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x v="3"/>
    <n v="20"/>
    <n v="7"/>
    <n v="4"/>
    <n v="9"/>
    <x v="0"/>
    <s v="High"/>
    <s v="11+ Years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x v="3"/>
    <n v="2"/>
    <n v="2"/>
    <n v="2"/>
    <n v="2"/>
    <x v="4"/>
    <s v="Low"/>
    <s v="0-2 Years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x v="2"/>
    <n v="5"/>
    <n v="4"/>
    <n v="0"/>
    <n v="3"/>
    <x v="0"/>
    <s v="Medium"/>
    <s v="3-5 Years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x v="1"/>
    <n v="11"/>
    <n v="9"/>
    <n v="0"/>
    <n v="9"/>
    <x v="0"/>
    <s v="Medium"/>
    <s v="11+ Years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x v="1"/>
    <n v="2"/>
    <n v="2"/>
    <n v="2"/>
    <n v="2"/>
    <x v="2"/>
    <s v="Low"/>
    <s v="0-2 Years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x v="0"/>
    <n v="5"/>
    <n v="3"/>
    <n v="0"/>
    <n v="4"/>
    <x v="2"/>
    <s v="Low"/>
    <s v="3-5 Years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x v="1"/>
    <n v="5"/>
    <n v="2"/>
    <n v="0"/>
    <n v="2"/>
    <x v="2"/>
    <s v="Low"/>
    <s v="3-5 Years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x v="1"/>
    <n v="9"/>
    <n v="8"/>
    <n v="2"/>
    <n v="3"/>
    <x v="1"/>
    <s v="High"/>
    <s v="6-10 Years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x v="2"/>
    <n v="3"/>
    <n v="2"/>
    <n v="0"/>
    <n v="2"/>
    <x v="2"/>
    <s v="Low"/>
    <s v="3-5 Years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x v="2"/>
    <n v="7"/>
    <n v="5"/>
    <n v="1"/>
    <n v="1"/>
    <x v="2"/>
    <s v="Low"/>
    <s v="6-10 Years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x v="1"/>
    <n v="1"/>
    <n v="0"/>
    <n v="0"/>
    <n v="0"/>
    <x v="0"/>
    <s v="Low"/>
    <s v="0-2 Years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x v="2"/>
    <n v="10"/>
    <n v="7"/>
    <n v="1"/>
    <n v="2"/>
    <x v="2"/>
    <s v="Medium"/>
    <s v="6-10 Years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x v="3"/>
    <n v="7"/>
    <n v="6"/>
    <n v="5"/>
    <n v="0"/>
    <x v="0"/>
    <s v="Low"/>
    <s v="6-10 Years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x v="1"/>
    <n v="3"/>
    <n v="1"/>
    <n v="0"/>
    <n v="2"/>
    <x v="2"/>
    <s v="Low"/>
    <s v="3-5 Years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x v="1"/>
    <n v="0"/>
    <n v="0"/>
    <n v="0"/>
    <n v="0"/>
    <x v="4"/>
    <s v="Low"/>
    <s v="0-2 Years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x v="1"/>
    <n v="5"/>
    <n v="2"/>
    <n v="0"/>
    <n v="3"/>
    <x v="2"/>
    <s v="Medium"/>
    <s v="3-5 Years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x v="1"/>
    <n v="1"/>
    <n v="0"/>
    <n v="0"/>
    <n v="0"/>
    <x v="0"/>
    <s v="Low"/>
    <s v="0-2 Years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x v="2"/>
    <n v="2"/>
    <n v="2"/>
    <n v="2"/>
    <n v="2"/>
    <x v="2"/>
    <s v="Low"/>
    <s v="0-2 Years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x v="1"/>
    <n v="6"/>
    <n v="2"/>
    <n v="1"/>
    <n v="3"/>
    <x v="0"/>
    <s v="Medium"/>
    <s v="6-10 Years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x v="1"/>
    <n v="4"/>
    <n v="2"/>
    <n v="2"/>
    <n v="2"/>
    <x v="2"/>
    <s v="Low"/>
    <s v="3-5 Years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x v="2"/>
    <n v="6"/>
    <n v="5"/>
    <n v="1"/>
    <n v="3"/>
    <x v="2"/>
    <s v="Medium"/>
    <s v="6-10 Years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x v="0"/>
    <n v="5"/>
    <n v="4"/>
    <n v="1"/>
    <n v="4"/>
    <x v="2"/>
    <s v="Low"/>
    <s v="3-5 Years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x v="0"/>
    <n v="11"/>
    <n v="8"/>
    <n v="3"/>
    <n v="10"/>
    <x v="2"/>
    <s v="Medium"/>
    <s v="11+ Years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x v="2"/>
    <n v="18"/>
    <n v="7"/>
    <n v="2"/>
    <n v="13"/>
    <x v="0"/>
    <s v="High"/>
    <s v="11+ Years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x v="2"/>
    <n v="21"/>
    <n v="9"/>
    <n v="13"/>
    <n v="14"/>
    <x v="0"/>
    <s v="High"/>
    <s v="11+ Years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x v="3"/>
    <n v="6"/>
    <n v="4"/>
    <n v="1"/>
    <n v="5"/>
    <x v="0"/>
    <s v="Medium"/>
    <s v="6-10 Years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x v="1"/>
    <n v="8"/>
    <n v="0"/>
    <n v="1"/>
    <n v="7"/>
    <x v="2"/>
    <s v="Low"/>
    <s v="6-10 Years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x v="1"/>
    <n v="4"/>
    <n v="3"/>
    <n v="1"/>
    <n v="2"/>
    <x v="4"/>
    <s v="Low"/>
    <s v="3-5 Years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x v="2"/>
    <n v="1"/>
    <n v="1"/>
    <n v="0"/>
    <n v="0"/>
    <x v="2"/>
    <s v="Low"/>
    <s v="0-2 Years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x v="1"/>
    <n v="8"/>
    <n v="7"/>
    <n v="0"/>
    <n v="7"/>
    <x v="2"/>
    <s v="Low"/>
    <s v="6-10 Years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x v="1"/>
    <n v="10"/>
    <n v="3"/>
    <n v="1"/>
    <n v="4"/>
    <x v="2"/>
    <s v="Medium"/>
    <s v="6-10 Years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x v="0"/>
    <n v="1"/>
    <n v="1"/>
    <n v="0"/>
    <n v="0"/>
    <x v="0"/>
    <s v="Low"/>
    <s v="0-2 Years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x v="3"/>
    <n v="7"/>
    <n v="7"/>
    <n v="6"/>
    <n v="4"/>
    <x v="2"/>
    <s v="High"/>
    <s v="6-10 Years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x v="1"/>
    <n v="13"/>
    <n v="9"/>
    <n v="4"/>
    <n v="9"/>
    <x v="2"/>
    <s v="Medium"/>
    <s v="11+ Years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x v="3"/>
    <n v="2"/>
    <n v="2"/>
    <n v="2"/>
    <n v="2"/>
    <x v="2"/>
    <s v="Low"/>
    <s v="0-2 Years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x v="2"/>
    <n v="4"/>
    <n v="3"/>
    <n v="1"/>
    <n v="3"/>
    <x v="0"/>
    <s v="Medium"/>
    <s v="3-5 Years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x v="1"/>
    <n v="1"/>
    <n v="0"/>
    <n v="0"/>
    <n v="0"/>
    <x v="2"/>
    <s v="Low"/>
    <s v="0-2 Years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x v="1"/>
    <n v="5"/>
    <n v="2"/>
    <n v="4"/>
    <n v="2"/>
    <x v="3"/>
    <s v="High"/>
    <s v="3-5 Years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x v="1"/>
    <n v="10"/>
    <n v="8"/>
    <n v="0"/>
    <n v="8"/>
    <x v="2"/>
    <s v="Low"/>
    <s v="6-10 Years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x v="1"/>
    <n v="1"/>
    <n v="1"/>
    <n v="0"/>
    <n v="0"/>
    <x v="4"/>
    <s v="Low"/>
    <s v="0-2 Years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x v="2"/>
    <n v="3"/>
    <n v="2"/>
    <n v="0"/>
    <n v="2"/>
    <x v="0"/>
    <s v="Low"/>
    <s v="3-5 Years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x v="2"/>
    <n v="14"/>
    <n v="8"/>
    <n v="3"/>
    <n v="11"/>
    <x v="0"/>
    <s v="Medium"/>
    <s v="11+ Years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x v="2"/>
    <n v="2"/>
    <n v="2"/>
    <n v="1"/>
    <n v="2"/>
    <x v="4"/>
    <s v="Low"/>
    <s v="0-2 Years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x v="1"/>
    <n v="6"/>
    <n v="4"/>
    <n v="0"/>
    <n v="2"/>
    <x v="0"/>
    <s v="Low"/>
    <s v="6-10 Years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x v="1"/>
    <n v="7"/>
    <n v="7"/>
    <n v="4"/>
    <n v="7"/>
    <x v="1"/>
    <s v="High"/>
    <s v="6-10 Years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x v="2"/>
    <n v="5"/>
    <n v="4"/>
    <n v="1"/>
    <n v="3"/>
    <x v="2"/>
    <s v="Low"/>
    <s v="3-5 Years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x v="1"/>
    <n v="0"/>
    <n v="0"/>
    <n v="0"/>
    <n v="0"/>
    <x v="4"/>
    <s v="Low"/>
    <s v="0-2 Years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x v="1"/>
    <n v="26"/>
    <n v="15"/>
    <n v="15"/>
    <n v="9"/>
    <x v="1"/>
    <s v="High"/>
    <s v="11+ Years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x v="1"/>
    <n v="0"/>
    <n v="0"/>
    <n v="0"/>
    <n v="0"/>
    <x v="0"/>
    <s v="Low"/>
    <s v="0-2 Years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x v="1"/>
    <n v="5"/>
    <n v="4"/>
    <n v="1"/>
    <n v="4"/>
    <x v="2"/>
    <s v="Low"/>
    <s v="3-5 Years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x v="0"/>
    <n v="1"/>
    <n v="0"/>
    <n v="0"/>
    <n v="0"/>
    <x v="0"/>
    <s v="Low"/>
    <s v="0-2 Years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x v="1"/>
    <n v="4"/>
    <n v="3"/>
    <n v="0"/>
    <n v="3"/>
    <x v="2"/>
    <s v="Low"/>
    <s v="3-5 Years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x v="1"/>
    <n v="0"/>
    <n v="0"/>
    <n v="0"/>
    <n v="0"/>
    <x v="0"/>
    <s v="Low"/>
    <s v="0-2 Years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x v="1"/>
    <n v="2"/>
    <n v="2"/>
    <n v="2"/>
    <n v="2"/>
    <x v="1"/>
    <s v="High"/>
    <s v="0-2 Years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x v="1"/>
    <n v="6"/>
    <n v="5"/>
    <n v="3"/>
    <n v="3"/>
    <x v="2"/>
    <s v="Low"/>
    <s v="6-10 Years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x v="1"/>
    <n v="4"/>
    <n v="2"/>
    <n v="0"/>
    <n v="3"/>
    <x v="1"/>
    <s v="High"/>
    <s v="3-5 Years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x v="1"/>
    <n v="7"/>
    <n v="7"/>
    <n v="1"/>
    <n v="7"/>
    <x v="2"/>
    <s v="Medium"/>
    <s v="6-10 Years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x v="0"/>
    <n v="1"/>
    <n v="0"/>
    <n v="0"/>
    <n v="0"/>
    <x v="4"/>
    <s v="Low"/>
    <s v="0-2 Years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x v="2"/>
    <n v="10"/>
    <n v="7"/>
    <n v="0"/>
    <n v="1"/>
    <x v="2"/>
    <s v="Low"/>
    <s v="6-10 Years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x v="1"/>
    <n v="7"/>
    <n v="7"/>
    <n v="1"/>
    <n v="7"/>
    <x v="0"/>
    <s v="Low"/>
    <s v="6-10 Years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x v="2"/>
    <n v="10"/>
    <n v="7"/>
    <n v="8"/>
    <n v="9"/>
    <x v="2"/>
    <s v="Low"/>
    <s v="6-10 Years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x v="1"/>
    <n v="20"/>
    <n v="11"/>
    <n v="13"/>
    <n v="17"/>
    <x v="0"/>
    <s v="Low"/>
    <s v="11+ Years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x v="1"/>
    <n v="2"/>
    <n v="1"/>
    <n v="2"/>
    <n v="2"/>
    <x v="4"/>
    <s v="Low"/>
    <s v="0-2 Years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x v="2"/>
    <n v="6"/>
    <n v="3"/>
    <n v="1"/>
    <n v="4"/>
    <x v="1"/>
    <s v="Medium"/>
    <s v="6-10 Years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x v="3"/>
    <n v="4"/>
    <n v="3"/>
    <n v="0"/>
    <n v="3"/>
    <x v="0"/>
    <s v="Medium"/>
    <s v="3-5 Years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x v="1"/>
    <n v="11"/>
    <n v="7"/>
    <n v="1"/>
    <n v="9"/>
    <x v="3"/>
    <s v="Medium"/>
    <s v="11+ Years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x v="1"/>
    <n v="2"/>
    <n v="2"/>
    <n v="2"/>
    <n v="2"/>
    <x v="2"/>
    <s v="Low"/>
    <s v="0-2 Years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x v="1"/>
    <n v="8"/>
    <n v="7"/>
    <n v="0"/>
    <n v="7"/>
    <x v="2"/>
    <s v="Low"/>
    <s v="6-10 Years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x v="1"/>
    <n v="7"/>
    <n v="7"/>
    <n v="7"/>
    <n v="7"/>
    <x v="0"/>
    <s v="High"/>
    <s v="6-10 Years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x v="1"/>
    <n v="14"/>
    <n v="10"/>
    <n v="4"/>
    <n v="10"/>
    <x v="2"/>
    <s v="Low"/>
    <s v="11+ Years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x v="3"/>
    <n v="5"/>
    <n v="1"/>
    <n v="1"/>
    <n v="3"/>
    <x v="0"/>
    <s v="Medium"/>
    <s v="3-5 Years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x v="1"/>
    <n v="4"/>
    <n v="3"/>
    <n v="1"/>
    <n v="1"/>
    <x v="4"/>
    <s v="Low"/>
    <s v="3-5 Years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x v="1"/>
    <n v="11"/>
    <n v="9"/>
    <n v="5"/>
    <n v="7"/>
    <x v="2"/>
    <s v="Low"/>
    <s v="11+ Years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x v="1"/>
    <n v="1"/>
    <n v="0"/>
    <n v="0"/>
    <n v="0"/>
    <x v="0"/>
    <s v="High"/>
    <s v="0-2 Years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x v="2"/>
    <n v="13"/>
    <n v="2"/>
    <n v="4"/>
    <n v="12"/>
    <x v="2"/>
    <s v="High"/>
    <s v="11+ Years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x v="2"/>
    <n v="9"/>
    <n v="7"/>
    <n v="6"/>
    <n v="8"/>
    <x v="2"/>
    <s v="Low"/>
    <s v="6-10 Years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x v="0"/>
    <n v="5"/>
    <n v="4"/>
    <n v="1"/>
    <n v="4"/>
    <x v="1"/>
    <s v="High"/>
    <s v="3-5 Years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x v="1"/>
    <n v="10"/>
    <n v="5"/>
    <n v="7"/>
    <n v="7"/>
    <x v="0"/>
    <s v="Low"/>
    <s v="6-10 Years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x v="3"/>
    <n v="1"/>
    <n v="1"/>
    <n v="0"/>
    <n v="0"/>
    <x v="4"/>
    <s v="Low"/>
    <s v="0-2 Years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x v="1"/>
    <n v="3"/>
    <n v="2"/>
    <n v="1"/>
    <n v="2"/>
    <x v="2"/>
    <s v="Low"/>
    <s v="3-5 Years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x v="1"/>
    <n v="10"/>
    <n v="9"/>
    <n v="0"/>
    <n v="9"/>
    <x v="1"/>
    <s v="High"/>
    <s v="6-10 Years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x v="2"/>
    <n v="6"/>
    <n v="5"/>
    <n v="0"/>
    <n v="1"/>
    <x v="2"/>
    <s v="Medium"/>
    <s v="6-10 Years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x v="1"/>
    <n v="10"/>
    <n v="9"/>
    <n v="1"/>
    <n v="8"/>
    <x v="2"/>
    <s v="Medium"/>
    <s v="6-10 Years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x v="1"/>
    <n v="6"/>
    <n v="1"/>
    <n v="0"/>
    <n v="5"/>
    <x v="3"/>
    <s v="Medium"/>
    <s v="6-10 Years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x v="1"/>
    <n v="8"/>
    <n v="7"/>
    <n v="0"/>
    <n v="7"/>
    <x v="0"/>
    <s v="High"/>
    <s v="6-10 Years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x v="3"/>
    <n v="1"/>
    <n v="0"/>
    <n v="0"/>
    <n v="0"/>
    <x v="1"/>
    <s v="High"/>
    <s v="0-2 Years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x v="2"/>
    <n v="11"/>
    <n v="10"/>
    <n v="0"/>
    <n v="7"/>
    <x v="0"/>
    <s v="Low"/>
    <s v="11+ Years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x v="2"/>
    <n v="1"/>
    <n v="0"/>
    <n v="0"/>
    <n v="0"/>
    <x v="1"/>
    <s v="Low"/>
    <s v="0-2 Years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x v="1"/>
    <n v="5"/>
    <n v="3"/>
    <n v="0"/>
    <n v="3"/>
    <x v="2"/>
    <s v="Low"/>
    <s v="3-5 Years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x v="1"/>
    <n v="6"/>
    <n v="0"/>
    <n v="1"/>
    <n v="0"/>
    <x v="2"/>
    <s v="Medium"/>
    <s v="6-10 Years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x v="3"/>
    <n v="1"/>
    <n v="0"/>
    <n v="0"/>
    <n v="0"/>
    <x v="1"/>
    <s v="High"/>
    <s v="0-2 Years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x v="2"/>
    <n v="7"/>
    <n v="7"/>
    <n v="1"/>
    <n v="7"/>
    <x v="2"/>
    <s v="High"/>
    <s v="6-10 Years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x v="2"/>
    <n v="1"/>
    <n v="0"/>
    <n v="0"/>
    <n v="0"/>
    <x v="2"/>
    <s v="Low"/>
    <s v="0-2 Years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x v="1"/>
    <n v="22"/>
    <n v="9"/>
    <n v="3"/>
    <n v="10"/>
    <x v="0"/>
    <s v="High"/>
    <s v="11+ Years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x v="1"/>
    <n v="9"/>
    <n v="8"/>
    <n v="0"/>
    <n v="8"/>
    <x v="2"/>
    <s v="Medium"/>
    <s v="6-10 Years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x v="1"/>
    <n v="1"/>
    <n v="0"/>
    <n v="0"/>
    <n v="1"/>
    <x v="4"/>
    <s v="Low"/>
    <s v="0-2 Years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x v="1"/>
    <n v="1"/>
    <n v="0"/>
    <n v="0"/>
    <n v="1"/>
    <x v="4"/>
    <s v="Low"/>
    <s v="0-2 Years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x v="1"/>
    <n v="1"/>
    <n v="0"/>
    <n v="1"/>
    <n v="0"/>
    <x v="4"/>
    <s v="Low"/>
    <s v="0-2 Years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x v="2"/>
    <n v="8"/>
    <n v="5"/>
    <n v="2"/>
    <n v="2"/>
    <x v="2"/>
    <s v="Low"/>
    <s v="6-10 Years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x v="1"/>
    <n v="24"/>
    <n v="10"/>
    <n v="1"/>
    <n v="11"/>
    <x v="0"/>
    <s v="High"/>
    <s v="11+ Years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x v="1"/>
    <n v="33"/>
    <n v="9"/>
    <n v="15"/>
    <n v="0"/>
    <x v="1"/>
    <s v="High"/>
    <s v="11+ Years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x v="0"/>
    <n v="2"/>
    <n v="2"/>
    <n v="2"/>
    <n v="2"/>
    <x v="4"/>
    <s v="Low"/>
    <s v="0-2 Years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x v="1"/>
    <n v="11"/>
    <n v="4"/>
    <n v="0"/>
    <n v="8"/>
    <x v="1"/>
    <s v="High"/>
    <s v="11+ Years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x v="1"/>
    <n v="3"/>
    <n v="2"/>
    <n v="0"/>
    <n v="2"/>
    <x v="2"/>
    <s v="Low"/>
    <s v="3-5 Years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x v="2"/>
    <n v="29"/>
    <n v="10"/>
    <n v="11"/>
    <n v="10"/>
    <x v="1"/>
    <s v="High"/>
    <s v="11+ Years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x v="2"/>
    <n v="9"/>
    <n v="7"/>
    <n v="5"/>
    <n v="4"/>
    <x v="3"/>
    <s v="High"/>
    <s v="6-10 Years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x v="3"/>
    <n v="11"/>
    <n v="8"/>
    <n v="5"/>
    <n v="10"/>
    <x v="2"/>
    <s v="Low"/>
    <s v="11+ Years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x v="2"/>
    <n v="4"/>
    <n v="2"/>
    <n v="0"/>
    <n v="2"/>
    <x v="2"/>
    <s v="Low"/>
    <s v="3-5 Years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x v="2"/>
    <n v="25"/>
    <n v="9"/>
    <n v="14"/>
    <n v="13"/>
    <x v="0"/>
    <s v="High"/>
    <s v="11+ Years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x v="3"/>
    <n v="10"/>
    <n v="9"/>
    <n v="1"/>
    <n v="8"/>
    <x v="2"/>
    <s v="Low"/>
    <s v="6-10 Years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x v="1"/>
    <n v="3"/>
    <n v="2"/>
    <n v="2"/>
    <n v="2"/>
    <x v="2"/>
    <s v="Low"/>
    <s v="3-5 Years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x v="1"/>
    <n v="1"/>
    <n v="0"/>
    <n v="0"/>
    <n v="0"/>
    <x v="0"/>
    <s v="Low"/>
    <s v="0-2 Years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x v="3"/>
    <n v="21"/>
    <n v="7"/>
    <n v="15"/>
    <n v="17"/>
    <x v="0"/>
    <s v="High"/>
    <s v="11+ Years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x v="1"/>
    <n v="16"/>
    <n v="14"/>
    <n v="5"/>
    <n v="12"/>
    <x v="0"/>
    <s v="Medium"/>
    <s v="11+ Years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x v="1"/>
    <n v="10"/>
    <n v="7"/>
    <n v="0"/>
    <n v="5"/>
    <x v="0"/>
    <s v="Medium"/>
    <s v="6-10 Years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x v="1"/>
    <n v="2"/>
    <n v="2"/>
    <n v="2"/>
    <n v="2"/>
    <x v="2"/>
    <s v="Low"/>
    <s v="0-2 Years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x v="2"/>
    <n v="7"/>
    <n v="0"/>
    <n v="7"/>
    <n v="7"/>
    <x v="1"/>
    <s v="Low"/>
    <s v="6-10 Years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x v="1"/>
    <n v="8"/>
    <n v="4"/>
    <n v="1"/>
    <n v="7"/>
    <x v="2"/>
    <s v="Low"/>
    <s v="6-10 Years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x v="1"/>
    <n v="7"/>
    <n v="7"/>
    <n v="7"/>
    <n v="7"/>
    <x v="2"/>
    <s v="Low"/>
    <s v="6-10 Years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x v="2"/>
    <n v="3"/>
    <n v="2"/>
    <n v="1"/>
    <n v="2"/>
    <x v="2"/>
    <s v="Low"/>
    <s v="3-5 Years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x v="2"/>
    <n v="2"/>
    <n v="2"/>
    <n v="2"/>
    <n v="1"/>
    <x v="4"/>
    <s v="Low"/>
    <s v="0-2 Years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x v="3"/>
    <n v="10"/>
    <n v="7"/>
    <n v="0"/>
    <n v="8"/>
    <x v="2"/>
    <s v="Medium"/>
    <s v="6-10 Years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x v="1"/>
    <n v="0"/>
    <n v="0"/>
    <n v="0"/>
    <n v="0"/>
    <x v="0"/>
    <s v="High"/>
    <s v="0-2 Years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x v="1"/>
    <n v="19"/>
    <n v="9"/>
    <n v="15"/>
    <n v="2"/>
    <x v="0"/>
    <s v="High"/>
    <s v="11+ Years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x v="1"/>
    <n v="2"/>
    <n v="2"/>
    <n v="2"/>
    <n v="2"/>
    <x v="3"/>
    <s v="Low"/>
    <s v="0-2 Years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x v="1"/>
    <n v="10"/>
    <n v="4"/>
    <n v="1"/>
    <n v="1"/>
    <x v="2"/>
    <s v="Low"/>
    <s v="6-10 Years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x v="1"/>
    <n v="5"/>
    <n v="2"/>
    <n v="0"/>
    <n v="3"/>
    <x v="0"/>
    <s v="Low"/>
    <s v="3-5 Years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x v="1"/>
    <n v="9"/>
    <n v="2"/>
    <n v="6"/>
    <n v="7"/>
    <x v="2"/>
    <s v="Low"/>
    <s v="6-10 Years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x v="1"/>
    <n v="7"/>
    <n v="7"/>
    <n v="1"/>
    <n v="7"/>
    <x v="0"/>
    <s v="Medium"/>
    <s v="6-10 Years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x v="3"/>
    <n v="7"/>
    <n v="6"/>
    <n v="5"/>
    <n v="7"/>
    <x v="1"/>
    <s v="Low"/>
    <s v="6-10 Years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x v="1"/>
    <n v="9"/>
    <n v="8"/>
    <n v="7"/>
    <n v="5"/>
    <x v="2"/>
    <s v="Medium"/>
    <s v="6-10 Years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x v="1"/>
    <n v="3"/>
    <n v="2"/>
    <n v="1"/>
    <n v="2"/>
    <x v="1"/>
    <s v="High"/>
    <s v="3-5 Years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x v="1"/>
    <n v="5"/>
    <n v="4"/>
    <n v="1"/>
    <n v="0"/>
    <x v="0"/>
    <s v="Medium"/>
    <s v="3-5 Years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x v="2"/>
    <n v="8"/>
    <n v="7"/>
    <n v="7"/>
    <n v="7"/>
    <x v="1"/>
    <s v="Medium"/>
    <s v="6-10 Years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x v="1"/>
    <n v="9"/>
    <n v="1"/>
    <n v="0"/>
    <n v="8"/>
    <x v="2"/>
    <s v="High"/>
    <s v="6-10 Years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x v="1"/>
    <n v="8"/>
    <n v="7"/>
    <n v="1"/>
    <n v="7"/>
    <x v="0"/>
    <s v="Low"/>
    <s v="6-10 Years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x v="2"/>
    <n v="10"/>
    <n v="8"/>
    <n v="9"/>
    <n v="6"/>
    <x v="2"/>
    <s v="Medium"/>
    <s v="6-10 Years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x v="1"/>
    <n v="19"/>
    <n v="2"/>
    <n v="11"/>
    <n v="9"/>
    <x v="0"/>
    <s v="Medium"/>
    <s v="11+ Years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x v="3"/>
    <n v="3"/>
    <n v="2"/>
    <n v="2"/>
    <n v="2"/>
    <x v="2"/>
    <s v="Low"/>
    <s v="3-5 Years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x v="3"/>
    <n v="3"/>
    <n v="2"/>
    <n v="1"/>
    <n v="2"/>
    <x v="0"/>
    <s v="Low"/>
    <s v="3-5 Years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x v="2"/>
    <n v="20"/>
    <n v="8"/>
    <n v="2"/>
    <n v="10"/>
    <x v="0"/>
    <s v="High"/>
    <s v="11+ Years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x v="1"/>
    <n v="19"/>
    <n v="9"/>
    <n v="9"/>
    <n v="11"/>
    <x v="1"/>
    <s v="High"/>
    <s v="11+ Years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x v="1"/>
    <n v="7"/>
    <n v="3"/>
    <n v="7"/>
    <n v="7"/>
    <x v="3"/>
    <s v="High"/>
    <s v="6-10 Years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x v="1"/>
    <n v="4"/>
    <n v="2"/>
    <n v="0"/>
    <n v="0"/>
    <x v="0"/>
    <s v="Low"/>
    <s v="3-5 Years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x v="2"/>
    <n v="9"/>
    <n v="7"/>
    <n v="1"/>
    <n v="6"/>
    <x v="2"/>
    <s v="Medium"/>
    <s v="6-10 Years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x v="1"/>
    <n v="9"/>
    <n v="8"/>
    <n v="8"/>
    <n v="8"/>
    <x v="0"/>
    <s v="Low"/>
    <s v="6-10 Years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x v="1"/>
    <n v="9"/>
    <n v="3"/>
    <n v="1"/>
    <n v="7"/>
    <x v="0"/>
    <s v="Low"/>
    <s v="6-10 Years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x v="1"/>
    <n v="9"/>
    <n v="6"/>
    <n v="1"/>
    <n v="1"/>
    <x v="2"/>
    <s v="Low"/>
    <s v="6-10 Years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x v="1"/>
    <n v="33"/>
    <n v="9"/>
    <n v="0"/>
    <n v="10"/>
    <x v="1"/>
    <s v="High"/>
    <s v="11+ Years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x v="1"/>
    <n v="7"/>
    <n v="7"/>
    <n v="1"/>
    <n v="7"/>
    <x v="0"/>
    <s v="Medium"/>
    <s v="6-10 Years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x v="3"/>
    <n v="10"/>
    <n v="8"/>
    <n v="9"/>
    <n v="6"/>
    <x v="2"/>
    <s v="Medium"/>
    <s v="6-10 Years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x v="2"/>
    <n v="3"/>
    <n v="2"/>
    <n v="1"/>
    <n v="2"/>
    <x v="4"/>
    <s v="Low"/>
    <s v="3-5 Years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x v="2"/>
    <n v="10"/>
    <n v="9"/>
    <n v="5"/>
    <n v="9"/>
    <x v="3"/>
    <s v="High"/>
    <s v="6-10 Years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x v="1"/>
    <n v="4"/>
    <n v="2"/>
    <n v="0"/>
    <n v="3"/>
    <x v="0"/>
    <s v="Low"/>
    <s v="3-5 Years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x v="2"/>
    <n v="15"/>
    <n v="7"/>
    <n v="6"/>
    <n v="13"/>
    <x v="0"/>
    <s v="Low"/>
    <s v="11+ Years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x v="1"/>
    <n v="10"/>
    <n v="9"/>
    <n v="0"/>
    <n v="8"/>
    <x v="1"/>
    <s v="Medium"/>
    <s v="6-10 Years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x v="1"/>
    <n v="1"/>
    <n v="0"/>
    <n v="0"/>
    <n v="0"/>
    <x v="2"/>
    <s v="Low"/>
    <s v="0-2 Years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x v="2"/>
    <n v="5"/>
    <n v="2"/>
    <n v="0"/>
    <n v="3"/>
    <x v="1"/>
    <s v="High"/>
    <s v="3-5 Years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x v="3"/>
    <n v="0"/>
    <n v="0"/>
    <n v="0"/>
    <n v="0"/>
    <x v="4"/>
    <s v="Low"/>
    <s v="0-2 Years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x v="1"/>
    <n v="9"/>
    <n v="7"/>
    <n v="0"/>
    <n v="0"/>
    <x v="2"/>
    <s v="Medium"/>
    <s v="6-10 Years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x v="1"/>
    <n v="6"/>
    <n v="2"/>
    <n v="0"/>
    <n v="0"/>
    <x v="2"/>
    <s v="Medium"/>
    <s v="6-10 Years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x v="2"/>
    <n v="19"/>
    <n v="7"/>
    <n v="3"/>
    <n v="8"/>
    <x v="1"/>
    <s v="High"/>
    <s v="11+ Years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x v="1"/>
    <n v="19"/>
    <n v="16"/>
    <n v="15"/>
    <n v="9"/>
    <x v="3"/>
    <s v="High"/>
    <s v="11+ Years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x v="1"/>
    <n v="5"/>
    <n v="4"/>
    <n v="0"/>
    <n v="0"/>
    <x v="2"/>
    <s v="Low"/>
    <s v="3-5 Years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x v="1"/>
    <n v="12"/>
    <n v="11"/>
    <n v="11"/>
    <n v="8"/>
    <x v="0"/>
    <s v="Medium"/>
    <s v="11+ Years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x v="1"/>
    <n v="8"/>
    <n v="7"/>
    <n v="7"/>
    <n v="7"/>
    <x v="2"/>
    <s v="Medium"/>
    <s v="6-10 Years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x v="3"/>
    <n v="1"/>
    <n v="0"/>
    <n v="0"/>
    <n v="0"/>
    <x v="2"/>
    <s v="Low"/>
    <s v="0-2 Years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x v="2"/>
    <n v="4"/>
    <n v="2"/>
    <n v="3"/>
    <n v="2"/>
    <x v="2"/>
    <s v="Low"/>
    <s v="3-5 Years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x v="1"/>
    <n v="4"/>
    <n v="2"/>
    <n v="0"/>
    <n v="3"/>
    <x v="0"/>
    <s v="Low"/>
    <s v="3-5 Years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x v="3"/>
    <n v="14"/>
    <n v="11"/>
    <n v="4"/>
    <n v="11"/>
    <x v="2"/>
    <s v="Medium"/>
    <s v="11+ Years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x v="1"/>
    <n v="5"/>
    <n v="3"/>
    <n v="0"/>
    <n v="4"/>
    <x v="2"/>
    <s v="Low"/>
    <s v="3-5 Years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x v="2"/>
    <n v="10"/>
    <n v="2"/>
    <n v="6"/>
    <n v="7"/>
    <x v="2"/>
    <s v="Medium"/>
    <s v="6-10 Years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x v="3"/>
    <n v="5"/>
    <n v="4"/>
    <n v="1"/>
    <n v="4"/>
    <x v="0"/>
    <s v="Medium"/>
    <s v="3-5 Years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x v="1"/>
    <n v="4"/>
    <n v="2"/>
    <n v="3"/>
    <n v="2"/>
    <x v="1"/>
    <s v="High"/>
    <s v="3-5 Years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x v="2"/>
    <n v="6"/>
    <n v="2"/>
    <n v="3"/>
    <n v="3"/>
    <x v="0"/>
    <s v="Medium"/>
    <s v="6-10 Years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x v="1"/>
    <n v="6"/>
    <n v="4"/>
    <n v="1"/>
    <n v="3"/>
    <x v="0"/>
    <s v="Low"/>
    <s v="6-10 Years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x v="3"/>
    <n v="5"/>
    <n v="4"/>
    <n v="1"/>
    <n v="2"/>
    <x v="2"/>
    <s v="Medium"/>
    <s v="3-5 Years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x v="2"/>
    <n v="3"/>
    <n v="2"/>
    <n v="1"/>
    <n v="2"/>
    <x v="2"/>
    <s v="Low"/>
    <s v="3-5 Years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x v="1"/>
    <n v="6"/>
    <n v="4"/>
    <n v="0"/>
    <n v="5"/>
    <x v="0"/>
    <s v="High"/>
    <s v="6-10 Years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x v="2"/>
    <n v="3"/>
    <n v="2"/>
    <n v="1"/>
    <n v="2"/>
    <x v="4"/>
    <s v="Medium"/>
    <s v="3-5 Years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x v="2"/>
    <n v="5"/>
    <n v="3"/>
    <n v="0"/>
    <n v="2"/>
    <x v="1"/>
    <s v="High"/>
    <s v="3-5 Years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x v="0"/>
    <n v="20"/>
    <n v="7"/>
    <n v="1"/>
    <n v="8"/>
    <x v="0"/>
    <s v="Low"/>
    <s v="11+ Years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x v="1"/>
    <n v="6"/>
    <n v="2"/>
    <n v="4"/>
    <n v="4"/>
    <x v="2"/>
    <s v="Medium"/>
    <s v="6-10 Years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x v="1"/>
    <n v="8"/>
    <n v="2"/>
    <n v="7"/>
    <n v="7"/>
    <x v="2"/>
    <s v="Low"/>
    <s v="6-10 Years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x v="1"/>
    <n v="4"/>
    <n v="3"/>
    <n v="1"/>
    <n v="1"/>
    <x v="2"/>
    <s v="Low"/>
    <s v="3-5 Years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x v="1"/>
    <n v="20"/>
    <n v="7"/>
    <n v="0"/>
    <n v="9"/>
    <x v="0"/>
    <s v="High"/>
    <s v="11+ Years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x v="0"/>
    <n v="5"/>
    <n v="4"/>
    <n v="0"/>
    <n v="4"/>
    <x v="1"/>
    <s v="Low"/>
    <s v="3-5 Years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x v="1"/>
    <n v="3"/>
    <n v="2"/>
    <n v="0"/>
    <n v="2"/>
    <x v="0"/>
    <s v="Low"/>
    <s v="3-5 Years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x v="1"/>
    <n v="2"/>
    <n v="2"/>
    <n v="2"/>
    <n v="2"/>
    <x v="2"/>
    <s v="Medium"/>
    <s v="0-2 Years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x v="2"/>
    <n v="3"/>
    <n v="2"/>
    <n v="0"/>
    <n v="2"/>
    <x v="4"/>
    <s v="Low"/>
    <s v="3-5 Years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x v="1"/>
    <n v="7"/>
    <n v="7"/>
    <n v="0"/>
    <n v="7"/>
    <x v="2"/>
    <s v="Low"/>
    <s v="6-10 Years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x v="2"/>
    <n v="10"/>
    <n v="9"/>
    <n v="0"/>
    <n v="9"/>
    <x v="2"/>
    <s v="Medium"/>
    <s v="6-10 Years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x v="1"/>
    <n v="4"/>
    <n v="3"/>
    <n v="1"/>
    <n v="3"/>
    <x v="1"/>
    <s v="Low"/>
    <s v="3-5 Years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x v="1"/>
    <n v="8"/>
    <n v="7"/>
    <n v="7"/>
    <n v="7"/>
    <x v="2"/>
    <s v="Medium"/>
    <s v="6-10 Years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x v="2"/>
    <n v="20"/>
    <n v="7"/>
    <n v="12"/>
    <n v="7"/>
    <x v="1"/>
    <s v="High"/>
    <s v="11+ Years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x v="1"/>
    <n v="9"/>
    <n v="8"/>
    <n v="1"/>
    <n v="5"/>
    <x v="3"/>
    <s v="High"/>
    <s v="6-10 Years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x v="3"/>
    <n v="7"/>
    <n v="7"/>
    <n v="0"/>
    <n v="0"/>
    <x v="1"/>
    <s v="High"/>
    <s v="6-10 Years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x v="1"/>
    <n v="5"/>
    <n v="4"/>
    <n v="0"/>
    <n v="1"/>
    <x v="0"/>
    <s v="Medium"/>
    <s v="3-5 Years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x v="1"/>
    <n v="1"/>
    <n v="0"/>
    <n v="0"/>
    <n v="0"/>
    <x v="2"/>
    <s v="Low"/>
    <s v="0-2 Years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x v="1"/>
    <n v="3"/>
    <n v="2"/>
    <n v="0"/>
    <n v="2"/>
    <x v="2"/>
    <s v="Low"/>
    <s v="3-5 Years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x v="3"/>
    <n v="3"/>
    <n v="2"/>
    <n v="1"/>
    <n v="0"/>
    <x v="2"/>
    <s v="High"/>
    <s v="3-5 Years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x v="1"/>
    <n v="4"/>
    <n v="3"/>
    <n v="1"/>
    <n v="3"/>
    <x v="2"/>
    <s v="Low"/>
    <s v="3-5 Years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x v="3"/>
    <n v="1"/>
    <n v="0"/>
    <n v="0"/>
    <n v="0"/>
    <x v="2"/>
    <s v="Low"/>
    <s v="0-2 Years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x v="3"/>
    <n v="5"/>
    <n v="0"/>
    <n v="1"/>
    <n v="4"/>
    <x v="2"/>
    <s v="Low"/>
    <s v="3-5 Years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x v="2"/>
    <n v="10"/>
    <n v="4"/>
    <n v="1"/>
    <n v="8"/>
    <x v="0"/>
    <s v="Medium"/>
    <s v="6-10 Years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x v="2"/>
    <n v="3"/>
    <n v="2"/>
    <n v="0"/>
    <n v="2"/>
    <x v="0"/>
    <s v="Medium"/>
    <s v="3-5 Years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x v="2"/>
    <n v="6"/>
    <n v="5"/>
    <n v="1"/>
    <n v="2"/>
    <x v="1"/>
    <s v="Low"/>
    <s v="6-10 Years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x v="1"/>
    <n v="3"/>
    <n v="2"/>
    <n v="2"/>
    <n v="2"/>
    <x v="4"/>
    <s v="Low"/>
    <s v="3-5 Years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x v="0"/>
    <n v="6"/>
    <n v="5"/>
    <n v="1"/>
    <n v="3"/>
    <x v="0"/>
    <s v="Low"/>
    <s v="6-10 Years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x v="3"/>
    <n v="3"/>
    <n v="2"/>
    <n v="1"/>
    <n v="0"/>
    <x v="3"/>
    <s v="Low"/>
    <s v="3-5 Years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x v="3"/>
    <n v="20"/>
    <n v="17"/>
    <n v="5"/>
    <n v="6"/>
    <x v="1"/>
    <s v="High"/>
    <s v="11+ Years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x v="1"/>
    <n v="5"/>
    <n v="4"/>
    <n v="0"/>
    <n v="3"/>
    <x v="4"/>
    <s v="Low"/>
    <s v="3-5 Years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x v="2"/>
    <n v="4"/>
    <n v="3"/>
    <n v="0"/>
    <n v="3"/>
    <x v="2"/>
    <s v="Medium"/>
    <s v="3-5 Years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x v="2"/>
    <n v="5"/>
    <n v="4"/>
    <n v="0"/>
    <n v="2"/>
    <x v="2"/>
    <s v="Low"/>
    <s v="3-5 Years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x v="2"/>
    <n v="4"/>
    <n v="2"/>
    <n v="0"/>
    <n v="3"/>
    <x v="0"/>
    <s v="Low"/>
    <s v="3-5 Years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x v="3"/>
    <n v="8"/>
    <n v="7"/>
    <n v="0"/>
    <n v="7"/>
    <x v="0"/>
    <s v="Low"/>
    <s v="6-10 Years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x v="1"/>
    <n v="13"/>
    <n v="7"/>
    <n v="9"/>
    <n v="9"/>
    <x v="2"/>
    <s v="High"/>
    <s v="11+ Years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x v="3"/>
    <n v="7"/>
    <n v="7"/>
    <n v="4"/>
    <n v="3"/>
    <x v="1"/>
    <s v="High"/>
    <s v="6-10 Years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x v="3"/>
    <n v="1"/>
    <n v="0"/>
    <n v="0"/>
    <n v="0"/>
    <x v="0"/>
    <s v="Low"/>
    <s v="0-2 Years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x v="1"/>
    <n v="10"/>
    <n v="8"/>
    <n v="4"/>
    <n v="7"/>
    <x v="2"/>
    <s v="Medium"/>
    <s v="6-10 Years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x v="1"/>
    <n v="7"/>
    <n v="7"/>
    <n v="0"/>
    <n v="7"/>
    <x v="0"/>
    <s v="High"/>
    <s v="6-10 Years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x v="1"/>
    <n v="3"/>
    <n v="2"/>
    <n v="0"/>
    <n v="2"/>
    <x v="2"/>
    <s v="Low"/>
    <s v="3-5 Years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x v="0"/>
    <n v="2"/>
    <n v="2"/>
    <n v="2"/>
    <n v="2"/>
    <x v="2"/>
    <s v="Low"/>
    <s v="0-2 Years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x v="3"/>
    <n v="3"/>
    <n v="1"/>
    <n v="1"/>
    <n v="2"/>
    <x v="0"/>
    <s v="Medium"/>
    <s v="3-5 Years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x v="1"/>
    <n v="2"/>
    <n v="2"/>
    <n v="2"/>
    <n v="2"/>
    <x v="1"/>
    <s v="Medium"/>
    <s v="0-2 Years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x v="1"/>
    <n v="2"/>
    <n v="2"/>
    <n v="2"/>
    <n v="2"/>
    <x v="2"/>
    <s v="Low"/>
    <s v="0-2 Years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x v="1"/>
    <n v="9"/>
    <n v="8"/>
    <n v="4"/>
    <n v="8"/>
    <x v="0"/>
    <s v="High"/>
    <s v="6-10 Years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x v="1"/>
    <n v="5"/>
    <n v="4"/>
    <n v="1"/>
    <n v="3"/>
    <x v="2"/>
    <s v="Medium"/>
    <s v="3-5 Years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x v="1"/>
    <n v="5"/>
    <n v="2"/>
    <n v="0"/>
    <n v="3"/>
    <x v="0"/>
    <s v="Low"/>
    <s v="3-5 Years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x v="2"/>
    <n v="9"/>
    <n v="8"/>
    <n v="8"/>
    <n v="8"/>
    <x v="1"/>
    <s v="High"/>
    <s v="6-10 Years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x v="2"/>
    <n v="3"/>
    <n v="2"/>
    <n v="1"/>
    <n v="2"/>
    <x v="1"/>
    <s v="Medium"/>
    <s v="3-5 Years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x v="3"/>
    <n v="3"/>
    <n v="1"/>
    <n v="1"/>
    <n v="2"/>
    <x v="0"/>
    <s v="Low"/>
    <s v="3-5 Years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x v="2"/>
    <n v="5"/>
    <n v="2"/>
    <n v="1"/>
    <n v="3"/>
    <x v="0"/>
    <s v="Low"/>
    <s v="3-5 Years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x v="1"/>
    <n v="4"/>
    <n v="3"/>
    <n v="0"/>
    <n v="3"/>
    <x v="2"/>
    <s v="Low"/>
    <s v="3-5 Years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x v="1"/>
    <n v="13"/>
    <n v="9"/>
    <n v="3"/>
    <n v="12"/>
    <x v="2"/>
    <s v="Low"/>
    <s v="11+ Years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x v="2"/>
    <n v="2"/>
    <n v="1"/>
    <n v="2"/>
    <n v="2"/>
    <x v="2"/>
    <s v="Medium"/>
    <s v="0-2 Years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x v="1"/>
    <n v="12"/>
    <n v="9"/>
    <n v="5"/>
    <n v="8"/>
    <x v="0"/>
    <s v="Low"/>
    <s v="11+ Years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x v="2"/>
    <n v="1"/>
    <n v="0"/>
    <n v="0"/>
    <n v="0"/>
    <x v="0"/>
    <s v="Low"/>
    <s v="0-2 Years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x v="2"/>
    <n v="1"/>
    <n v="0"/>
    <n v="0"/>
    <n v="0"/>
    <x v="2"/>
    <s v="Low"/>
    <s v="0-2 Years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x v="2"/>
    <n v="12"/>
    <n v="9"/>
    <n v="2"/>
    <n v="8"/>
    <x v="3"/>
    <s v="Low"/>
    <s v="11+ Years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x v="1"/>
    <n v="8"/>
    <n v="7"/>
    <n v="0"/>
    <n v="7"/>
    <x v="1"/>
    <s v="High"/>
    <s v="6-10 Years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x v="2"/>
    <n v="14"/>
    <n v="8"/>
    <n v="6"/>
    <n v="9"/>
    <x v="2"/>
    <s v="High"/>
    <s v="11+ Years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x v="3"/>
    <n v="3"/>
    <n v="2"/>
    <n v="1"/>
    <n v="2"/>
    <x v="2"/>
    <s v="Low"/>
    <s v="3-5 Years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x v="0"/>
    <n v="5"/>
    <n v="3"/>
    <n v="0"/>
    <n v="0"/>
    <x v="2"/>
    <s v="Medium"/>
    <s v="3-5 Years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x v="3"/>
    <n v="15"/>
    <n v="9"/>
    <n v="10"/>
    <n v="10"/>
    <x v="2"/>
    <s v="Low"/>
    <s v="11+ Years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x v="1"/>
    <n v="1"/>
    <n v="0"/>
    <n v="0"/>
    <n v="0"/>
    <x v="2"/>
    <s v="Low"/>
    <s v="0-2 Years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x v="2"/>
    <n v="0"/>
    <n v="0"/>
    <n v="0"/>
    <n v="0"/>
    <x v="4"/>
    <s v="Low"/>
    <s v="0-2 Years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x v="1"/>
    <n v="1"/>
    <n v="0"/>
    <n v="0"/>
    <n v="0"/>
    <x v="4"/>
    <s v="Low"/>
    <s v="0-2 Years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x v="2"/>
    <n v="2"/>
    <n v="2"/>
    <n v="2"/>
    <n v="2"/>
    <x v="0"/>
    <s v="High"/>
    <s v="0-2 Years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x v="1"/>
    <n v="10"/>
    <n v="7"/>
    <n v="0"/>
    <n v="4"/>
    <x v="2"/>
    <s v="Medium"/>
    <s v="6-10 Years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x v="3"/>
    <n v="5"/>
    <n v="3"/>
    <n v="1"/>
    <n v="3"/>
    <x v="2"/>
    <s v="Low"/>
    <s v="3-5 Years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x v="1"/>
    <n v="3"/>
    <n v="2"/>
    <n v="1"/>
    <n v="2"/>
    <x v="1"/>
    <s v="Low"/>
    <s v="3-5 Years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x v="1"/>
    <n v="5"/>
    <n v="4"/>
    <n v="0"/>
    <n v="2"/>
    <x v="2"/>
    <s v="Low"/>
    <s v="3-5 Years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x v="2"/>
    <n v="5"/>
    <n v="4"/>
    <n v="1"/>
    <n v="2"/>
    <x v="1"/>
    <s v="Low"/>
    <s v="3-5 Years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x v="2"/>
    <n v="0"/>
    <n v="0"/>
    <n v="0"/>
    <n v="0"/>
    <x v="2"/>
    <s v="Low"/>
    <s v="0-2 Years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x v="0"/>
    <n v="1"/>
    <n v="0"/>
    <n v="0"/>
    <n v="0"/>
    <x v="2"/>
    <s v="Low"/>
    <s v="0-2 Years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x v="1"/>
    <n v="4"/>
    <n v="2"/>
    <n v="1"/>
    <n v="3"/>
    <x v="2"/>
    <s v="Low"/>
    <s v="3-5 Years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x v="1"/>
    <n v="3"/>
    <n v="2"/>
    <n v="1"/>
    <n v="2"/>
    <x v="1"/>
    <s v="Low"/>
    <s v="3-5 Years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x v="1"/>
    <n v="3"/>
    <n v="2"/>
    <n v="0"/>
    <n v="2"/>
    <x v="2"/>
    <s v="Low"/>
    <s v="3-5 Years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x v="2"/>
    <n v="8"/>
    <n v="6"/>
    <n v="1"/>
    <n v="7"/>
    <x v="2"/>
    <s v="Medium"/>
    <s v="6-10 Years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x v="1"/>
    <n v="0"/>
    <n v="0"/>
    <n v="0"/>
    <n v="0"/>
    <x v="2"/>
    <s v="Medium"/>
    <s v="0-2 Years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x v="3"/>
    <n v="5"/>
    <n v="2"/>
    <n v="0"/>
    <n v="0"/>
    <x v="2"/>
    <s v="High"/>
    <s v="3-5 Years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x v="1"/>
    <n v="14"/>
    <n v="9"/>
    <n v="1"/>
    <n v="12"/>
    <x v="1"/>
    <s v="High"/>
    <s v="11+ Years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x v="0"/>
    <n v="9"/>
    <n v="7"/>
    <n v="0"/>
    <n v="7"/>
    <x v="2"/>
    <s v="Low"/>
    <s v="6-10 Years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x v="3"/>
    <n v="20"/>
    <n v="6"/>
    <n v="14"/>
    <n v="17"/>
    <x v="0"/>
    <s v="High"/>
    <s v="11+ Years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x v="1"/>
    <n v="2"/>
    <n v="0"/>
    <n v="2"/>
    <n v="2"/>
    <x v="0"/>
    <s v="Medium"/>
    <s v="0-2 Years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x v="3"/>
    <n v="13"/>
    <n v="12"/>
    <n v="5"/>
    <n v="1"/>
    <x v="1"/>
    <s v="High"/>
    <s v="11+ Years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x v="0"/>
    <n v="11"/>
    <n v="8"/>
    <n v="3"/>
    <n v="3"/>
    <x v="2"/>
    <s v="Medium"/>
    <s v="11+ Years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x v="1"/>
    <n v="4"/>
    <n v="3"/>
    <n v="1"/>
    <n v="2"/>
    <x v="4"/>
    <s v="Low"/>
    <s v="3-5 Years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x v="0"/>
    <n v="5"/>
    <n v="4"/>
    <n v="1"/>
    <n v="0"/>
    <x v="0"/>
    <s v="Low"/>
    <s v="3-5 Years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x v="1"/>
    <n v="10"/>
    <n v="9"/>
    <n v="8"/>
    <n v="6"/>
    <x v="2"/>
    <s v="Medium"/>
    <s v="6-10 Years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x v="0"/>
    <n v="7"/>
    <n v="2"/>
    <n v="7"/>
    <n v="7"/>
    <x v="2"/>
    <s v="Low"/>
    <s v="6-10 Years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x v="1"/>
    <n v="32"/>
    <n v="6"/>
    <n v="13"/>
    <n v="9"/>
    <x v="1"/>
    <s v="High"/>
    <s v="11+ Years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x v="1"/>
    <n v="11"/>
    <n v="10"/>
    <n v="5"/>
    <n v="7"/>
    <x v="2"/>
    <s v="Low"/>
    <s v="11+ Years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x v="1"/>
    <n v="1"/>
    <n v="0"/>
    <n v="0"/>
    <n v="0"/>
    <x v="0"/>
    <s v="Low"/>
    <s v="0-2 Years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x v="1"/>
    <n v="10"/>
    <n v="8"/>
    <n v="3"/>
    <n v="7"/>
    <x v="0"/>
    <s v="Low"/>
    <s v="6-10 Years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x v="1"/>
    <n v="7"/>
    <n v="7"/>
    <n v="0"/>
    <n v="7"/>
    <x v="2"/>
    <s v="Medium"/>
    <s v="6-10 Years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x v="1"/>
    <n v="5"/>
    <n v="3"/>
    <n v="0"/>
    <n v="2"/>
    <x v="2"/>
    <s v="Low"/>
    <s v="3-5 Years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x v="1"/>
    <n v="5"/>
    <n v="4"/>
    <n v="0"/>
    <n v="3"/>
    <x v="0"/>
    <s v="Low"/>
    <s v="3-5 Years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x v="0"/>
    <n v="20"/>
    <n v="8"/>
    <n v="13"/>
    <n v="9"/>
    <x v="0"/>
    <s v="High"/>
    <s v="11+ Years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x v="3"/>
    <n v="8"/>
    <n v="4"/>
    <n v="7"/>
    <n v="1"/>
    <x v="0"/>
    <s v="Medium"/>
    <s v="6-10 Years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x v="1"/>
    <n v="15"/>
    <n v="14"/>
    <n v="5"/>
    <n v="7"/>
    <x v="2"/>
    <s v="Medium"/>
    <s v="11+ Years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x v="1"/>
    <n v="21"/>
    <n v="7"/>
    <n v="7"/>
    <n v="7"/>
    <x v="0"/>
    <s v="High"/>
    <s v="11+ Years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x v="1"/>
    <n v="1"/>
    <n v="1"/>
    <n v="0"/>
    <n v="0"/>
    <x v="4"/>
    <s v="Low"/>
    <s v="0-2 Years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x v="1"/>
    <n v="2"/>
    <n v="2"/>
    <n v="2"/>
    <n v="2"/>
    <x v="0"/>
    <s v="Low"/>
    <s v="0-2 Years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x v="1"/>
    <n v="10"/>
    <n v="8"/>
    <n v="7"/>
    <n v="7"/>
    <x v="0"/>
    <s v="Medium"/>
    <s v="6-10 Years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x v="1"/>
    <n v="5"/>
    <n v="3"/>
    <n v="4"/>
    <n v="2"/>
    <x v="2"/>
    <s v="Low"/>
    <s v="3-5 Years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x v="1"/>
    <n v="7"/>
    <n v="1"/>
    <n v="2"/>
    <n v="5"/>
    <x v="2"/>
    <s v="Medium"/>
    <s v="6-10 Years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x v="2"/>
    <n v="3"/>
    <n v="2"/>
    <n v="1"/>
    <n v="2"/>
    <x v="0"/>
    <s v="Low"/>
    <s v="3-5 Years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x v="1"/>
    <n v="8"/>
    <n v="7"/>
    <n v="7"/>
    <n v="7"/>
    <x v="1"/>
    <s v="Medium"/>
    <s v="6-10 Years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x v="2"/>
    <n v="1"/>
    <n v="0"/>
    <n v="0"/>
    <n v="0"/>
    <x v="2"/>
    <s v="Low"/>
    <s v="0-2 Years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x v="0"/>
    <n v="2"/>
    <n v="2"/>
    <n v="2"/>
    <n v="2"/>
    <x v="2"/>
    <s v="Medium"/>
    <s v="0-2 Years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x v="1"/>
    <n v="10"/>
    <n v="8"/>
    <n v="6"/>
    <n v="7"/>
    <x v="2"/>
    <s v="Medium"/>
    <s v="6-10 Years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x v="1"/>
    <n v="6"/>
    <n v="3"/>
    <n v="1"/>
    <n v="2"/>
    <x v="0"/>
    <s v="Medium"/>
    <s v="6-10 Years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x v="1"/>
    <n v="3"/>
    <n v="0"/>
    <n v="1"/>
    <n v="2"/>
    <x v="2"/>
    <s v="Low"/>
    <s v="3-5 Years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x v="1"/>
    <n v="4"/>
    <n v="2"/>
    <n v="1"/>
    <n v="3"/>
    <x v="2"/>
    <s v="Medium"/>
    <s v="3-5 Years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x v="1"/>
    <n v="1"/>
    <n v="0"/>
    <n v="0"/>
    <n v="0"/>
    <x v="2"/>
    <s v="Low"/>
    <s v="0-2 Years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x v="1"/>
    <n v="33"/>
    <n v="7"/>
    <n v="1"/>
    <n v="9"/>
    <x v="1"/>
    <s v="High"/>
    <s v="11+ Years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x v="1"/>
    <n v="5"/>
    <n v="2"/>
    <n v="1"/>
    <n v="4"/>
    <x v="0"/>
    <s v="Low"/>
    <s v="3-5 Years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x v="2"/>
    <n v="6"/>
    <n v="5"/>
    <n v="1"/>
    <n v="2"/>
    <x v="2"/>
    <s v="Low"/>
    <s v="6-10 Years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x v="2"/>
    <n v="8"/>
    <n v="2"/>
    <n v="7"/>
    <n v="6"/>
    <x v="1"/>
    <s v="Low"/>
    <s v="6-10 Years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x v="0"/>
    <n v="1"/>
    <n v="0"/>
    <n v="0"/>
    <n v="0"/>
    <x v="2"/>
    <s v="Low"/>
    <s v="0-2 Years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x v="1"/>
    <n v="36"/>
    <n v="6"/>
    <n v="2"/>
    <n v="13"/>
    <x v="1"/>
    <s v="High"/>
    <s v="11+ Years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x v="2"/>
    <n v="2"/>
    <n v="2"/>
    <n v="2"/>
    <n v="1"/>
    <x v="2"/>
    <s v="Medium"/>
    <s v="0-2 Years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x v="1"/>
    <n v="1"/>
    <n v="0"/>
    <n v="0"/>
    <n v="0"/>
    <x v="2"/>
    <s v="Low"/>
    <s v="0-2 Years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x v="1"/>
    <n v="9"/>
    <n v="8"/>
    <n v="7"/>
    <n v="7"/>
    <x v="0"/>
    <s v="Medium"/>
    <s v="6-10 Years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x v="3"/>
    <n v="3"/>
    <n v="2"/>
    <n v="1"/>
    <n v="2"/>
    <x v="0"/>
    <s v="Low"/>
    <s v="3-5 Years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x v="1"/>
    <n v="1"/>
    <n v="0"/>
    <n v="0"/>
    <n v="0"/>
    <x v="0"/>
    <s v="Medium"/>
    <s v="0-2 Years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x v="1"/>
    <n v="10"/>
    <n v="9"/>
    <n v="1"/>
    <n v="5"/>
    <x v="2"/>
    <s v="Low"/>
    <s v="6-10 Years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x v="1"/>
    <n v="5"/>
    <n v="2"/>
    <n v="0"/>
    <n v="4"/>
    <x v="2"/>
    <s v="Medium"/>
    <s v="3-5 Years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x v="1"/>
    <n v="7"/>
    <n v="6"/>
    <n v="7"/>
    <n v="6"/>
    <x v="0"/>
    <s v="Medium"/>
    <s v="6-10 Years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x v="3"/>
    <n v="6"/>
    <n v="4"/>
    <n v="1"/>
    <n v="3"/>
    <x v="2"/>
    <s v="Medium"/>
    <s v="6-10 Years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x v="1"/>
    <n v="1"/>
    <n v="0"/>
    <n v="0"/>
    <n v="0"/>
    <x v="1"/>
    <s v="High"/>
    <s v="0-2 Years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x v="1"/>
    <n v="2"/>
    <n v="2"/>
    <n v="2"/>
    <n v="2"/>
    <x v="4"/>
    <s v="Low"/>
    <s v="0-2 Years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x v="1"/>
    <n v="3"/>
    <n v="2"/>
    <n v="0"/>
    <n v="2"/>
    <x v="0"/>
    <s v="Medium"/>
    <s v="3-5 Years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x v="1"/>
    <n v="1"/>
    <n v="0"/>
    <n v="0"/>
    <n v="1"/>
    <x v="0"/>
    <s v="High"/>
    <s v="0-2 Years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x v="2"/>
    <n v="10"/>
    <n v="9"/>
    <n v="6"/>
    <n v="8"/>
    <x v="2"/>
    <s v="Low"/>
    <s v="6-10 Years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x v="2"/>
    <n v="8"/>
    <n v="2"/>
    <n v="7"/>
    <n v="7"/>
    <x v="2"/>
    <s v="Medium"/>
    <s v="6-10 Years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x v="1"/>
    <n v="5"/>
    <n v="4"/>
    <n v="1"/>
    <n v="2"/>
    <x v="0"/>
    <s v="Low"/>
    <s v="3-5 Years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x v="1"/>
    <n v="6"/>
    <n v="4"/>
    <n v="0"/>
    <n v="2"/>
    <x v="0"/>
    <s v="Low"/>
    <s v="6-10 Years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x v="2"/>
    <n v="1"/>
    <n v="0"/>
    <n v="0"/>
    <n v="1"/>
    <x v="2"/>
    <s v="Low"/>
    <s v="0-2 Years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x v="0"/>
    <n v="26"/>
    <n v="0"/>
    <n v="0"/>
    <n v="12"/>
    <x v="1"/>
    <s v="High"/>
    <s v="11+ Years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x v="1"/>
    <n v="1"/>
    <n v="1"/>
    <n v="0"/>
    <n v="0"/>
    <x v="2"/>
    <s v="Low"/>
    <s v="0-2 Years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x v="2"/>
    <n v="4"/>
    <n v="2"/>
    <n v="1"/>
    <n v="3"/>
    <x v="4"/>
    <s v="Low"/>
    <s v="3-5 Years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x v="1"/>
    <n v="30"/>
    <n v="8"/>
    <n v="12"/>
    <n v="13"/>
    <x v="1"/>
    <s v="High"/>
    <s v="11+ Years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x v="1"/>
    <n v="3"/>
    <n v="2"/>
    <n v="0"/>
    <n v="2"/>
    <x v="2"/>
    <s v="Low"/>
    <s v="3-5 Years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x v="2"/>
    <n v="22"/>
    <n v="7"/>
    <n v="1"/>
    <n v="10"/>
    <x v="0"/>
    <s v="High"/>
    <s v="11+ Years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x v="2"/>
    <n v="6"/>
    <n v="4"/>
    <n v="1"/>
    <n v="1"/>
    <x v="2"/>
    <s v="Low"/>
    <s v="6-10 Years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x v="1"/>
    <n v="10"/>
    <n v="7"/>
    <n v="1"/>
    <n v="4"/>
    <x v="0"/>
    <s v="Medium"/>
    <s v="6-10 Years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x v="1"/>
    <n v="10"/>
    <n v="7"/>
    <n v="4"/>
    <n v="5"/>
    <x v="0"/>
    <s v="Low"/>
    <s v="6-10 Years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x v="1"/>
    <n v="5"/>
    <n v="2"/>
    <n v="0"/>
    <n v="3"/>
    <x v="2"/>
    <s v="Medium"/>
    <s v="3-5 Years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x v="1"/>
    <n v="3"/>
    <n v="2"/>
    <n v="1"/>
    <n v="1"/>
    <x v="0"/>
    <s v="Low"/>
    <s v="3-5 Years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x v="1"/>
    <n v="9"/>
    <n v="7"/>
    <n v="7"/>
    <n v="2"/>
    <x v="2"/>
    <s v="Low"/>
    <s v="6-10 Years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x v="2"/>
    <n v="9"/>
    <n v="6"/>
    <n v="1"/>
    <n v="4"/>
    <x v="1"/>
    <s v="Low"/>
    <s v="6-10 Years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x v="1"/>
    <n v="7"/>
    <n v="7"/>
    <n v="7"/>
    <n v="7"/>
    <x v="0"/>
    <s v="Medium"/>
    <s v="6-10 Years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x v="1"/>
    <n v="7"/>
    <n v="7"/>
    <n v="0"/>
    <n v="7"/>
    <x v="2"/>
    <s v="Low"/>
    <s v="6-10 Years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x v="1"/>
    <n v="16"/>
    <n v="15"/>
    <n v="1"/>
    <n v="10"/>
    <x v="2"/>
    <s v="Medium"/>
    <s v="11+ Years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x v="2"/>
    <n v="5"/>
    <n v="3"/>
    <n v="0"/>
    <n v="0"/>
    <x v="2"/>
    <s v="Low"/>
    <s v="3-5 Years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x v="1"/>
    <n v="2"/>
    <n v="2"/>
    <n v="2"/>
    <n v="2"/>
    <x v="4"/>
    <s v="Low"/>
    <s v="0-2 Years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x v="3"/>
    <n v="0"/>
    <n v="0"/>
    <n v="0"/>
    <n v="0"/>
    <x v="4"/>
    <s v="Low"/>
    <s v="0-2 Years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x v="1"/>
    <n v="5"/>
    <n v="2"/>
    <n v="1"/>
    <n v="0"/>
    <x v="1"/>
    <s v="High"/>
    <s v="3-5 Years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x v="1"/>
    <n v="10"/>
    <n v="8"/>
    <n v="0"/>
    <n v="7"/>
    <x v="0"/>
    <s v="Low"/>
    <s v="6-10 Years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x v="1"/>
    <n v="18"/>
    <n v="15"/>
    <n v="14"/>
    <n v="12"/>
    <x v="0"/>
    <s v="High"/>
    <s v="11+ Years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x v="1"/>
    <n v="14"/>
    <n v="11"/>
    <n v="2"/>
    <n v="9"/>
    <x v="2"/>
    <s v="Low"/>
    <s v="11+ Years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x v="2"/>
    <n v="4"/>
    <n v="3"/>
    <n v="0"/>
    <n v="2"/>
    <x v="0"/>
    <s v="Medium"/>
    <s v="3-5 Years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x v="0"/>
    <n v="9"/>
    <n v="2"/>
    <n v="3"/>
    <n v="8"/>
    <x v="0"/>
    <s v="Medium"/>
    <s v="6-10 Years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x v="1"/>
    <n v="10"/>
    <n v="7"/>
    <n v="3"/>
    <n v="9"/>
    <x v="0"/>
    <s v="Medium"/>
    <s v="6-10 Years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x v="3"/>
    <n v="5"/>
    <n v="4"/>
    <n v="0"/>
    <n v="2"/>
    <x v="0"/>
    <s v="Medium"/>
    <s v="3-5 Years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x v="1"/>
    <n v="13"/>
    <n v="12"/>
    <n v="6"/>
    <n v="0"/>
    <x v="2"/>
    <s v="High"/>
    <s v="11+ Years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x v="0"/>
    <n v="8"/>
    <n v="4"/>
    <n v="7"/>
    <n v="7"/>
    <x v="0"/>
    <s v="Low"/>
    <s v="6-10 Years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x v="2"/>
    <n v="4"/>
    <n v="2"/>
    <n v="3"/>
    <n v="3"/>
    <x v="0"/>
    <s v="Medium"/>
    <s v="3-5 Years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x v="1"/>
    <n v="10"/>
    <n v="7"/>
    <n v="0"/>
    <n v="2"/>
    <x v="0"/>
    <s v="Medium"/>
    <s v="6-10 Years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x v="1"/>
    <n v="2"/>
    <n v="2"/>
    <n v="2"/>
    <n v="2"/>
    <x v="1"/>
    <s v="High"/>
    <s v="0-2 Years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x v="2"/>
    <n v="2"/>
    <n v="2"/>
    <n v="2"/>
    <n v="2"/>
    <x v="2"/>
    <s v="Medium"/>
    <s v="0-2 Years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x v="1"/>
    <n v="6"/>
    <n v="3"/>
    <n v="1"/>
    <n v="3"/>
    <x v="4"/>
    <s v="Low"/>
    <s v="6-10 Years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x v="1"/>
    <n v="3"/>
    <n v="2"/>
    <n v="0"/>
    <n v="2"/>
    <x v="2"/>
    <s v="Low"/>
    <s v="3-5 Years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x v="2"/>
    <n v="4"/>
    <n v="2"/>
    <n v="1"/>
    <n v="2"/>
    <x v="2"/>
    <s v="Low"/>
    <s v="3-5 Years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x v="0"/>
    <n v="4"/>
    <n v="2"/>
    <n v="0"/>
    <n v="3"/>
    <x v="0"/>
    <s v="Low"/>
    <s v="3-5 Years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x v="1"/>
    <n v="5"/>
    <n v="2"/>
    <n v="1"/>
    <n v="4"/>
    <x v="2"/>
    <s v="Medium"/>
    <s v="3-5 Years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x v="1"/>
    <n v="3"/>
    <n v="2"/>
    <n v="0"/>
    <n v="2"/>
    <x v="0"/>
    <s v="Medium"/>
    <s v="3-5 Years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x v="1"/>
    <n v="7"/>
    <n v="7"/>
    <n v="0"/>
    <n v="7"/>
    <x v="4"/>
    <s v="Medium"/>
    <s v="6-10 Years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x v="1"/>
    <n v="5"/>
    <n v="4"/>
    <n v="1"/>
    <n v="0"/>
    <x v="0"/>
    <s v="Medium"/>
    <s v="3-5 Years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x v="1"/>
    <n v="4"/>
    <n v="2"/>
    <n v="1"/>
    <n v="2"/>
    <x v="1"/>
    <s v="High"/>
    <s v="3-5 Years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x v="1"/>
    <n v="14"/>
    <n v="11"/>
    <n v="1"/>
    <n v="11"/>
    <x v="1"/>
    <s v="High"/>
    <s v="11+ Years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x v="1"/>
    <n v="2"/>
    <n v="2"/>
    <n v="2"/>
    <n v="2"/>
    <x v="4"/>
    <s v="Low"/>
    <s v="0-2 Years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x v="1"/>
    <n v="11"/>
    <n v="8"/>
    <n v="7"/>
    <n v="9"/>
    <x v="2"/>
    <s v="Medium"/>
    <s v="11+ Years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x v="1"/>
    <n v="4"/>
    <n v="3"/>
    <n v="1"/>
    <n v="3"/>
    <x v="0"/>
    <s v="Low"/>
    <s v="3-5 Years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x v="1"/>
    <n v="15"/>
    <n v="11"/>
    <n v="2"/>
    <n v="12"/>
    <x v="1"/>
    <s v="High"/>
    <s v="11+ Years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x v="1"/>
    <n v="3"/>
    <n v="2"/>
    <n v="1"/>
    <n v="2"/>
    <x v="0"/>
    <s v="Low"/>
    <s v="3-5 Years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x v="1"/>
    <n v="5"/>
    <n v="4"/>
    <n v="0"/>
    <n v="4"/>
    <x v="0"/>
    <s v="Medium"/>
    <s v="3-5 Years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x v="1"/>
    <n v="10"/>
    <n v="8"/>
    <n v="4"/>
    <n v="7"/>
    <x v="1"/>
    <s v="High"/>
    <s v="6-10 Years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x v="1"/>
    <n v="14"/>
    <n v="10"/>
    <n v="6"/>
    <n v="11"/>
    <x v="0"/>
    <s v="High"/>
    <s v="11+ Years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x v="3"/>
    <n v="11"/>
    <n v="9"/>
    <n v="6"/>
    <n v="7"/>
    <x v="2"/>
    <s v="Low"/>
    <s v="11+ Years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x v="3"/>
    <n v="13"/>
    <n v="11"/>
    <n v="2"/>
    <n v="9"/>
    <x v="0"/>
    <s v="Low"/>
    <s v="11+ Years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x v="2"/>
    <n v="10"/>
    <n v="0"/>
    <n v="0"/>
    <n v="9"/>
    <x v="2"/>
    <s v="Low"/>
    <s v="6-10 Years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x v="1"/>
    <n v="6"/>
    <n v="2"/>
    <n v="0"/>
    <n v="4"/>
    <x v="2"/>
    <s v="Medium"/>
    <s v="6-10 Years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x v="2"/>
    <n v="9"/>
    <n v="5"/>
    <n v="1"/>
    <n v="6"/>
    <x v="2"/>
    <s v="Medium"/>
    <s v="6-10 Years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x v="1"/>
    <n v="10"/>
    <n v="0"/>
    <n v="0"/>
    <n v="2"/>
    <x v="2"/>
    <s v="Medium"/>
    <s v="6-10 Years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x v="2"/>
    <n v="2"/>
    <n v="2"/>
    <n v="2"/>
    <n v="2"/>
    <x v="1"/>
    <s v="Low"/>
    <s v="0-2 Years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x v="1"/>
    <n v="4"/>
    <n v="3"/>
    <n v="3"/>
    <n v="3"/>
    <x v="0"/>
    <s v="Low"/>
    <s v="3-5 Years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x v="1"/>
    <n v="3"/>
    <n v="2"/>
    <n v="1"/>
    <n v="2"/>
    <x v="1"/>
    <s v="High"/>
    <s v="3-5 Years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x v="1"/>
    <n v="8"/>
    <n v="7"/>
    <n v="0"/>
    <n v="0"/>
    <x v="1"/>
    <s v="High"/>
    <s v="6-10 Years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x v="1"/>
    <n v="2"/>
    <n v="0"/>
    <n v="0"/>
    <n v="2"/>
    <x v="0"/>
    <s v="Medium"/>
    <s v="0-2 Years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x v="1"/>
    <n v="2"/>
    <n v="2"/>
    <n v="0"/>
    <n v="2"/>
    <x v="4"/>
    <s v="Low"/>
    <s v="0-2 Years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x v="1"/>
    <n v="6"/>
    <n v="5"/>
    <n v="1"/>
    <n v="2"/>
    <x v="2"/>
    <s v="Medium"/>
    <s v="6-10 Years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x v="2"/>
    <n v="3"/>
    <n v="2"/>
    <n v="0"/>
    <n v="2"/>
    <x v="0"/>
    <s v="Medium"/>
    <s v="3-5 Years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x v="1"/>
    <n v="2"/>
    <n v="2"/>
    <n v="2"/>
    <n v="2"/>
    <x v="0"/>
    <s v="Low"/>
    <s v="0-2 Years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x v="1"/>
    <n v="5"/>
    <n v="4"/>
    <n v="1"/>
    <n v="2"/>
    <x v="4"/>
    <s v="Low"/>
    <s v="3-5 Years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x v="2"/>
    <n v="0"/>
    <n v="0"/>
    <n v="0"/>
    <n v="0"/>
    <x v="0"/>
    <s v="Low"/>
    <s v="0-2 Years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x v="1"/>
    <n v="4"/>
    <n v="3"/>
    <n v="1"/>
    <n v="2"/>
    <x v="1"/>
    <s v="Medium"/>
    <s v="3-5 Years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x v="1"/>
    <n v="9"/>
    <n v="7"/>
    <n v="7"/>
    <n v="7"/>
    <x v="1"/>
    <s v="Low"/>
    <s v="6-10 Years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x v="1"/>
    <n v="1"/>
    <n v="0"/>
    <n v="0"/>
    <n v="0"/>
    <x v="2"/>
    <s v="Low"/>
    <s v="0-2 Years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x v="1"/>
    <n v="7"/>
    <n v="7"/>
    <n v="5"/>
    <n v="7"/>
    <x v="2"/>
    <s v="Low"/>
    <s v="6-10 Years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x v="1"/>
    <n v="4"/>
    <n v="2"/>
    <n v="1"/>
    <n v="2"/>
    <x v="1"/>
    <s v="Low"/>
    <s v="3-5 Years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x v="3"/>
    <n v="15"/>
    <n v="10"/>
    <n v="4"/>
    <n v="13"/>
    <x v="2"/>
    <s v="Low"/>
    <s v="11+ Years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x v="3"/>
    <n v="1"/>
    <n v="0"/>
    <n v="0"/>
    <n v="0"/>
    <x v="3"/>
    <s v="High"/>
    <s v="0-2 Years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x v="1"/>
    <n v="14"/>
    <n v="11"/>
    <n v="2"/>
    <n v="13"/>
    <x v="2"/>
    <s v="Low"/>
    <s v="11+ Years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x v="2"/>
    <n v="6"/>
    <n v="3"/>
    <n v="1"/>
    <n v="3"/>
    <x v="0"/>
    <s v="Medium"/>
    <s v="6-10 Years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x v="1"/>
    <n v="10"/>
    <n v="9"/>
    <n v="8"/>
    <n v="7"/>
    <x v="2"/>
    <s v="Low"/>
    <s v="6-10 Years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x v="1"/>
    <n v="3"/>
    <n v="2"/>
    <n v="0"/>
    <n v="2"/>
    <x v="4"/>
    <s v="Low"/>
    <s v="3-5 Years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x v="1"/>
    <n v="8"/>
    <n v="7"/>
    <n v="6"/>
    <n v="7"/>
    <x v="0"/>
    <s v="Medium"/>
    <s v="6-10 Years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x v="3"/>
    <n v="5"/>
    <n v="4"/>
    <n v="1"/>
    <n v="4"/>
    <x v="2"/>
    <s v="Low"/>
    <s v="3-5 Years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x v="1"/>
    <n v="10"/>
    <n v="9"/>
    <n v="8"/>
    <n v="8"/>
    <x v="0"/>
    <s v="Medium"/>
    <s v="6-10 Years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x v="1"/>
    <n v="5"/>
    <n v="3"/>
    <n v="0"/>
    <n v="4"/>
    <x v="4"/>
    <s v="Low"/>
    <s v="3-5 Years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x v="1"/>
    <n v="10"/>
    <n v="8"/>
    <n v="8"/>
    <n v="7"/>
    <x v="0"/>
    <s v="Medium"/>
    <s v="6-10 Years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x v="1"/>
    <n v="5"/>
    <n v="3"/>
    <n v="1"/>
    <n v="2"/>
    <x v="2"/>
    <s v="Low"/>
    <s v="3-5 Years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x v="2"/>
    <n v="13"/>
    <n v="7"/>
    <n v="6"/>
    <n v="7"/>
    <x v="0"/>
    <s v="Low"/>
    <s v="11+ Years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x v="2"/>
    <n v="23"/>
    <n v="15"/>
    <n v="14"/>
    <n v="4"/>
    <x v="0"/>
    <s v="High"/>
    <s v="11+ Years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x v="1"/>
    <n v="1"/>
    <n v="0"/>
    <n v="0"/>
    <n v="0"/>
    <x v="4"/>
    <s v="Low"/>
    <s v="0-2 Years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x v="0"/>
    <n v="23"/>
    <n v="5"/>
    <n v="14"/>
    <n v="10"/>
    <x v="1"/>
    <s v="High"/>
    <s v="11+ Years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x v="3"/>
    <n v="3"/>
    <n v="2"/>
    <n v="0"/>
    <n v="2"/>
    <x v="2"/>
    <s v="Low"/>
    <s v="3-5 Years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x v="1"/>
    <n v="21"/>
    <n v="6"/>
    <n v="8"/>
    <n v="6"/>
    <x v="0"/>
    <s v="High"/>
    <s v="11+ Years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x v="2"/>
    <n v="5"/>
    <n v="2"/>
    <n v="1"/>
    <n v="3"/>
    <x v="2"/>
    <s v="Low"/>
    <s v="3-5 Years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x v="3"/>
    <n v="5"/>
    <n v="2"/>
    <n v="0"/>
    <n v="3"/>
    <x v="2"/>
    <s v="Low"/>
    <s v="3-5 Years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x v="1"/>
    <n v="3"/>
    <n v="2"/>
    <n v="1"/>
    <n v="2"/>
    <x v="0"/>
    <s v="Medium"/>
    <s v="3-5 Years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x v="1"/>
    <n v="1"/>
    <n v="0"/>
    <n v="0"/>
    <n v="0"/>
    <x v="0"/>
    <s v="Medium"/>
    <s v="0-2 Years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x v="3"/>
    <n v="6"/>
    <n v="2"/>
    <n v="1"/>
    <n v="2"/>
    <x v="4"/>
    <s v="Low"/>
    <s v="6-10 Years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x v="1"/>
    <n v="10"/>
    <n v="7"/>
    <n v="0"/>
    <n v="9"/>
    <x v="1"/>
    <s v="Medium"/>
    <s v="6-10 Years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x v="1"/>
    <n v="7"/>
    <n v="7"/>
    <n v="0"/>
    <n v="7"/>
    <x v="2"/>
    <s v="Medium"/>
    <s v="6-10 Years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x v="2"/>
    <n v="10"/>
    <n v="0"/>
    <n v="0"/>
    <n v="8"/>
    <x v="2"/>
    <s v="Low"/>
    <s v="6-10 Years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x v="0"/>
    <n v="1"/>
    <n v="0"/>
    <n v="0"/>
    <n v="0"/>
    <x v="1"/>
    <s v="Low"/>
    <s v="0-2 Years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x v="2"/>
    <n v="10"/>
    <n v="6"/>
    <n v="0"/>
    <n v="3"/>
    <x v="1"/>
    <s v="High"/>
    <s v="6-10 Years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x v="1"/>
    <n v="2"/>
    <n v="2"/>
    <n v="2"/>
    <n v="2"/>
    <x v="0"/>
    <s v="Medium"/>
    <s v="0-2 Years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x v="1"/>
    <n v="0"/>
    <n v="0"/>
    <n v="0"/>
    <n v="0"/>
    <x v="2"/>
    <s v="Medium"/>
    <s v="0-2 Years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x v="0"/>
    <n v="3"/>
    <n v="2"/>
    <n v="1"/>
    <n v="2"/>
    <x v="4"/>
    <s v="Low"/>
    <s v="3-5 Years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x v="2"/>
    <n v="5"/>
    <n v="4"/>
    <n v="1"/>
    <n v="4"/>
    <x v="2"/>
    <s v="Medium"/>
    <s v="3-5 Years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x v="1"/>
    <n v="9"/>
    <n v="8"/>
    <n v="5"/>
    <n v="8"/>
    <x v="0"/>
    <s v="Medium"/>
    <s v="6-10 Years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x v="0"/>
    <n v="4"/>
    <n v="3"/>
    <n v="0"/>
    <n v="2"/>
    <x v="2"/>
    <s v="Medium"/>
    <s v="3-5 Years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x v="2"/>
    <n v="21"/>
    <n v="8"/>
    <n v="12"/>
    <n v="8"/>
    <x v="0"/>
    <s v="High"/>
    <s v="11+ Years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x v="3"/>
    <n v="5"/>
    <n v="0"/>
    <n v="0"/>
    <n v="3"/>
    <x v="0"/>
    <s v="Medium"/>
    <s v="3-5 Years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x v="1"/>
    <n v="9"/>
    <n v="7"/>
    <n v="0"/>
    <n v="7"/>
    <x v="2"/>
    <s v="Low"/>
    <s v="6-10 Years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x v="1"/>
    <n v="2"/>
    <n v="2"/>
    <n v="2"/>
    <n v="1"/>
    <x v="4"/>
    <s v="Low"/>
    <s v="0-2 Years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x v="2"/>
    <n v="4"/>
    <n v="2"/>
    <n v="1"/>
    <n v="2"/>
    <x v="2"/>
    <s v="Low"/>
    <s v="3-5 Years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x v="1"/>
    <n v="5"/>
    <n v="2"/>
    <n v="0"/>
    <n v="2"/>
    <x v="2"/>
    <s v="Medium"/>
    <s v="3-5 Years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x v="2"/>
    <n v="6"/>
    <n v="2"/>
    <n v="1"/>
    <n v="4"/>
    <x v="2"/>
    <s v="Low"/>
    <s v="6-10 Years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x v="1"/>
    <n v="2"/>
    <n v="2"/>
    <n v="2"/>
    <n v="2"/>
    <x v="2"/>
    <s v="Low"/>
    <s v="0-2 Years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x v="3"/>
    <n v="3"/>
    <n v="2"/>
    <n v="0"/>
    <n v="2"/>
    <x v="2"/>
    <s v="Medium"/>
    <s v="3-5 Years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x v="1"/>
    <n v="7"/>
    <n v="7"/>
    <n v="1"/>
    <n v="7"/>
    <x v="2"/>
    <s v="Medium"/>
    <s v="6-10 Years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x v="1"/>
    <n v="5"/>
    <n v="0"/>
    <n v="1"/>
    <n v="2"/>
    <x v="2"/>
    <s v="Low"/>
    <s v="3-5 Years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x v="2"/>
    <n v="11"/>
    <n v="7"/>
    <n v="1"/>
    <n v="7"/>
    <x v="2"/>
    <s v="Medium"/>
    <s v="11+ Years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x v="3"/>
    <n v="5"/>
    <n v="1"/>
    <n v="0"/>
    <n v="4"/>
    <x v="1"/>
    <s v="Low"/>
    <s v="3-5 Years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x v="2"/>
    <n v="0"/>
    <n v="0"/>
    <n v="0"/>
    <n v="0"/>
    <x v="2"/>
    <s v="Medium"/>
    <s v="0-2 Years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x v="2"/>
    <n v="6"/>
    <n v="1"/>
    <n v="0"/>
    <n v="5"/>
    <x v="0"/>
    <s v="Low"/>
    <s v="6-10 Years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x v="1"/>
    <n v="1"/>
    <n v="0"/>
    <n v="0"/>
    <n v="0"/>
    <x v="2"/>
    <s v="Medium"/>
    <s v="0-2 Years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x v="1"/>
    <n v="1"/>
    <n v="0"/>
    <n v="0"/>
    <n v="0"/>
    <x v="2"/>
    <s v="Low"/>
    <s v="0-2 Years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x v="1"/>
    <n v="7"/>
    <n v="0"/>
    <n v="1"/>
    <n v="7"/>
    <x v="2"/>
    <s v="Medium"/>
    <s v="6-10 Years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x v="1"/>
    <n v="7"/>
    <n v="7"/>
    <n v="0"/>
    <n v="7"/>
    <x v="2"/>
    <s v="Low"/>
    <s v="6-10 Years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x v="1"/>
    <n v="1"/>
    <n v="0"/>
    <n v="1"/>
    <n v="0"/>
    <x v="0"/>
    <s v="Medium"/>
    <s v="0-2 Years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x v="1"/>
    <n v="1"/>
    <n v="0"/>
    <n v="0"/>
    <n v="0"/>
    <x v="0"/>
    <s v="Low"/>
    <s v="0-2 Years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x v="2"/>
    <n v="5"/>
    <n v="3"/>
    <n v="0"/>
    <n v="4"/>
    <x v="0"/>
    <s v="Low"/>
    <s v="3-5 Years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x v="1"/>
    <n v="1"/>
    <n v="0"/>
    <n v="0"/>
    <n v="0"/>
    <x v="1"/>
    <s v="High"/>
    <s v="0-2 Years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x v="2"/>
    <n v="9"/>
    <n v="8"/>
    <n v="1"/>
    <n v="7"/>
    <x v="2"/>
    <s v="Low"/>
    <s v="6-10 Years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x v="1"/>
    <n v="5"/>
    <n v="3"/>
    <n v="0"/>
    <n v="4"/>
    <x v="0"/>
    <s v="Low"/>
    <s v="3-5 Years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x v="1"/>
    <n v="15"/>
    <n v="14"/>
    <n v="0"/>
    <n v="7"/>
    <x v="2"/>
    <s v="Low"/>
    <s v="11+ Years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x v="2"/>
    <n v="3"/>
    <n v="2"/>
    <n v="0"/>
    <n v="2"/>
    <x v="1"/>
    <s v="High"/>
    <s v="3-5 Years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x v="1"/>
    <n v="9"/>
    <n v="7"/>
    <n v="1"/>
    <n v="8"/>
    <x v="0"/>
    <s v="Low"/>
    <s v="6-10 Years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x v="1"/>
    <n v="2"/>
    <n v="2"/>
    <n v="2"/>
    <n v="2"/>
    <x v="2"/>
    <s v="Medium"/>
    <s v="0-2 Years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x v="1"/>
    <n v="1"/>
    <n v="0"/>
    <n v="1"/>
    <n v="0"/>
    <x v="4"/>
    <s v="Low"/>
    <s v="0-2 Years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x v="1"/>
    <n v="5"/>
    <n v="4"/>
    <n v="0"/>
    <n v="4"/>
    <x v="0"/>
    <s v="Low"/>
    <s v="3-5 Years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x v="1"/>
    <n v="1"/>
    <n v="0"/>
    <n v="0"/>
    <n v="0"/>
    <x v="4"/>
    <s v="Low"/>
    <s v="0-2 Years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x v="1"/>
    <n v="12"/>
    <n v="7"/>
    <n v="5"/>
    <n v="7"/>
    <x v="2"/>
    <s v="Medium"/>
    <s v="11+ Years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x v="1"/>
    <n v="2"/>
    <n v="2"/>
    <n v="2"/>
    <n v="2"/>
    <x v="1"/>
    <s v="High"/>
    <s v="0-2 Years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x v="1"/>
    <n v="5"/>
    <n v="2"/>
    <n v="0"/>
    <n v="3"/>
    <x v="0"/>
    <s v="Low"/>
    <s v="3-5 Years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x v="1"/>
    <n v="2"/>
    <n v="1"/>
    <n v="2"/>
    <n v="2"/>
    <x v="1"/>
    <s v="High"/>
    <s v="0-2 Years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x v="1"/>
    <n v="12"/>
    <n v="8"/>
    <n v="5"/>
    <n v="7"/>
    <x v="0"/>
    <s v="Medium"/>
    <s v="11+ Years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x v="2"/>
    <n v="5"/>
    <n v="3"/>
    <n v="2"/>
    <n v="3"/>
    <x v="0"/>
    <s v="Low"/>
    <s v="3-5 Years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x v="2"/>
    <n v="10"/>
    <n v="0"/>
    <n v="4"/>
    <n v="7"/>
    <x v="0"/>
    <s v="Low"/>
    <s v="6-10 Years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x v="1"/>
    <n v="10"/>
    <n v="7"/>
    <n v="7"/>
    <n v="7"/>
    <x v="2"/>
    <s v="Medium"/>
    <s v="6-10 Years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x v="1"/>
    <n v="10"/>
    <n v="8"/>
    <n v="7"/>
    <n v="6"/>
    <x v="2"/>
    <s v="Low"/>
    <s v="6-10 Years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x v="3"/>
    <n v="5"/>
    <n v="3"/>
    <n v="0"/>
    <n v="3"/>
    <x v="2"/>
    <s v="Low"/>
    <s v="3-5 Years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x v="1"/>
    <n v="4"/>
    <n v="3"/>
    <n v="2"/>
    <n v="2"/>
    <x v="0"/>
    <s v="High"/>
    <s v="3-5 Years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x v="1"/>
    <n v="2"/>
    <n v="2"/>
    <n v="2"/>
    <n v="2"/>
    <x v="1"/>
    <s v="Medium"/>
    <s v="0-2 Years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x v="2"/>
    <n v="4"/>
    <n v="3"/>
    <n v="0"/>
    <n v="2"/>
    <x v="0"/>
    <s v="Low"/>
    <s v="3-5 Years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x v="2"/>
    <n v="0"/>
    <n v="0"/>
    <n v="0"/>
    <n v="0"/>
    <x v="0"/>
    <s v="Medium"/>
    <s v="0-2 Years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x v="1"/>
    <n v="7"/>
    <n v="7"/>
    <n v="1"/>
    <n v="7"/>
    <x v="2"/>
    <s v="Medium"/>
    <s v="6-10 Years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x v="1"/>
    <n v="11"/>
    <n v="10"/>
    <n v="3"/>
    <n v="8"/>
    <x v="0"/>
    <s v="Low"/>
    <s v="11+ Years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x v="2"/>
    <n v="7"/>
    <n v="1"/>
    <n v="0"/>
    <n v="7"/>
    <x v="2"/>
    <s v="Medium"/>
    <s v="6-10 Years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x v="0"/>
    <n v="10"/>
    <n v="3"/>
    <n v="0"/>
    <n v="8"/>
    <x v="0"/>
    <s v="Low"/>
    <s v="6-10 Years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x v="1"/>
    <n v="2"/>
    <n v="1"/>
    <n v="2"/>
    <n v="2"/>
    <x v="0"/>
    <s v="Low"/>
    <s v="0-2 Years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x v="2"/>
    <n v="3"/>
    <n v="2"/>
    <n v="1"/>
    <n v="2"/>
    <x v="0"/>
    <s v="Low"/>
    <s v="3-5 Years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x v="0"/>
    <n v="3"/>
    <n v="2"/>
    <n v="1"/>
    <n v="2"/>
    <x v="0"/>
    <s v="Medium"/>
    <s v="3-5 Years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x v="3"/>
    <n v="22"/>
    <n v="14"/>
    <n v="13"/>
    <n v="5"/>
    <x v="0"/>
    <s v="High"/>
    <s v="11+ Years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x v="1"/>
    <n v="7"/>
    <n v="7"/>
    <n v="0"/>
    <n v="2"/>
    <x v="2"/>
    <s v="Medium"/>
    <s v="6-10 Years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x v="1"/>
    <n v="5"/>
    <n v="1"/>
    <n v="1"/>
    <n v="4"/>
    <x v="2"/>
    <s v="Low"/>
    <s v="3-5 Years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x v="3"/>
    <n v="9"/>
    <n v="7"/>
    <n v="3"/>
    <n v="7"/>
    <x v="1"/>
    <s v="Medium"/>
    <s v="6-10 Years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x v="1"/>
    <n v="5"/>
    <n v="3"/>
    <n v="0"/>
    <n v="3"/>
    <x v="0"/>
    <s v="Medium"/>
    <s v="3-5 Years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x v="1"/>
    <n v="10"/>
    <n v="8"/>
    <n v="4"/>
    <n v="8"/>
    <x v="2"/>
    <s v="Medium"/>
    <s v="6-10 Years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x v="2"/>
    <n v="16"/>
    <n v="9"/>
    <n v="14"/>
    <n v="14"/>
    <x v="3"/>
    <s v="High"/>
    <s v="11+ Years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x v="3"/>
    <n v="5"/>
    <n v="4"/>
    <n v="0"/>
    <n v="3"/>
    <x v="2"/>
    <s v="Low"/>
    <s v="3-5 Years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x v="1"/>
    <n v="22"/>
    <n v="11"/>
    <n v="14"/>
    <n v="10"/>
    <x v="1"/>
    <s v="High"/>
    <s v="11+ Years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x v="1"/>
    <n v="7"/>
    <n v="4"/>
    <n v="7"/>
    <n v="7"/>
    <x v="0"/>
    <s v="Low"/>
    <s v="6-10 Years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x v="2"/>
    <n v="7"/>
    <n v="1"/>
    <n v="1"/>
    <n v="7"/>
    <x v="1"/>
    <s v="Medium"/>
    <s v="6-10 Years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x v="1"/>
    <n v="3"/>
    <n v="2"/>
    <n v="2"/>
    <n v="2"/>
    <x v="2"/>
    <s v="Medium"/>
    <s v="3-5 Years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x v="1"/>
    <n v="3"/>
    <n v="2"/>
    <n v="1"/>
    <n v="2"/>
    <x v="2"/>
    <s v="Low"/>
    <s v="3-5 Years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x v="2"/>
    <n v="4"/>
    <n v="2"/>
    <n v="0"/>
    <n v="3"/>
    <x v="0"/>
    <s v="Medium"/>
    <s v="3-5 Years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x v="1"/>
    <n v="5"/>
    <n v="3"/>
    <n v="1"/>
    <n v="2"/>
    <x v="2"/>
    <s v="Low"/>
    <s v="3-5 Years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x v="1"/>
    <n v="2"/>
    <n v="2"/>
    <n v="2"/>
    <n v="2"/>
    <x v="3"/>
    <s v="High"/>
    <s v="0-2 Years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x v="0"/>
    <n v="0"/>
    <n v="0"/>
    <n v="0"/>
    <n v="0"/>
    <x v="4"/>
    <s v="Low"/>
    <s v="0-2 Years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x v="1"/>
    <n v="1"/>
    <n v="0"/>
    <n v="0"/>
    <n v="0"/>
    <x v="2"/>
    <s v="Low"/>
    <s v="0-2 Years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x v="1"/>
    <n v="2"/>
    <n v="2"/>
    <n v="2"/>
    <n v="0"/>
    <x v="2"/>
    <s v="Low"/>
    <s v="0-2 Years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x v="3"/>
    <n v="8"/>
    <n v="7"/>
    <n v="5"/>
    <n v="7"/>
    <x v="0"/>
    <s v="Medium"/>
    <s v="6-10 Years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x v="1"/>
    <n v="1"/>
    <n v="0"/>
    <n v="0"/>
    <n v="0"/>
    <x v="0"/>
    <s v="Medium"/>
    <s v="0-2 Years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x v="1"/>
    <n v="7"/>
    <n v="7"/>
    <n v="7"/>
    <n v="7"/>
    <x v="0"/>
    <s v="Medium"/>
    <s v="6-10 Years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x v="2"/>
    <n v="5"/>
    <n v="4"/>
    <n v="0"/>
    <n v="2"/>
    <x v="2"/>
    <s v="Low"/>
    <s v="3-5 Years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x v="3"/>
    <n v="11"/>
    <n v="8"/>
    <n v="3"/>
    <n v="10"/>
    <x v="2"/>
    <s v="Low"/>
    <s v="11+ Years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x v="3"/>
    <n v="0"/>
    <n v="0"/>
    <n v="0"/>
    <n v="0"/>
    <x v="2"/>
    <s v="Low"/>
    <s v="0-2 Years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x v="2"/>
    <n v="6"/>
    <n v="3"/>
    <n v="3"/>
    <n v="3"/>
    <x v="0"/>
    <s v="Low"/>
    <s v="6-10 Years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x v="1"/>
    <n v="2"/>
    <n v="2"/>
    <n v="2"/>
    <n v="0"/>
    <x v="1"/>
    <s v="Low"/>
    <s v="0-2 Years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x v="2"/>
    <n v="9"/>
    <n v="8"/>
    <n v="4"/>
    <n v="7"/>
    <x v="1"/>
    <s v="Medium"/>
    <s v="6-10 Years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x v="1"/>
    <n v="3"/>
    <n v="2"/>
    <n v="2"/>
    <n v="2"/>
    <x v="2"/>
    <s v="Low"/>
    <s v="3-5 Years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x v="1"/>
    <n v="7"/>
    <n v="0"/>
    <n v="1"/>
    <n v="6"/>
    <x v="2"/>
    <s v="Medium"/>
    <s v="6-10 Years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x v="1"/>
    <n v="0"/>
    <n v="0"/>
    <n v="0"/>
    <n v="0"/>
    <x v="0"/>
    <s v="Low"/>
    <s v="0-2 Years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x v="2"/>
    <n v="2"/>
    <n v="2"/>
    <n v="2"/>
    <n v="2"/>
    <x v="2"/>
    <s v="Medium"/>
    <s v="0-2 Years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x v="1"/>
    <n v="19"/>
    <n v="17"/>
    <n v="2"/>
    <n v="8"/>
    <x v="1"/>
    <s v="High"/>
    <s v="11+ Years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x v="1"/>
    <n v="9"/>
    <n v="8"/>
    <n v="5"/>
    <n v="8"/>
    <x v="2"/>
    <s v="Low"/>
    <s v="6-10 Years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x v="1"/>
    <n v="1"/>
    <n v="0"/>
    <n v="0"/>
    <n v="0"/>
    <x v="2"/>
    <s v="Low"/>
    <s v="0-2 Years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x v="1"/>
    <n v="16"/>
    <n v="12"/>
    <n v="6"/>
    <n v="14"/>
    <x v="0"/>
    <s v="High"/>
    <s v="11+ Years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x v="1"/>
    <n v="22"/>
    <n v="10"/>
    <n v="12"/>
    <n v="9"/>
    <x v="1"/>
    <s v="High"/>
    <s v="11+ Years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x v="2"/>
    <n v="1"/>
    <n v="0"/>
    <n v="1"/>
    <n v="0"/>
    <x v="2"/>
    <s v="Low"/>
    <s v="0-2 Years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x v="1"/>
    <n v="8"/>
    <n v="7"/>
    <n v="0"/>
    <n v="7"/>
    <x v="1"/>
    <s v="Medium"/>
    <s v="6-10 Years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x v="2"/>
    <n v="7"/>
    <n v="6"/>
    <n v="7"/>
    <n v="3"/>
    <x v="2"/>
    <s v="Low"/>
    <s v="6-10 Years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x v="1"/>
    <n v="2"/>
    <n v="2"/>
    <n v="2"/>
    <n v="2"/>
    <x v="0"/>
    <s v="Low"/>
    <s v="0-2 Years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x v="3"/>
    <n v="5"/>
    <n v="2"/>
    <n v="0"/>
    <n v="4"/>
    <x v="1"/>
    <s v="Low"/>
    <s v="3-5 Years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x v="1"/>
    <n v="1"/>
    <n v="0"/>
    <n v="0"/>
    <n v="0"/>
    <x v="2"/>
    <s v="Low"/>
    <s v="0-2 Years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x v="2"/>
    <n v="1"/>
    <n v="0"/>
    <n v="0"/>
    <n v="0"/>
    <x v="2"/>
    <s v="Low"/>
    <s v="0-2 Years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x v="1"/>
    <n v="1"/>
    <n v="0"/>
    <n v="0"/>
    <n v="0"/>
    <x v="4"/>
    <s v="Low"/>
    <s v="0-2 Years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x v="1"/>
    <n v="10"/>
    <n v="9"/>
    <n v="1"/>
    <n v="7"/>
    <x v="0"/>
    <s v="Medium"/>
    <s v="6-10 Years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x v="1"/>
    <n v="10"/>
    <n v="8"/>
    <n v="0"/>
    <n v="2"/>
    <x v="2"/>
    <s v="Low"/>
    <s v="6-10 Years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x v="1"/>
    <n v="5"/>
    <n v="3"/>
    <n v="1"/>
    <n v="0"/>
    <x v="2"/>
    <s v="Medium"/>
    <s v="3-5 Years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x v="1"/>
    <n v="3"/>
    <n v="2"/>
    <n v="1"/>
    <n v="2"/>
    <x v="2"/>
    <s v="Low"/>
    <s v="3-5 Years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x v="1"/>
    <n v="5"/>
    <n v="3"/>
    <n v="0"/>
    <n v="4"/>
    <x v="0"/>
    <s v="Low"/>
    <s v="3-5 Years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x v="1"/>
    <n v="3"/>
    <n v="2"/>
    <n v="0"/>
    <n v="2"/>
    <x v="2"/>
    <s v="Low"/>
    <s v="3-5 Years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x v="2"/>
    <n v="9"/>
    <n v="8"/>
    <n v="3"/>
    <n v="8"/>
    <x v="0"/>
    <s v="Medium"/>
    <s v="6-10 Years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x v="2"/>
    <n v="10"/>
    <n v="1"/>
    <n v="0"/>
    <n v="8"/>
    <x v="0"/>
    <s v="Low"/>
    <s v="6-10 Years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x v="1"/>
    <n v="19"/>
    <n v="7"/>
    <n v="11"/>
    <n v="16"/>
    <x v="0"/>
    <s v="High"/>
    <s v="11+ Years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x v="2"/>
    <n v="1"/>
    <n v="0"/>
    <n v="1"/>
    <n v="0"/>
    <x v="2"/>
    <s v="Low"/>
    <s v="0-2 Years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x v="2"/>
    <n v="8"/>
    <n v="7"/>
    <n v="0"/>
    <n v="7"/>
    <x v="2"/>
    <s v="Medium"/>
    <s v="6-10 Years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x v="1"/>
    <n v="22"/>
    <n v="17"/>
    <n v="4"/>
    <n v="7"/>
    <x v="1"/>
    <s v="High"/>
    <s v="11+ Years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x v="1"/>
    <n v="2"/>
    <n v="0"/>
    <n v="2"/>
    <n v="2"/>
    <x v="0"/>
    <s v="Medium"/>
    <s v="0-2 Years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x v="1"/>
    <n v="5"/>
    <n v="2"/>
    <n v="3"/>
    <n v="0"/>
    <x v="2"/>
    <s v="Low"/>
    <s v="3-5 Years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x v="1"/>
    <n v="4"/>
    <n v="2"/>
    <n v="1"/>
    <n v="0"/>
    <x v="3"/>
    <s v="Low"/>
    <s v="3-5 Years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x v="0"/>
    <n v="4"/>
    <n v="2"/>
    <n v="1"/>
    <n v="3"/>
    <x v="0"/>
    <s v="Medium"/>
    <s v="3-5 Years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x v="1"/>
    <n v="5"/>
    <n v="4"/>
    <n v="1"/>
    <n v="4"/>
    <x v="0"/>
    <s v="Low"/>
    <s v="3-5 Years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x v="3"/>
    <n v="13"/>
    <n v="7"/>
    <n v="5"/>
    <n v="7"/>
    <x v="0"/>
    <s v="High"/>
    <s v="11+ Years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x v="1"/>
    <n v="5"/>
    <n v="2"/>
    <n v="1"/>
    <n v="4"/>
    <x v="2"/>
    <s v="Medium"/>
    <s v="3-5 Years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x v="2"/>
    <n v="4"/>
    <n v="2"/>
    <n v="0"/>
    <n v="1"/>
    <x v="2"/>
    <s v="Medium"/>
    <s v="3-5 Years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x v="2"/>
    <n v="2"/>
    <n v="2"/>
    <n v="2"/>
    <n v="2"/>
    <x v="2"/>
    <s v="Low"/>
    <s v="0-2 Years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x v="1"/>
    <n v="7"/>
    <n v="7"/>
    <n v="7"/>
    <n v="7"/>
    <x v="2"/>
    <s v="Low"/>
    <s v="6-10 Years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x v="1"/>
    <n v="4"/>
    <n v="2"/>
    <n v="0"/>
    <n v="3"/>
    <x v="0"/>
    <s v="Medium"/>
    <s v="3-5 Years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x v="2"/>
    <n v="10"/>
    <n v="4"/>
    <n v="0"/>
    <n v="9"/>
    <x v="2"/>
    <s v="Medium"/>
    <s v="6-10 Years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x v="1"/>
    <n v="7"/>
    <n v="7"/>
    <n v="0"/>
    <n v="7"/>
    <x v="2"/>
    <s v="Medium"/>
    <s v="6-10 Years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x v="1"/>
    <n v="1"/>
    <n v="0"/>
    <n v="0"/>
    <n v="0"/>
    <x v="2"/>
    <s v="Low"/>
    <s v="0-2 Years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x v="1"/>
    <n v="3"/>
    <n v="2"/>
    <n v="1"/>
    <n v="2"/>
    <x v="0"/>
    <s v="Medium"/>
    <s v="3-5 Years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x v="2"/>
    <n v="5"/>
    <n v="3"/>
    <n v="1"/>
    <n v="2"/>
    <x v="2"/>
    <s v="Low"/>
    <s v="3-5 Years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x v="1"/>
    <n v="15"/>
    <n v="10"/>
    <n v="6"/>
    <n v="11"/>
    <x v="2"/>
    <s v="Medium"/>
    <s v="11+ Years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x v="1"/>
    <n v="2"/>
    <n v="0"/>
    <n v="2"/>
    <n v="2"/>
    <x v="2"/>
    <s v="Medium"/>
    <s v="0-2 Years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x v="3"/>
    <n v="8"/>
    <n v="7"/>
    <n v="1"/>
    <n v="7"/>
    <x v="1"/>
    <s v="Medium"/>
    <s v="6-10 Years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x v="1"/>
    <n v="0"/>
    <n v="0"/>
    <n v="0"/>
    <n v="0"/>
    <x v="3"/>
    <s v="Medium"/>
    <s v="0-2 Years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x v="1"/>
    <n v="10"/>
    <n v="0"/>
    <n v="7"/>
    <n v="9"/>
    <x v="0"/>
    <s v="Medium"/>
    <s v="6-10 Years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x v="1"/>
    <n v="20"/>
    <n v="11"/>
    <n v="0"/>
    <n v="7"/>
    <x v="0"/>
    <s v="Low"/>
    <s v="11+ Years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x v="2"/>
    <n v="1"/>
    <n v="0"/>
    <n v="0"/>
    <n v="0"/>
    <x v="3"/>
    <s v="High"/>
    <s v="0-2 Years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x v="1"/>
    <n v="4"/>
    <n v="1"/>
    <n v="0"/>
    <n v="3"/>
    <x v="2"/>
    <s v="Low"/>
    <s v="3-5 Years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x v="3"/>
    <n v="5"/>
    <n v="2"/>
    <n v="0"/>
    <n v="3"/>
    <x v="0"/>
    <s v="Low"/>
    <s v="3-5 Years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x v="1"/>
    <n v="5"/>
    <n v="4"/>
    <n v="4"/>
    <n v="3"/>
    <x v="1"/>
    <s v="High"/>
    <s v="3-5 Years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x v="1"/>
    <n v="0"/>
    <n v="0"/>
    <n v="0"/>
    <n v="0"/>
    <x v="0"/>
    <s v="Medium"/>
    <s v="0-2 Years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x v="1"/>
    <n v="1"/>
    <n v="0"/>
    <n v="0"/>
    <n v="0"/>
    <x v="2"/>
    <s v="Low"/>
    <s v="0-2 Years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x v="0"/>
    <n v="5"/>
    <n v="3"/>
    <n v="0"/>
    <n v="4"/>
    <x v="2"/>
    <s v="Medium"/>
    <s v="3-5 Years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x v="2"/>
    <n v="5"/>
    <n v="3"/>
    <n v="1"/>
    <n v="4"/>
    <x v="2"/>
    <s v="Low"/>
    <s v="3-5 Years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x v="3"/>
    <n v="4"/>
    <n v="2"/>
    <n v="2"/>
    <n v="3"/>
    <x v="2"/>
    <s v="Low"/>
    <s v="3-5 Years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x v="1"/>
    <n v="5"/>
    <n v="4"/>
    <n v="0"/>
    <n v="2"/>
    <x v="0"/>
    <s v="Low"/>
    <s v="3-5 Years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x v="2"/>
    <n v="14"/>
    <n v="8"/>
    <n v="2"/>
    <n v="1"/>
    <x v="2"/>
    <s v="Medium"/>
    <s v="11+ Years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x v="2"/>
    <n v="8"/>
    <n v="7"/>
    <n v="1"/>
    <n v="1"/>
    <x v="2"/>
    <s v="Medium"/>
    <s v="6-10 Years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x v="2"/>
    <n v="7"/>
    <n v="7"/>
    <n v="7"/>
    <n v="6"/>
    <x v="2"/>
    <s v="Low"/>
    <s v="6-10 Years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x v="2"/>
    <n v="5"/>
    <n v="3"/>
    <n v="0"/>
    <n v="2"/>
    <x v="2"/>
    <s v="Medium"/>
    <s v="3-5 Years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x v="1"/>
    <n v="5"/>
    <n v="1"/>
    <n v="1"/>
    <n v="2"/>
    <x v="2"/>
    <s v="Medium"/>
    <s v="3-5 Years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x v="1"/>
    <n v="10"/>
    <n v="8"/>
    <n v="8"/>
    <n v="7"/>
    <x v="2"/>
    <s v="Medium"/>
    <s v="6-10 Years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x v="2"/>
    <n v="4"/>
    <n v="1"/>
    <n v="0"/>
    <n v="3"/>
    <x v="2"/>
    <s v="Low"/>
    <s v="3-5 Years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x v="2"/>
    <n v="1"/>
    <n v="0"/>
    <n v="0"/>
    <n v="0"/>
    <x v="0"/>
    <s v="Low"/>
    <s v="0-2 Years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x v="1"/>
    <n v="10"/>
    <n v="8"/>
    <n v="0"/>
    <n v="9"/>
    <x v="2"/>
    <s v="Medium"/>
    <s v="6-10 Years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x v="1"/>
    <n v="7"/>
    <n v="7"/>
    <n v="0"/>
    <n v="7"/>
    <x v="2"/>
    <s v="Low"/>
    <s v="6-10 Years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x v="1"/>
    <n v="1"/>
    <n v="0"/>
    <n v="0"/>
    <n v="0"/>
    <x v="2"/>
    <s v="Medium"/>
    <s v="0-2 Years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x v="1"/>
    <n v="10"/>
    <n v="7"/>
    <n v="0"/>
    <n v="8"/>
    <x v="2"/>
    <s v="Medium"/>
    <s v="6-10 Years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x v="2"/>
    <n v="2"/>
    <n v="2"/>
    <n v="2"/>
    <n v="2"/>
    <x v="1"/>
    <s v="High"/>
    <s v="0-2 Years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x v="2"/>
    <n v="4"/>
    <n v="3"/>
    <n v="2"/>
    <n v="3"/>
    <x v="1"/>
    <s v="Low"/>
    <s v="3-5 Years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x v="1"/>
    <n v="9"/>
    <n v="7"/>
    <n v="2"/>
    <n v="8"/>
    <x v="2"/>
    <s v="Medium"/>
    <s v="6-10 Years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x v="1"/>
    <n v="10"/>
    <n v="9"/>
    <n v="0"/>
    <n v="9"/>
    <x v="0"/>
    <s v="Medium"/>
    <s v="6-10 Years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x v="1"/>
    <n v="6"/>
    <n v="2"/>
    <n v="1"/>
    <n v="2"/>
    <x v="0"/>
    <s v="Low"/>
    <s v="6-10 Years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x v="1"/>
    <n v="10"/>
    <n v="9"/>
    <n v="1"/>
    <n v="4"/>
    <x v="1"/>
    <s v="High"/>
    <s v="6-10 Years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x v="1"/>
    <n v="1"/>
    <n v="0"/>
    <n v="0"/>
    <n v="0"/>
    <x v="2"/>
    <s v="Low"/>
    <s v="0-2 Years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x v="1"/>
    <n v="20"/>
    <n v="8"/>
    <n v="11"/>
    <n v="10"/>
    <x v="0"/>
    <s v="High"/>
    <s v="11+ Years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x v="1"/>
    <n v="20"/>
    <n v="9"/>
    <n v="3"/>
    <n v="7"/>
    <x v="0"/>
    <s v="Low"/>
    <s v="11+ Years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x v="3"/>
    <n v="11"/>
    <n v="7"/>
    <n v="4"/>
    <n v="8"/>
    <x v="2"/>
    <s v="High"/>
    <s v="11+ Years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x v="1"/>
    <n v="5"/>
    <n v="2"/>
    <n v="1"/>
    <n v="4"/>
    <x v="1"/>
    <s v="Low"/>
    <s v="3-5 Years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x v="2"/>
    <n v="4"/>
    <n v="3"/>
    <n v="1"/>
    <n v="2"/>
    <x v="4"/>
    <s v="Low"/>
    <s v="3-5 Years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x v="3"/>
    <n v="5"/>
    <n v="2"/>
    <n v="1"/>
    <n v="4"/>
    <x v="4"/>
    <s v="Low"/>
    <s v="3-5 Years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x v="3"/>
    <n v="10"/>
    <n v="9"/>
    <n v="9"/>
    <n v="4"/>
    <x v="0"/>
    <s v="Medium"/>
    <s v="6-10 Years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x v="1"/>
    <n v="11"/>
    <n v="8"/>
    <n v="5"/>
    <n v="10"/>
    <x v="0"/>
    <s v="Medium"/>
    <s v="11+ Years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x v="1"/>
    <n v="2"/>
    <n v="0"/>
    <n v="1"/>
    <n v="2"/>
    <x v="4"/>
    <s v="Low"/>
    <s v="0-2 Years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x v="2"/>
    <n v="12"/>
    <n v="8"/>
    <n v="1"/>
    <n v="7"/>
    <x v="2"/>
    <s v="Low"/>
    <s v="11+ Years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x v="2"/>
    <n v="2"/>
    <n v="2"/>
    <n v="0"/>
    <n v="2"/>
    <x v="4"/>
    <s v="Low"/>
    <s v="0-2 Years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x v="1"/>
    <n v="17"/>
    <n v="14"/>
    <n v="12"/>
    <n v="11"/>
    <x v="1"/>
    <s v="Medium"/>
    <s v="11+ Years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x v="2"/>
    <n v="1"/>
    <n v="1"/>
    <n v="0"/>
    <n v="0"/>
    <x v="2"/>
    <s v="Low"/>
    <s v="0-2 Years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x v="1"/>
    <n v="15"/>
    <n v="13"/>
    <n v="5"/>
    <n v="8"/>
    <x v="0"/>
    <s v="Low"/>
    <s v="11+ Years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x v="1"/>
    <n v="2"/>
    <n v="2"/>
    <n v="1"/>
    <n v="2"/>
    <x v="2"/>
    <s v="Low"/>
    <s v="0-2 Years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x v="1"/>
    <n v="8"/>
    <n v="3"/>
    <n v="7"/>
    <n v="7"/>
    <x v="0"/>
    <s v="Medium"/>
    <s v="6-10 Years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x v="2"/>
    <n v="4"/>
    <n v="3"/>
    <n v="1"/>
    <n v="2"/>
    <x v="0"/>
    <s v="Medium"/>
    <s v="3-5 Years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x v="1"/>
    <n v="5"/>
    <n v="3"/>
    <n v="1"/>
    <n v="0"/>
    <x v="0"/>
    <s v="Low"/>
    <s v="3-5 Years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x v="0"/>
    <n v="13"/>
    <n v="8"/>
    <n v="5"/>
    <n v="12"/>
    <x v="1"/>
    <s v="High"/>
    <s v="11+ Years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x v="1"/>
    <n v="2"/>
    <n v="2"/>
    <n v="2"/>
    <n v="2"/>
    <x v="2"/>
    <s v="Low"/>
    <s v="0-2 Years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x v="3"/>
    <n v="3"/>
    <n v="2"/>
    <n v="1"/>
    <n v="2"/>
    <x v="4"/>
    <s v="Low"/>
    <s v="3-5 Years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x v="1"/>
    <n v="10"/>
    <n v="7"/>
    <n v="0"/>
    <n v="8"/>
    <x v="2"/>
    <s v="Medium"/>
    <s v="6-10 Years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x v="1"/>
    <n v="9"/>
    <n v="7"/>
    <n v="8"/>
    <n v="1"/>
    <x v="2"/>
    <s v="Low"/>
    <s v="6-10 Years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x v="1"/>
    <n v="6"/>
    <n v="2"/>
    <n v="4"/>
    <n v="1"/>
    <x v="2"/>
    <s v="Low"/>
    <s v="6-10 Years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x v="2"/>
    <n v="1"/>
    <n v="0"/>
    <n v="0"/>
    <n v="0"/>
    <x v="0"/>
    <s v="Low"/>
    <s v="0-2 Years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x v="1"/>
    <n v="2"/>
    <n v="2"/>
    <n v="2"/>
    <n v="2"/>
    <x v="2"/>
    <s v="Low"/>
    <s v="0-2 Years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x v="1"/>
    <n v="7"/>
    <n v="7"/>
    <n v="1"/>
    <n v="7"/>
    <x v="0"/>
    <s v="Low"/>
    <s v="6-10 Years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x v="1"/>
    <n v="18"/>
    <n v="16"/>
    <n v="1"/>
    <n v="11"/>
    <x v="0"/>
    <s v="High"/>
    <s v="11+ Years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x v="1"/>
    <n v="14"/>
    <n v="10"/>
    <n v="5"/>
    <n v="7"/>
    <x v="2"/>
    <s v="High"/>
    <s v="11+ Years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x v="1"/>
    <n v="16"/>
    <n v="11"/>
    <n v="6"/>
    <n v="8"/>
    <x v="0"/>
    <s v="High"/>
    <s v="11+ Years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x v="2"/>
    <n v="5"/>
    <n v="3"/>
    <n v="0"/>
    <n v="4"/>
    <x v="4"/>
    <s v="Low"/>
    <s v="3-5 Years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x v="2"/>
    <n v="9"/>
    <n v="8"/>
    <n v="0"/>
    <n v="0"/>
    <x v="1"/>
    <s v="Low"/>
    <s v="6-10 Years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x v="1"/>
    <n v="4"/>
    <n v="3"/>
    <n v="1"/>
    <n v="2"/>
    <x v="0"/>
    <s v="Low"/>
    <s v="3-5 Years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x v="1"/>
    <n v="2"/>
    <n v="2"/>
    <n v="1"/>
    <n v="2"/>
    <x v="4"/>
    <s v="Low"/>
    <s v="0-2 Years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x v="2"/>
    <n v="6"/>
    <n v="0"/>
    <n v="1"/>
    <n v="3"/>
    <x v="0"/>
    <s v="High"/>
    <s v="6-10 Years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x v="2"/>
    <n v="1"/>
    <n v="0"/>
    <n v="1"/>
    <n v="0"/>
    <x v="4"/>
    <s v="Low"/>
    <s v="0-2 Years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x v="1"/>
    <n v="9"/>
    <n v="7"/>
    <n v="3"/>
    <n v="4"/>
    <x v="0"/>
    <s v="Medium"/>
    <s v="6-10 Years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x v="1"/>
    <n v="4"/>
    <n v="2"/>
    <n v="0"/>
    <n v="2"/>
    <x v="0"/>
    <s v="Medium"/>
    <s v="3-5 Years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x v="2"/>
    <n v="13"/>
    <n v="12"/>
    <n v="1"/>
    <n v="9"/>
    <x v="3"/>
    <s v="Medium"/>
    <s v="11+ Years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x v="3"/>
    <n v="2"/>
    <n v="2"/>
    <n v="2"/>
    <n v="2"/>
    <x v="2"/>
    <s v="Low"/>
    <s v="0-2 Years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x v="2"/>
    <n v="22"/>
    <n v="6"/>
    <n v="4"/>
    <n v="14"/>
    <x v="0"/>
    <s v="High"/>
    <s v="11+ Years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x v="0"/>
    <n v="10"/>
    <n v="9"/>
    <n v="9"/>
    <n v="8"/>
    <x v="3"/>
    <s v="Low"/>
    <s v="6-10 Years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x v="1"/>
    <n v="20"/>
    <n v="7"/>
    <n v="0"/>
    <n v="10"/>
    <x v="0"/>
    <s v="High"/>
    <s v="11+ Years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x v="1"/>
    <n v="8"/>
    <n v="7"/>
    <n v="1"/>
    <n v="7"/>
    <x v="2"/>
    <s v="Medium"/>
    <s v="6-10 Years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x v="2"/>
    <n v="15"/>
    <n v="12"/>
    <n v="11"/>
    <n v="11"/>
    <x v="0"/>
    <s v="Medium"/>
    <s v="11+ Years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x v="1"/>
    <n v="5"/>
    <n v="4"/>
    <n v="0"/>
    <n v="4"/>
    <x v="0"/>
    <s v="Medium"/>
    <s v="3-5 Years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x v="1"/>
    <n v="4"/>
    <n v="2"/>
    <n v="1"/>
    <n v="2"/>
    <x v="2"/>
    <s v="Low"/>
    <s v="3-5 Years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x v="1"/>
    <n v="9"/>
    <n v="0"/>
    <n v="1"/>
    <n v="7"/>
    <x v="2"/>
    <s v="Medium"/>
    <s v="6-10 Years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x v="1"/>
    <n v="10"/>
    <n v="7"/>
    <n v="1"/>
    <n v="9"/>
    <x v="0"/>
    <s v="Medium"/>
    <s v="6-10 Years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x v="1"/>
    <n v="6"/>
    <n v="3"/>
    <n v="0"/>
    <n v="1"/>
    <x v="1"/>
    <s v="Medium"/>
    <s v="6-10 Years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x v="2"/>
    <n v="6"/>
    <n v="3"/>
    <n v="0"/>
    <n v="0"/>
    <x v="0"/>
    <s v="Medium"/>
    <s v="6-10 Years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x v="1"/>
    <n v="5"/>
    <n v="3"/>
    <n v="0"/>
    <n v="1"/>
    <x v="0"/>
    <s v="Low"/>
    <s v="3-5 Years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x v="1"/>
    <n v="2"/>
    <n v="2"/>
    <n v="2"/>
    <n v="2"/>
    <x v="0"/>
    <s v="Low"/>
    <s v="0-2 Years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x v="3"/>
    <n v="10"/>
    <n v="2"/>
    <n v="0"/>
    <n v="2"/>
    <x v="2"/>
    <s v="Medium"/>
    <s v="6-10 Years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x v="1"/>
    <n v="5"/>
    <n v="3"/>
    <n v="0"/>
    <n v="2"/>
    <x v="0"/>
    <s v="Low"/>
    <s v="3-5 Years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x v="1"/>
    <n v="4"/>
    <n v="3"/>
    <n v="1"/>
    <n v="1"/>
    <x v="2"/>
    <s v="Low"/>
    <s v="3-5 Years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x v="1"/>
    <n v="4"/>
    <n v="3"/>
    <n v="0"/>
    <n v="3"/>
    <x v="2"/>
    <s v="Low"/>
    <s v="3-5 Years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x v="0"/>
    <n v="5"/>
    <n v="4"/>
    <n v="0"/>
    <n v="4"/>
    <x v="2"/>
    <s v="Low"/>
    <s v="3-5 Years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x v="1"/>
    <n v="3"/>
    <n v="2"/>
    <n v="2"/>
    <n v="0"/>
    <x v="1"/>
    <s v="High"/>
    <s v="3-5 Years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x v="2"/>
    <n v="20"/>
    <n v="9"/>
    <n v="9"/>
    <n v="6"/>
    <x v="0"/>
    <s v="High"/>
    <s v="11+ Years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x v="1"/>
    <n v="9"/>
    <n v="4"/>
    <n v="1"/>
    <n v="7"/>
    <x v="2"/>
    <s v="Medium"/>
    <s v="6-10 Years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x v="1"/>
    <n v="4"/>
    <n v="2"/>
    <n v="0"/>
    <n v="0"/>
    <x v="2"/>
    <s v="Low"/>
    <s v="3-5 Years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x v="1"/>
    <n v="5"/>
    <n v="2"/>
    <n v="0"/>
    <n v="3"/>
    <x v="0"/>
    <s v="Low"/>
    <s v="3-5 Years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x v="1"/>
    <n v="7"/>
    <n v="7"/>
    <n v="1"/>
    <n v="7"/>
    <x v="0"/>
    <s v="Medium"/>
    <s v="6-10 Years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x v="1"/>
    <n v="6"/>
    <n v="2"/>
    <n v="0"/>
    <n v="3"/>
    <x v="2"/>
    <s v="Medium"/>
    <s v="6-10 Years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x v="2"/>
    <n v="9"/>
    <n v="6"/>
    <n v="0"/>
    <n v="8"/>
    <x v="1"/>
    <s v="Medium"/>
    <s v="6-10 Years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x v="3"/>
    <n v="4"/>
    <n v="3"/>
    <n v="1"/>
    <n v="2"/>
    <x v="2"/>
    <s v="Low"/>
    <s v="3-5 Yea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E8C01-17FB-43F1-95D7-886F0D5970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5:C9" firstHeaderRow="1" firstDataRow="1" firstDataCol="1" rowPageCount="1" colPageCount="1"/>
  <pivotFields count="38">
    <pivotField compact="0" numFmtId="1" outline="0" showAll="0"/>
    <pivotField axis="axisPage" dataField="1" compact="0" outline="0" multipleItemSelectionAllowed="1" showAll="0">
      <items count="3">
        <item h="1" x="1"/>
        <item x="0"/>
        <item t="default"/>
      </items>
    </pivotField>
    <pivotField compact="0" outline="0" showAll="0"/>
    <pivotField compact="0" numFmtId="1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E503E-6847-4896-9552-D7D1B03244F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E20:F25" firstHeaderRow="1" firstDataRow="1" firstDataCol="1" rowPageCount="1" colPageCount="1"/>
  <pivotFields count="38">
    <pivotField compact="0" numFmtId="1" outline="0" showAll="0"/>
    <pivotField axis="axisPage" dataField="1" compact="0" outline="0" multipleItemSelectionAllowed="1" showAll="0">
      <items count="3">
        <item h="1" x="1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 sortType="ascending">
      <items count="5">
        <item x="0"/>
        <item x="2"/>
        <item x="1"/>
        <item x="3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02E14-3139-42F7-AAAB-AD17B998395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B13:C19" firstHeaderRow="1" firstDataRow="1" firstDataCol="1" rowPageCount="1" colPageCount="1"/>
  <pivotFields count="38">
    <pivotField compact="0" numFmtId="1" outline="0" showAll="0"/>
    <pivotField axis="axisPage" dataField="1" compact="0" outline="0" multipleItemSelectionAllowed="1" showAll="0">
      <items count="3">
        <item h="1" x="1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m="1" x="6"/>
        <item m="1" x="5"/>
        <item m="1" x="8"/>
        <item m="1" x="7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35"/>
  </rowFields>
  <rowItems count="6">
    <i>
      <x v="6"/>
    </i>
    <i>
      <x v="8"/>
    </i>
    <i>
      <x v="4"/>
    </i>
    <i>
      <x v="5"/>
    </i>
    <i>
      <x v="7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394C4-7200-4E24-9168-FCABF4BEEB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B22:C25" firstHeaderRow="1" firstDataRow="1" firstDataCol="1" rowPageCount="1" colPageCount="1"/>
  <pivotFields count="38">
    <pivotField compact="0" numFmtId="1" outline="0" showAll="0"/>
    <pivotField axis="axisPage" dataField="1" compact="0" outline="0" multipleItemSelectionAllowed="1" showAll="0">
      <items count="3">
        <item h="1" x="1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9928D-5B17-42B4-9CE2-6D24D9715FF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E5:F15" firstHeaderRow="1" firstDataRow="1" firstDataCol="1" rowPageCount="1" colPageCount="1"/>
  <pivotFields count="38">
    <pivotField compact="0" numFmtId="1" outline="0" showAll="0"/>
    <pivotField axis="axisPage" dataField="1" compact="0" outline="0" multipleItemSelectionAllowed="1" showAll="0">
      <items count="3">
        <item h="1" x="1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0">
    <i>
      <x v="5"/>
    </i>
    <i>
      <x v="3"/>
    </i>
    <i>
      <x/>
    </i>
    <i>
      <x v="4"/>
    </i>
    <i>
      <x v="1"/>
    </i>
    <i>
      <x v="8"/>
    </i>
    <i>
      <x v="6"/>
    </i>
    <i>
      <x v="7"/>
    </i>
    <i>
      <x v="2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7BD79A-A5F0-4A7C-AA81-E45AB80F0819}" name="Table3" displayName="Table3" ref="A1:AL1471" totalsRowShown="0">
  <autoFilter ref="A1:AL1471" xr:uid="{CB7BD79A-A5F0-4A7C-AA81-E45AB80F08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4DB46F10-AA1A-412B-8ABB-1DE8397691D8}" name="Age" dataDxfId="8"/>
    <tableColumn id="2" xr3:uid="{005B95DF-9DE3-40DE-B0E9-8FD120736BB4}" name="Attrition"/>
    <tableColumn id="3" xr3:uid="{C3F86567-9428-47BC-A6FF-2D6B1AB30637}" name="Business Travel"/>
    <tableColumn id="4" xr3:uid="{8DEBA253-15CA-4282-8CD7-8FE497E69C3A}" name="Daily Rate" dataDxfId="7"/>
    <tableColumn id="5" xr3:uid="{E6BD271E-671B-4A14-B74C-449B0254A168}" name="Department"/>
    <tableColumn id="6" xr3:uid="{9CD6D448-D26D-465E-94D9-B12A97235733}" name="Distance From Home" dataDxfId="6"/>
    <tableColumn id="7" xr3:uid="{13210BBF-4F09-4AB8-B011-298A938091DA}" name="Education"/>
    <tableColumn id="8" xr3:uid="{653788AD-127F-4650-AB1E-99C8C6597DB6}" name="Education Field"/>
    <tableColumn id="9" xr3:uid="{BBE72D97-5C97-4BAE-AABA-1F04FD2D3715}" name="EmployeeCount"/>
    <tableColumn id="10" xr3:uid="{D75A7AB7-0429-4A2D-8562-F49C7AE48DBF}" name="EmployeeNumber"/>
    <tableColumn id="11" xr3:uid="{222D7A82-2DEB-4424-9CD1-F41385D1E06A}" name="Environment Satisfaction"/>
    <tableColumn id="12" xr3:uid="{09EFA001-4199-46AC-A128-2E9A0D027B5B}" name="Gender"/>
    <tableColumn id="13" xr3:uid="{F932FD0B-5095-4F2B-93CB-ED49D3AFD6BC}" name="HourlyRate"/>
    <tableColumn id="14" xr3:uid="{8AB1102B-AF91-4187-AAB9-1B95F993FA21}" name="Job Involvement"/>
    <tableColumn id="15" xr3:uid="{84C5C750-1F2C-4F24-9634-FEAAD7953062}" name="Job Level"/>
    <tableColumn id="16" xr3:uid="{65AF354B-7611-4170-A3AF-30A04D72EF73}" name="Job Role"/>
    <tableColumn id="17" xr3:uid="{75BD716B-AF04-4AA8-8BAE-52BBF6C9B960}" name="Job Satisfaction"/>
    <tableColumn id="18" xr3:uid="{B565156D-B29F-4F25-913E-0288608D6F1B}" name="Marital Status"/>
    <tableColumn id="19" xr3:uid="{25CC9707-B7E7-4AFA-9FA5-15932332071F}" name="Monthly Income" dataDxfId="5"/>
    <tableColumn id="20" xr3:uid="{71BF048F-35CD-40EC-B7BB-E8D99F3A0164}" name="MonthlyRate"/>
    <tableColumn id="21" xr3:uid="{95AF3071-BFA9-4E9D-A4F6-728B4EA681D9}" name="Num Companies Worked"/>
    <tableColumn id="22" xr3:uid="{E44C89AD-706F-4D34-8CAA-62A3B7356F54}" name="Over18"/>
    <tableColumn id="23" xr3:uid="{FA68F2DA-6A87-4242-B04D-1272BD214AA9}" name="Over Time"/>
    <tableColumn id="24" xr3:uid="{A599F887-B78F-4CB8-B05B-AAB43049E046}" name="Percent Salary Hike" dataDxfId="4"/>
    <tableColumn id="25" xr3:uid="{EF7C8EDE-328F-457E-B657-D4A0DE33B985}" name="Performance Rating"/>
    <tableColumn id="26" xr3:uid="{68467D55-125A-44A4-B3C2-FF98603BB333}" name="Relationship Satisfaction"/>
    <tableColumn id="27" xr3:uid="{8C898457-2F81-4EFF-BBF5-B7F2C0F33D98}" name="StandardHours"/>
    <tableColumn id="28" xr3:uid="{22CFFF05-856E-4A34-B2D9-7D0F0C8D384B}" name="Stock Option Level"/>
    <tableColumn id="29" xr3:uid="{E6EF4B53-D494-4D67-B2C8-E7ED2DC3B8AD}" name="Total Working Years" dataDxfId="3"/>
    <tableColumn id="30" xr3:uid="{C64C6FEA-6115-4737-9133-F8043B6BC559}" name="Training Times Last Year"/>
    <tableColumn id="31" xr3:uid="{81752290-E43D-45C0-B4F8-B8F8F6E4F90C}" name="Work Life Balance"/>
    <tableColumn id="32" xr3:uid="{39DF90DF-1D25-4FF2-8989-CE02402C5AB1}" name="Years At Company" dataDxfId="2"/>
    <tableColumn id="33" xr3:uid="{1F1E24B7-ED0A-4909-850E-55801BA88873}" name="Years In Current Role"/>
    <tableColumn id="34" xr3:uid="{E962C870-2DD0-487F-8400-C72BBCFECFD7}" name="Years Since Last Promotion"/>
    <tableColumn id="35" xr3:uid="{2EC8C955-B63F-4EBB-9781-C7D4921891EB}" name="Years With Curr Manager"/>
    <tableColumn id="36" xr3:uid="{344F38E8-321E-404C-BF72-3B3825F8E235}" name="Age Group" dataDxfId="1">
      <calculatedColumnFormula>IF(A2 A2 &lt;= 25, "18-25", IF(A2 &lt;=35, "26-35", IF(A2 &lt;=45, "36-45", IF(Table3[[#This Row],[Age]] &lt;=55, "46-55", "56+"))))</calculatedColumnFormula>
    </tableColumn>
    <tableColumn id="37" xr3:uid="{A03FAB38-0D38-4100-B684-8D08E9816A73}" name="Income Group">
      <calculatedColumnFormula>IF(S2 &lt; 5000, "Low",IF(S2 &lt;=9999, "Medium", "High"))</calculatedColumnFormula>
    </tableColumn>
    <tableColumn id="38" xr3:uid="{899003EA-3AE6-40B5-B897-B4F7E1D7EA27}" name="Years At Company Group" dataDxfId="0">
      <calculatedColumnFormula>IF(AF2 &lt; 3, "0-2 Years", IF(AF2 &lt;= 5, "3-5 Years", IF(AF2 &lt;= 10, "6-10 Years",IF(Table3[[#This Row],[Years At Company]]&lt;=20, "11-20 Years","20+ Years"))))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19AF-69C9-412D-A7C8-ED3994D1A568}">
  <dimension ref="A1:AI1471"/>
  <sheetViews>
    <sheetView topLeftCell="L1444" workbookViewId="0">
      <selection activeCell="O1468" sqref="O1468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8A9E-D870-45E0-8293-BE29169F26BF}">
  <dimension ref="A1:AL1471"/>
  <sheetViews>
    <sheetView tabSelected="1" topLeftCell="AC1" workbookViewId="0">
      <selection activeCell="AH1" sqref="AH1"/>
    </sheetView>
  </sheetViews>
  <sheetFormatPr defaultRowHeight="15" x14ac:dyDescent="0.25"/>
  <cols>
    <col min="1" max="1" width="10.85546875" style="2" customWidth="1"/>
    <col min="2" max="2" width="10.5703125" customWidth="1"/>
    <col min="3" max="3" width="17.140625" customWidth="1"/>
    <col min="4" max="4" width="12.28515625" style="2" customWidth="1"/>
    <col min="5" max="5" width="23.5703125" customWidth="1"/>
    <col min="6" max="6" width="22" style="2" customWidth="1"/>
    <col min="7" max="7" width="12.140625" customWidth="1"/>
    <col min="8" max="8" width="17" customWidth="1"/>
    <col min="9" max="9" width="17.7109375" hidden="1" customWidth="1"/>
    <col min="10" max="10" width="19.42578125" customWidth="1"/>
    <col min="11" max="11" width="25.85546875" customWidth="1"/>
    <col min="12" max="12" width="9.85546875" customWidth="1"/>
    <col min="13" max="13" width="13.28515625" hidden="1" customWidth="1"/>
    <col min="14" max="14" width="17.85546875" customWidth="1"/>
    <col min="15" max="15" width="11.42578125" customWidth="1"/>
    <col min="16" max="16" width="10.7109375" customWidth="1"/>
    <col min="17" max="17" width="17.28515625" customWidth="1"/>
    <col min="18" max="18" width="15.42578125" customWidth="1"/>
    <col min="19" max="19" width="17.5703125" style="2" customWidth="1"/>
    <col min="20" max="20" width="14.5703125" hidden="1" customWidth="1"/>
    <col min="21" max="21" width="25.5703125" customWidth="1"/>
    <col min="22" max="22" width="9.42578125" hidden="1" customWidth="1"/>
    <col min="23" max="23" width="12.28515625" customWidth="1"/>
    <col min="24" max="24" width="20.5703125" style="2" customWidth="1"/>
    <col min="25" max="25" width="20.85546875" customWidth="1"/>
    <col min="26" max="26" width="25.7109375" customWidth="1"/>
    <col min="27" max="27" width="16.5703125" hidden="1" customWidth="1"/>
    <col min="28" max="28" width="20" customWidth="1"/>
    <col min="29" max="29" width="20.85546875" style="2" customWidth="1"/>
    <col min="30" max="30" width="24.7109375" customWidth="1"/>
    <col min="31" max="31" width="19.140625" customWidth="1"/>
    <col min="32" max="32" width="19.42578125" style="2" customWidth="1"/>
    <col min="33" max="33" width="23.85546875" customWidth="1"/>
    <col min="34" max="34" width="27.5703125" customWidth="1"/>
    <col min="35" max="35" width="25.28515625" customWidth="1"/>
    <col min="36" max="36" width="12.42578125" style="2" customWidth="1"/>
    <col min="37" max="37" width="15.85546875" customWidth="1"/>
    <col min="38" max="38" width="25.42578125" style="2" customWidth="1"/>
    <col min="39" max="47" width="11.28515625" customWidth="1"/>
    <col min="48" max="137" width="12.28515625" customWidth="1"/>
    <col min="138" max="1037" width="13.28515625" customWidth="1"/>
    <col min="1038" max="10037" width="14.28515625" customWidth="1"/>
    <col min="10038" max="16384" width="15.28515625" customWidth="1"/>
  </cols>
  <sheetData>
    <row r="1" spans="1:38" x14ac:dyDescent="0.25">
      <c r="A1" s="2" t="s">
        <v>0</v>
      </c>
      <c r="B1" t="s">
        <v>1</v>
      </c>
      <c r="C1" t="s">
        <v>62</v>
      </c>
      <c r="D1" s="2" t="s">
        <v>63</v>
      </c>
      <c r="E1" t="s">
        <v>4</v>
      </c>
      <c r="F1" s="2" t="s">
        <v>64</v>
      </c>
      <c r="G1" t="s">
        <v>6</v>
      </c>
      <c r="H1" t="s">
        <v>65</v>
      </c>
      <c r="I1" t="s">
        <v>8</v>
      </c>
      <c r="J1" t="s">
        <v>9</v>
      </c>
      <c r="K1" t="s">
        <v>66</v>
      </c>
      <c r="L1" t="s">
        <v>11</v>
      </c>
      <c r="M1" t="s">
        <v>12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s="2" t="s">
        <v>72</v>
      </c>
      <c r="T1" t="s">
        <v>19</v>
      </c>
      <c r="U1" t="s">
        <v>73</v>
      </c>
      <c r="V1" t="s">
        <v>21</v>
      </c>
      <c r="W1" t="s">
        <v>74</v>
      </c>
      <c r="X1" s="2" t="s">
        <v>75</v>
      </c>
      <c r="Y1" t="s">
        <v>76</v>
      </c>
      <c r="Z1" t="s">
        <v>77</v>
      </c>
      <c r="AA1" t="s">
        <v>26</v>
      </c>
      <c r="AB1" t="s">
        <v>78</v>
      </c>
      <c r="AC1" s="2" t="s">
        <v>79</v>
      </c>
      <c r="AD1" t="s">
        <v>80</v>
      </c>
      <c r="AE1" t="s">
        <v>81</v>
      </c>
      <c r="AF1" s="2" t="s">
        <v>82</v>
      </c>
      <c r="AG1" t="s">
        <v>83</v>
      </c>
      <c r="AH1" t="s">
        <v>84</v>
      </c>
      <c r="AI1" t="s">
        <v>85</v>
      </c>
      <c r="AJ1" s="2" t="s">
        <v>86</v>
      </c>
      <c r="AK1" t="s">
        <v>87</v>
      </c>
      <c r="AL1" s="2" t="s">
        <v>88</v>
      </c>
    </row>
    <row r="2" spans="1:38" x14ac:dyDescent="0.25">
      <c r="A2" s="2">
        <v>41</v>
      </c>
      <c r="B2" t="s">
        <v>35</v>
      </c>
      <c r="C2" t="s">
        <v>36</v>
      </c>
      <c r="D2" s="2">
        <v>1102</v>
      </c>
      <c r="E2" t="s">
        <v>37</v>
      </c>
      <c r="F2" s="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 s="2">
        <v>5993</v>
      </c>
      <c r="T2">
        <v>19479</v>
      </c>
      <c r="U2">
        <v>8</v>
      </c>
      <c r="V2" t="s">
        <v>42</v>
      </c>
      <c r="W2" t="s">
        <v>35</v>
      </c>
      <c r="X2" s="2">
        <v>11</v>
      </c>
      <c r="Y2">
        <v>3</v>
      </c>
      <c r="Z2">
        <v>1</v>
      </c>
      <c r="AA2">
        <v>80</v>
      </c>
      <c r="AB2">
        <v>0</v>
      </c>
      <c r="AC2" s="2">
        <v>8</v>
      </c>
      <c r="AD2">
        <v>0</v>
      </c>
      <c r="AE2">
        <v>1</v>
      </c>
      <c r="AF2" s="2">
        <v>6</v>
      </c>
      <c r="AG2">
        <v>4</v>
      </c>
      <c r="AH2">
        <v>0</v>
      </c>
      <c r="AI2">
        <v>5</v>
      </c>
      <c r="AJ2" s="2" t="str">
        <f>IF(A2 A2 &lt;= 25, "18-25", IF(A2 &lt;=35, "26-35", IF(A2 &lt;=45, "36-45", IF(Table3[[#This Row],[Age]] &lt;=55, "46-55", "56+"))))</f>
        <v>36-45</v>
      </c>
      <c r="AK2" t="str">
        <f t="shared" ref="AK2:AK65" si="0">IF(S2 &lt; 5000, "Low",IF(S2 &lt;=9999, "Medium", "High"))</f>
        <v>Medium</v>
      </c>
      <c r="AL2" s="2" t="str">
        <f>IF(AF2 &lt; 3, "0-2 Years", IF(AF2 &lt;= 5, "3-5 Years", IF(AF2 &lt;= 10, "6-10 Years",IF(Table3[[#This Row],[Years At Company]]&lt;=20, "11-20 Years","20+ Years"))))</f>
        <v>6-10 Years</v>
      </c>
    </row>
    <row r="3" spans="1:38" x14ac:dyDescent="0.25">
      <c r="A3" s="2">
        <v>49</v>
      </c>
      <c r="B3" t="s">
        <v>43</v>
      </c>
      <c r="C3" t="s">
        <v>44</v>
      </c>
      <c r="D3" s="2">
        <v>279</v>
      </c>
      <c r="E3" t="s">
        <v>45</v>
      </c>
      <c r="F3" s="2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 s="2">
        <v>5130</v>
      </c>
      <c r="T3">
        <v>24907</v>
      </c>
      <c r="U3">
        <v>1</v>
      </c>
      <c r="V3" t="s">
        <v>42</v>
      </c>
      <c r="W3" t="s">
        <v>43</v>
      </c>
      <c r="X3" s="2">
        <v>23</v>
      </c>
      <c r="Y3">
        <v>4</v>
      </c>
      <c r="Z3">
        <v>4</v>
      </c>
      <c r="AA3">
        <v>80</v>
      </c>
      <c r="AB3">
        <v>1</v>
      </c>
      <c r="AC3" s="2">
        <v>10</v>
      </c>
      <c r="AD3">
        <v>3</v>
      </c>
      <c r="AE3">
        <v>3</v>
      </c>
      <c r="AF3" s="2">
        <v>10</v>
      </c>
      <c r="AG3">
        <v>7</v>
      </c>
      <c r="AH3">
        <v>1</v>
      </c>
      <c r="AI3">
        <v>7</v>
      </c>
      <c r="AJ3" s="2" t="str">
        <f>IF(A3 A3 &lt;= 25, "18-25", IF(A3 &lt;=35, "26-35", IF(A3 &lt;=45, "36-45", IF(Table3[[#This Row],[Age]] &lt;=55, "46-55", "56+"))))</f>
        <v>46-55</v>
      </c>
      <c r="AK3" t="str">
        <f t="shared" si="0"/>
        <v>Medium</v>
      </c>
      <c r="AL3" s="2" t="str">
        <f>IF(AF3 &lt; 3, "0-2 Years", IF(AF3 &lt;= 5, "3-5 Years", IF(AF3 &lt;= 10, "6-10 Years",IF(Table3[[#This Row],[Years At Company]]&lt;=20, "11-20 Years","20+ Years"))))</f>
        <v>6-10 Years</v>
      </c>
    </row>
    <row r="4" spans="1:38" x14ac:dyDescent="0.25">
      <c r="A4" s="2">
        <v>37</v>
      </c>
      <c r="B4" t="s">
        <v>35</v>
      </c>
      <c r="C4" t="s">
        <v>36</v>
      </c>
      <c r="D4" s="2">
        <v>1373</v>
      </c>
      <c r="E4" t="s">
        <v>45</v>
      </c>
      <c r="F4" s="2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 s="2">
        <v>2090</v>
      </c>
      <c r="T4">
        <v>2396</v>
      </c>
      <c r="U4">
        <v>6</v>
      </c>
      <c r="V4" t="s">
        <v>42</v>
      </c>
      <c r="W4" t="s">
        <v>35</v>
      </c>
      <c r="X4" s="2">
        <v>15</v>
      </c>
      <c r="Y4">
        <v>3</v>
      </c>
      <c r="Z4">
        <v>2</v>
      </c>
      <c r="AA4">
        <v>80</v>
      </c>
      <c r="AB4">
        <v>0</v>
      </c>
      <c r="AC4" s="2">
        <v>7</v>
      </c>
      <c r="AD4">
        <v>3</v>
      </c>
      <c r="AE4">
        <v>3</v>
      </c>
      <c r="AF4" s="2">
        <v>0</v>
      </c>
      <c r="AG4">
        <v>0</v>
      </c>
      <c r="AH4">
        <v>0</v>
      </c>
      <c r="AI4">
        <v>0</v>
      </c>
      <c r="AJ4" s="2" t="str">
        <f>IF(A4 A4 &lt;= 25, "18-25", IF(A4 &lt;=35, "26-35", IF(A4 &lt;=45, "36-45", IF(Table3[[#This Row],[Age]] &lt;=55, "46-55", "56+"))))</f>
        <v>36-45</v>
      </c>
      <c r="AK4" t="str">
        <f t="shared" si="0"/>
        <v>Low</v>
      </c>
      <c r="AL4" s="2" t="str">
        <f>IF(AF4 &lt; 3, "0-2 Years", IF(AF4 &lt;= 5, "3-5 Years", IF(AF4 &lt;= 10, "6-10 Years",IF(Table3[[#This Row],[Years At Company]]&lt;=20, "11-20 Years","20+ Years"))))</f>
        <v>0-2 Years</v>
      </c>
    </row>
    <row r="5" spans="1:38" x14ac:dyDescent="0.25">
      <c r="A5" s="2">
        <v>33</v>
      </c>
      <c r="B5" t="s">
        <v>43</v>
      </c>
      <c r="C5" t="s">
        <v>44</v>
      </c>
      <c r="D5" s="2">
        <v>1392</v>
      </c>
      <c r="E5" t="s">
        <v>45</v>
      </c>
      <c r="F5" s="2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 s="2">
        <v>2909</v>
      </c>
      <c r="T5">
        <v>23159</v>
      </c>
      <c r="U5">
        <v>1</v>
      </c>
      <c r="V5" t="s">
        <v>42</v>
      </c>
      <c r="W5" t="s">
        <v>35</v>
      </c>
      <c r="X5" s="2">
        <v>11</v>
      </c>
      <c r="Y5">
        <v>3</v>
      </c>
      <c r="Z5">
        <v>3</v>
      </c>
      <c r="AA5">
        <v>80</v>
      </c>
      <c r="AB5">
        <v>0</v>
      </c>
      <c r="AC5" s="2">
        <v>8</v>
      </c>
      <c r="AD5">
        <v>3</v>
      </c>
      <c r="AE5">
        <v>3</v>
      </c>
      <c r="AF5" s="2">
        <v>8</v>
      </c>
      <c r="AG5">
        <v>7</v>
      </c>
      <c r="AH5">
        <v>3</v>
      </c>
      <c r="AI5">
        <v>0</v>
      </c>
      <c r="AJ5" s="2" t="str">
        <f>IF(A5 A5 &lt;= 25, "18-25", IF(A5 &lt;=35, "26-35", IF(A5 &lt;=45, "36-45", IF(Table3[[#This Row],[Age]] &lt;=55, "46-55", "56+"))))</f>
        <v>26-35</v>
      </c>
      <c r="AK5" t="str">
        <f t="shared" si="0"/>
        <v>Low</v>
      </c>
      <c r="AL5" s="2" t="str">
        <f>IF(AF5 &lt; 3, "0-2 Years", IF(AF5 &lt;= 5, "3-5 Years", IF(AF5 &lt;= 10, "6-10 Years",IF(Table3[[#This Row],[Years At Company]]&lt;=20, "11-20 Years","20+ Years"))))</f>
        <v>6-10 Years</v>
      </c>
    </row>
    <row r="6" spans="1:38" x14ac:dyDescent="0.25">
      <c r="A6" s="2">
        <v>27</v>
      </c>
      <c r="B6" t="s">
        <v>43</v>
      </c>
      <c r="C6" t="s">
        <v>36</v>
      </c>
      <c r="D6" s="2">
        <v>591</v>
      </c>
      <c r="E6" t="s">
        <v>45</v>
      </c>
      <c r="F6" s="2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 s="2">
        <v>3468</v>
      </c>
      <c r="T6">
        <v>16632</v>
      </c>
      <c r="U6">
        <v>9</v>
      </c>
      <c r="V6" t="s">
        <v>42</v>
      </c>
      <c r="W6" t="s">
        <v>43</v>
      </c>
      <c r="X6" s="2">
        <v>12</v>
      </c>
      <c r="Y6">
        <v>3</v>
      </c>
      <c r="Z6">
        <v>4</v>
      </c>
      <c r="AA6">
        <v>80</v>
      </c>
      <c r="AB6">
        <v>1</v>
      </c>
      <c r="AC6" s="2">
        <v>6</v>
      </c>
      <c r="AD6">
        <v>3</v>
      </c>
      <c r="AE6">
        <v>3</v>
      </c>
      <c r="AF6" s="2">
        <v>2</v>
      </c>
      <c r="AG6">
        <v>2</v>
      </c>
      <c r="AH6">
        <v>2</v>
      </c>
      <c r="AI6">
        <v>2</v>
      </c>
      <c r="AJ6" s="2" t="str">
        <f>IF(A6 A6 &lt;= 25, "18-25", IF(A6 &lt;=35, "26-35", IF(A6 &lt;=45, "36-45", IF(Table3[[#This Row],[Age]] &lt;=55, "46-55", "56+"))))</f>
        <v>26-35</v>
      </c>
      <c r="AK6" t="str">
        <f t="shared" si="0"/>
        <v>Low</v>
      </c>
      <c r="AL6" s="2" t="str">
        <f>IF(AF6 &lt; 3, "0-2 Years", IF(AF6 &lt;= 5, "3-5 Years", IF(AF6 &lt;= 10, "6-10 Years",IF(Table3[[#This Row],[Years At Company]]&lt;=20, "11-20 Years","20+ Years"))))</f>
        <v>0-2 Years</v>
      </c>
    </row>
    <row r="7" spans="1:38" x14ac:dyDescent="0.25">
      <c r="A7" s="2">
        <v>32</v>
      </c>
      <c r="B7" t="s">
        <v>43</v>
      </c>
      <c r="C7" t="s">
        <v>44</v>
      </c>
      <c r="D7" s="2">
        <v>1005</v>
      </c>
      <c r="E7" t="s">
        <v>45</v>
      </c>
      <c r="F7" s="2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 s="2">
        <v>3068</v>
      </c>
      <c r="T7">
        <v>11864</v>
      </c>
      <c r="U7">
        <v>0</v>
      </c>
      <c r="V7" t="s">
        <v>42</v>
      </c>
      <c r="W7" t="s">
        <v>43</v>
      </c>
      <c r="X7" s="2">
        <v>13</v>
      </c>
      <c r="Y7">
        <v>3</v>
      </c>
      <c r="Z7">
        <v>3</v>
      </c>
      <c r="AA7">
        <v>80</v>
      </c>
      <c r="AB7">
        <v>0</v>
      </c>
      <c r="AC7" s="2">
        <v>8</v>
      </c>
      <c r="AD7">
        <v>2</v>
      </c>
      <c r="AE7">
        <v>2</v>
      </c>
      <c r="AF7" s="2">
        <v>7</v>
      </c>
      <c r="AG7">
        <v>7</v>
      </c>
      <c r="AH7">
        <v>3</v>
      </c>
      <c r="AI7">
        <v>6</v>
      </c>
      <c r="AJ7" s="2" t="str">
        <f>IF(A7 A7 &lt;= 25, "18-25", IF(A7 &lt;=35, "26-35", IF(A7 &lt;=45, "36-45", IF(Table3[[#This Row],[Age]] &lt;=55, "46-55", "56+"))))</f>
        <v>26-35</v>
      </c>
      <c r="AK7" t="str">
        <f t="shared" si="0"/>
        <v>Low</v>
      </c>
      <c r="AL7" s="2" t="str">
        <f>IF(AF7 &lt; 3, "0-2 Years", IF(AF7 &lt;= 5, "3-5 Years", IF(AF7 &lt;= 10, "6-10 Years",IF(Table3[[#This Row],[Years At Company]]&lt;=20, "11-20 Years","20+ Years"))))</f>
        <v>6-10 Years</v>
      </c>
    </row>
    <row r="8" spans="1:38" x14ac:dyDescent="0.25">
      <c r="A8" s="2">
        <v>59</v>
      </c>
      <c r="B8" t="s">
        <v>43</v>
      </c>
      <c r="C8" t="s">
        <v>36</v>
      </c>
      <c r="D8" s="2">
        <v>1324</v>
      </c>
      <c r="E8" t="s">
        <v>45</v>
      </c>
      <c r="F8" s="2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 s="2">
        <v>2670</v>
      </c>
      <c r="T8">
        <v>9964</v>
      </c>
      <c r="U8">
        <v>4</v>
      </c>
      <c r="V8" t="s">
        <v>42</v>
      </c>
      <c r="W8" t="s">
        <v>35</v>
      </c>
      <c r="X8" s="2">
        <v>20</v>
      </c>
      <c r="Y8">
        <v>4</v>
      </c>
      <c r="Z8">
        <v>1</v>
      </c>
      <c r="AA8">
        <v>80</v>
      </c>
      <c r="AB8">
        <v>3</v>
      </c>
      <c r="AC8" s="2">
        <v>12</v>
      </c>
      <c r="AD8">
        <v>3</v>
      </c>
      <c r="AE8">
        <v>2</v>
      </c>
      <c r="AF8" s="2">
        <v>1</v>
      </c>
      <c r="AG8">
        <v>0</v>
      </c>
      <c r="AH8">
        <v>0</v>
      </c>
      <c r="AI8">
        <v>0</v>
      </c>
      <c r="AJ8" s="2" t="str">
        <f>IF(A8 A8 &lt;= 25, "18-25", IF(A8 &lt;=35, "26-35", IF(A8 &lt;=45, "36-45", IF(Table3[[#This Row],[Age]] &lt;=55, "46-55", "56+"))))</f>
        <v>56+</v>
      </c>
      <c r="AK8" t="str">
        <f t="shared" si="0"/>
        <v>Low</v>
      </c>
      <c r="AL8" s="2" t="str">
        <f>IF(AF8 &lt; 3, "0-2 Years", IF(AF8 &lt;= 5, "3-5 Years", IF(AF8 &lt;= 10, "6-10 Years",IF(Table3[[#This Row],[Years At Company]]&lt;=20, "11-20 Years","20+ Years"))))</f>
        <v>0-2 Years</v>
      </c>
    </row>
    <row r="9" spans="1:38" x14ac:dyDescent="0.25">
      <c r="A9" s="2">
        <v>30</v>
      </c>
      <c r="B9" t="s">
        <v>43</v>
      </c>
      <c r="C9" t="s">
        <v>36</v>
      </c>
      <c r="D9" s="2">
        <v>1358</v>
      </c>
      <c r="E9" t="s">
        <v>45</v>
      </c>
      <c r="F9" s="2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 s="2">
        <v>2693</v>
      </c>
      <c r="T9">
        <v>13335</v>
      </c>
      <c r="U9">
        <v>1</v>
      </c>
      <c r="V9" t="s">
        <v>42</v>
      </c>
      <c r="W9" t="s">
        <v>43</v>
      </c>
      <c r="X9" s="2">
        <v>22</v>
      </c>
      <c r="Y9">
        <v>4</v>
      </c>
      <c r="Z9">
        <v>2</v>
      </c>
      <c r="AA9">
        <v>80</v>
      </c>
      <c r="AB9">
        <v>1</v>
      </c>
      <c r="AC9" s="2">
        <v>1</v>
      </c>
      <c r="AD9">
        <v>2</v>
      </c>
      <c r="AE9">
        <v>3</v>
      </c>
      <c r="AF9" s="2">
        <v>1</v>
      </c>
      <c r="AG9">
        <v>0</v>
      </c>
      <c r="AH9">
        <v>0</v>
      </c>
      <c r="AI9">
        <v>0</v>
      </c>
      <c r="AJ9" s="2" t="str">
        <f>IF(A9 A9 &lt;= 25, "18-25", IF(A9 &lt;=35, "26-35", IF(A9 &lt;=45, "36-45", IF(Table3[[#This Row],[Age]] &lt;=55, "46-55", "56+"))))</f>
        <v>26-35</v>
      </c>
      <c r="AK9" t="str">
        <f t="shared" si="0"/>
        <v>Low</v>
      </c>
      <c r="AL9" s="2" t="str">
        <f>IF(AF9 &lt; 3, "0-2 Years", IF(AF9 &lt;= 5, "3-5 Years", IF(AF9 &lt;= 10, "6-10 Years",IF(Table3[[#This Row],[Years At Company]]&lt;=20, "11-20 Years","20+ Years"))))</f>
        <v>0-2 Years</v>
      </c>
    </row>
    <row r="10" spans="1:38" x14ac:dyDescent="0.25">
      <c r="A10" s="2">
        <v>38</v>
      </c>
      <c r="B10" t="s">
        <v>43</v>
      </c>
      <c r="C10" t="s">
        <v>44</v>
      </c>
      <c r="D10" s="2">
        <v>216</v>
      </c>
      <c r="E10" t="s">
        <v>45</v>
      </c>
      <c r="F10" s="2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 s="2">
        <v>9526</v>
      </c>
      <c r="T10">
        <v>8787</v>
      </c>
      <c r="U10">
        <v>0</v>
      </c>
      <c r="V10" t="s">
        <v>42</v>
      </c>
      <c r="W10" t="s">
        <v>43</v>
      </c>
      <c r="X10" s="2">
        <v>21</v>
      </c>
      <c r="Y10">
        <v>4</v>
      </c>
      <c r="Z10">
        <v>2</v>
      </c>
      <c r="AA10">
        <v>80</v>
      </c>
      <c r="AB10">
        <v>0</v>
      </c>
      <c r="AC10" s="2">
        <v>10</v>
      </c>
      <c r="AD10">
        <v>2</v>
      </c>
      <c r="AE10">
        <v>3</v>
      </c>
      <c r="AF10" s="2">
        <v>9</v>
      </c>
      <c r="AG10">
        <v>7</v>
      </c>
      <c r="AH10">
        <v>1</v>
      </c>
      <c r="AI10">
        <v>8</v>
      </c>
      <c r="AJ10" s="2" t="str">
        <f>IF(A10 A10 &lt;= 25, "18-25", IF(A10 &lt;=35, "26-35", IF(A10 &lt;=45, "36-45", IF(Table3[[#This Row],[Age]] &lt;=55, "46-55", "56+"))))</f>
        <v>36-45</v>
      </c>
      <c r="AK10" t="str">
        <f t="shared" si="0"/>
        <v>Medium</v>
      </c>
      <c r="AL10" s="2" t="str">
        <f>IF(AF10 &lt; 3, "0-2 Years", IF(AF10 &lt;= 5, "3-5 Years", IF(AF10 &lt;= 10, "6-10 Years",IF(Table3[[#This Row],[Years At Company]]&lt;=20, "11-20 Years","20+ Years"))))</f>
        <v>6-10 Years</v>
      </c>
    </row>
    <row r="11" spans="1:38" x14ac:dyDescent="0.25">
      <c r="A11" s="2">
        <v>36</v>
      </c>
      <c r="B11" t="s">
        <v>43</v>
      </c>
      <c r="C11" t="s">
        <v>36</v>
      </c>
      <c r="D11" s="2">
        <v>1299</v>
      </c>
      <c r="E11" t="s">
        <v>45</v>
      </c>
      <c r="F11" s="2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 s="2">
        <v>5237</v>
      </c>
      <c r="T11">
        <v>16577</v>
      </c>
      <c r="U11">
        <v>6</v>
      </c>
      <c r="V11" t="s">
        <v>42</v>
      </c>
      <c r="W11" t="s">
        <v>43</v>
      </c>
      <c r="X11" s="2">
        <v>13</v>
      </c>
      <c r="Y11">
        <v>3</v>
      </c>
      <c r="Z11">
        <v>2</v>
      </c>
      <c r="AA11">
        <v>80</v>
      </c>
      <c r="AB11">
        <v>2</v>
      </c>
      <c r="AC11" s="2">
        <v>17</v>
      </c>
      <c r="AD11">
        <v>3</v>
      </c>
      <c r="AE11">
        <v>2</v>
      </c>
      <c r="AF11" s="2">
        <v>7</v>
      </c>
      <c r="AG11">
        <v>7</v>
      </c>
      <c r="AH11">
        <v>7</v>
      </c>
      <c r="AI11">
        <v>7</v>
      </c>
      <c r="AJ11" s="2" t="str">
        <f>IF(A11 A11 &lt;= 25, "18-25", IF(A11 &lt;=35, "26-35", IF(A11 &lt;=45, "36-45", IF(Table3[[#This Row],[Age]] &lt;=55, "46-55", "56+"))))</f>
        <v>36-45</v>
      </c>
      <c r="AK11" t="str">
        <f t="shared" si="0"/>
        <v>Medium</v>
      </c>
      <c r="AL11" s="2" t="str">
        <f>IF(AF11 &lt; 3, "0-2 Years", IF(AF11 &lt;= 5, "3-5 Years", IF(AF11 &lt;= 10, "6-10 Years",IF(Table3[[#This Row],[Years At Company]]&lt;=20, "11-20 Years","20+ Years"))))</f>
        <v>6-10 Years</v>
      </c>
    </row>
    <row r="12" spans="1:38" x14ac:dyDescent="0.25">
      <c r="A12" s="2">
        <v>35</v>
      </c>
      <c r="B12" t="s">
        <v>43</v>
      </c>
      <c r="C12" t="s">
        <v>36</v>
      </c>
      <c r="D12" s="2">
        <v>809</v>
      </c>
      <c r="E12" t="s">
        <v>45</v>
      </c>
      <c r="F12" s="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 s="2">
        <v>2426</v>
      </c>
      <c r="T12">
        <v>16479</v>
      </c>
      <c r="U12">
        <v>0</v>
      </c>
      <c r="V12" t="s">
        <v>42</v>
      </c>
      <c r="W12" t="s">
        <v>43</v>
      </c>
      <c r="X12" s="2">
        <v>13</v>
      </c>
      <c r="Y12">
        <v>3</v>
      </c>
      <c r="Z12">
        <v>3</v>
      </c>
      <c r="AA12">
        <v>80</v>
      </c>
      <c r="AB12">
        <v>1</v>
      </c>
      <c r="AC12" s="2">
        <v>6</v>
      </c>
      <c r="AD12">
        <v>5</v>
      </c>
      <c r="AE12">
        <v>3</v>
      </c>
      <c r="AF12" s="2">
        <v>5</v>
      </c>
      <c r="AG12">
        <v>4</v>
      </c>
      <c r="AH12">
        <v>0</v>
      </c>
      <c r="AI12">
        <v>3</v>
      </c>
      <c r="AJ12" s="2" t="str">
        <f>IF(A12 A12 &lt;= 25, "18-25", IF(A12 &lt;=35, "26-35", IF(A12 &lt;=45, "36-45", IF(Table3[[#This Row],[Age]] &lt;=55, "46-55", "56+"))))</f>
        <v>26-35</v>
      </c>
      <c r="AK12" t="str">
        <f t="shared" si="0"/>
        <v>Low</v>
      </c>
      <c r="AL12" s="2" t="str">
        <f>IF(AF12 &lt; 3, "0-2 Years", IF(AF12 &lt;= 5, "3-5 Years", IF(AF12 &lt;= 10, "6-10 Years",IF(Table3[[#This Row],[Years At Company]]&lt;=20, "11-20 Years","20+ Years"))))</f>
        <v>3-5 Years</v>
      </c>
    </row>
    <row r="13" spans="1:38" x14ac:dyDescent="0.25">
      <c r="A13" s="2">
        <v>29</v>
      </c>
      <c r="B13" t="s">
        <v>43</v>
      </c>
      <c r="C13" t="s">
        <v>36</v>
      </c>
      <c r="D13" s="2">
        <v>153</v>
      </c>
      <c r="E13" t="s">
        <v>45</v>
      </c>
      <c r="F13" s="2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 s="2">
        <v>4193</v>
      </c>
      <c r="T13">
        <v>12682</v>
      </c>
      <c r="U13">
        <v>0</v>
      </c>
      <c r="V13" t="s">
        <v>42</v>
      </c>
      <c r="W13" t="s">
        <v>35</v>
      </c>
      <c r="X13" s="2">
        <v>12</v>
      </c>
      <c r="Y13">
        <v>3</v>
      </c>
      <c r="Z13">
        <v>4</v>
      </c>
      <c r="AA13">
        <v>80</v>
      </c>
      <c r="AB13">
        <v>0</v>
      </c>
      <c r="AC13" s="2">
        <v>10</v>
      </c>
      <c r="AD13">
        <v>3</v>
      </c>
      <c r="AE13">
        <v>3</v>
      </c>
      <c r="AF13" s="2">
        <v>9</v>
      </c>
      <c r="AG13">
        <v>5</v>
      </c>
      <c r="AH13">
        <v>0</v>
      </c>
      <c r="AI13">
        <v>8</v>
      </c>
      <c r="AJ13" s="2" t="str">
        <f>IF(A13 A13 &lt;= 25, "18-25", IF(A13 &lt;=35, "26-35", IF(A13 &lt;=45, "36-45", IF(Table3[[#This Row],[Age]] &lt;=55, "46-55", "56+"))))</f>
        <v>26-35</v>
      </c>
      <c r="AK13" t="str">
        <f t="shared" si="0"/>
        <v>Low</v>
      </c>
      <c r="AL13" s="2" t="str">
        <f>IF(AF13 &lt; 3, "0-2 Years", IF(AF13 &lt;= 5, "3-5 Years", IF(AF13 &lt;= 10, "6-10 Years",IF(Table3[[#This Row],[Years At Company]]&lt;=20, "11-20 Years","20+ Years"))))</f>
        <v>6-10 Years</v>
      </c>
    </row>
    <row r="14" spans="1:38" x14ac:dyDescent="0.25">
      <c r="A14" s="2">
        <v>31</v>
      </c>
      <c r="B14" t="s">
        <v>43</v>
      </c>
      <c r="C14" t="s">
        <v>36</v>
      </c>
      <c r="D14" s="2">
        <v>670</v>
      </c>
      <c r="E14" t="s">
        <v>45</v>
      </c>
      <c r="F14" s="2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 s="2">
        <v>2911</v>
      </c>
      <c r="T14">
        <v>15170</v>
      </c>
      <c r="U14">
        <v>1</v>
      </c>
      <c r="V14" t="s">
        <v>42</v>
      </c>
      <c r="W14" t="s">
        <v>43</v>
      </c>
      <c r="X14" s="2">
        <v>17</v>
      </c>
      <c r="Y14">
        <v>3</v>
      </c>
      <c r="Z14">
        <v>4</v>
      </c>
      <c r="AA14">
        <v>80</v>
      </c>
      <c r="AB14">
        <v>1</v>
      </c>
      <c r="AC14" s="2">
        <v>5</v>
      </c>
      <c r="AD14">
        <v>1</v>
      </c>
      <c r="AE14">
        <v>2</v>
      </c>
      <c r="AF14" s="2">
        <v>5</v>
      </c>
      <c r="AG14">
        <v>2</v>
      </c>
      <c r="AH14">
        <v>4</v>
      </c>
      <c r="AI14">
        <v>3</v>
      </c>
      <c r="AJ14" s="2" t="str">
        <f>IF(A14 A14 &lt;= 25, "18-25", IF(A14 &lt;=35, "26-35", IF(A14 &lt;=45, "36-45", IF(Table3[[#This Row],[Age]] &lt;=55, "46-55", "56+"))))</f>
        <v>26-35</v>
      </c>
      <c r="AK14" t="str">
        <f t="shared" si="0"/>
        <v>Low</v>
      </c>
      <c r="AL14" s="2" t="str">
        <f>IF(AF14 &lt; 3, "0-2 Years", IF(AF14 &lt;= 5, "3-5 Years", IF(AF14 &lt;= 10, "6-10 Years",IF(Table3[[#This Row],[Years At Company]]&lt;=20, "11-20 Years","20+ Years"))))</f>
        <v>3-5 Years</v>
      </c>
    </row>
    <row r="15" spans="1:38" x14ac:dyDescent="0.25">
      <c r="A15" s="2">
        <v>34</v>
      </c>
      <c r="B15" t="s">
        <v>43</v>
      </c>
      <c r="C15" t="s">
        <v>36</v>
      </c>
      <c r="D15" s="2">
        <v>1346</v>
      </c>
      <c r="E15" t="s">
        <v>45</v>
      </c>
      <c r="F15" s="2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 s="2">
        <v>2661</v>
      </c>
      <c r="T15">
        <v>8758</v>
      </c>
      <c r="U15">
        <v>0</v>
      </c>
      <c r="V15" t="s">
        <v>42</v>
      </c>
      <c r="W15" t="s">
        <v>43</v>
      </c>
      <c r="X15" s="2">
        <v>11</v>
      </c>
      <c r="Y15">
        <v>3</v>
      </c>
      <c r="Z15">
        <v>3</v>
      </c>
      <c r="AA15">
        <v>80</v>
      </c>
      <c r="AB15">
        <v>1</v>
      </c>
      <c r="AC15" s="2">
        <v>3</v>
      </c>
      <c r="AD15">
        <v>2</v>
      </c>
      <c r="AE15">
        <v>3</v>
      </c>
      <c r="AF15" s="2">
        <v>2</v>
      </c>
      <c r="AG15">
        <v>2</v>
      </c>
      <c r="AH15">
        <v>1</v>
      </c>
      <c r="AI15">
        <v>2</v>
      </c>
      <c r="AJ15" s="2" t="str">
        <f>IF(A15 A15 &lt;= 25, "18-25", IF(A15 &lt;=35, "26-35", IF(A15 &lt;=45, "36-45", IF(Table3[[#This Row],[Age]] &lt;=55, "46-55", "56+"))))</f>
        <v>26-35</v>
      </c>
      <c r="AK15" t="str">
        <f t="shared" si="0"/>
        <v>Low</v>
      </c>
      <c r="AL15" s="2" t="str">
        <f>IF(AF15 &lt; 3, "0-2 Years", IF(AF15 &lt;= 5, "3-5 Years", IF(AF15 &lt;= 10, "6-10 Years",IF(Table3[[#This Row],[Years At Company]]&lt;=20, "11-20 Years","20+ Years"))))</f>
        <v>0-2 Years</v>
      </c>
    </row>
    <row r="16" spans="1:38" x14ac:dyDescent="0.25">
      <c r="A16" s="2">
        <v>28</v>
      </c>
      <c r="B16" t="s">
        <v>35</v>
      </c>
      <c r="C16" t="s">
        <v>36</v>
      </c>
      <c r="D16" s="2">
        <v>103</v>
      </c>
      <c r="E16" t="s">
        <v>45</v>
      </c>
      <c r="F16" s="2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 s="2">
        <v>2028</v>
      </c>
      <c r="T16">
        <v>12947</v>
      </c>
      <c r="U16">
        <v>5</v>
      </c>
      <c r="V16" t="s">
        <v>42</v>
      </c>
      <c r="W16" t="s">
        <v>35</v>
      </c>
      <c r="X16" s="2">
        <v>14</v>
      </c>
      <c r="Y16">
        <v>3</v>
      </c>
      <c r="Z16">
        <v>2</v>
      </c>
      <c r="AA16">
        <v>80</v>
      </c>
      <c r="AB16">
        <v>0</v>
      </c>
      <c r="AC16" s="2">
        <v>6</v>
      </c>
      <c r="AD16">
        <v>4</v>
      </c>
      <c r="AE16">
        <v>3</v>
      </c>
      <c r="AF16" s="2">
        <v>4</v>
      </c>
      <c r="AG16">
        <v>2</v>
      </c>
      <c r="AH16">
        <v>0</v>
      </c>
      <c r="AI16">
        <v>3</v>
      </c>
      <c r="AJ16" s="2" t="str">
        <f>IF(A16 A16 &lt;= 25, "18-25", IF(A16 &lt;=35, "26-35", IF(A16 &lt;=45, "36-45", IF(Table3[[#This Row],[Age]] &lt;=55, "46-55", "56+"))))</f>
        <v>26-35</v>
      </c>
      <c r="AK16" t="str">
        <f t="shared" si="0"/>
        <v>Low</v>
      </c>
      <c r="AL16" s="2" t="str">
        <f>IF(AF16 &lt; 3, "0-2 Years", IF(AF16 &lt;= 5, "3-5 Years", IF(AF16 &lt;= 10, "6-10 Years",IF(Table3[[#This Row],[Years At Company]]&lt;=20, "11-20 Years","20+ Years"))))</f>
        <v>3-5 Years</v>
      </c>
    </row>
    <row r="17" spans="1:38" x14ac:dyDescent="0.25">
      <c r="A17" s="2">
        <v>29</v>
      </c>
      <c r="B17" t="s">
        <v>43</v>
      </c>
      <c r="C17" t="s">
        <v>36</v>
      </c>
      <c r="D17" s="2">
        <v>1389</v>
      </c>
      <c r="E17" t="s">
        <v>45</v>
      </c>
      <c r="F17" s="2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 s="2">
        <v>9980</v>
      </c>
      <c r="T17">
        <v>10195</v>
      </c>
      <c r="U17">
        <v>1</v>
      </c>
      <c r="V17" t="s">
        <v>42</v>
      </c>
      <c r="W17" t="s">
        <v>43</v>
      </c>
      <c r="X17" s="2">
        <v>11</v>
      </c>
      <c r="Y17">
        <v>3</v>
      </c>
      <c r="Z17">
        <v>3</v>
      </c>
      <c r="AA17">
        <v>80</v>
      </c>
      <c r="AB17">
        <v>1</v>
      </c>
      <c r="AC17" s="2">
        <v>10</v>
      </c>
      <c r="AD17">
        <v>1</v>
      </c>
      <c r="AE17">
        <v>3</v>
      </c>
      <c r="AF17" s="2">
        <v>10</v>
      </c>
      <c r="AG17">
        <v>9</v>
      </c>
      <c r="AH17">
        <v>8</v>
      </c>
      <c r="AI17">
        <v>8</v>
      </c>
      <c r="AJ17" s="2" t="str">
        <f>IF(A17 A17 &lt;= 25, "18-25", IF(A17 &lt;=35, "26-35", IF(A17 &lt;=45, "36-45", IF(Table3[[#This Row],[Age]] &lt;=55, "46-55", "56+"))))</f>
        <v>26-35</v>
      </c>
      <c r="AK17" t="str">
        <f t="shared" si="0"/>
        <v>Medium</v>
      </c>
      <c r="AL17" s="2" t="str">
        <f>IF(AF17 &lt; 3, "0-2 Years", IF(AF17 &lt;= 5, "3-5 Years", IF(AF17 &lt;= 10, "6-10 Years",IF(Table3[[#This Row],[Years At Company]]&lt;=20, "11-20 Years","20+ Years"))))</f>
        <v>6-10 Years</v>
      </c>
    </row>
    <row r="18" spans="1:38" x14ac:dyDescent="0.25">
      <c r="A18" s="2">
        <v>32</v>
      </c>
      <c r="B18" t="s">
        <v>43</v>
      </c>
      <c r="C18" t="s">
        <v>36</v>
      </c>
      <c r="D18" s="2">
        <v>334</v>
      </c>
      <c r="E18" t="s">
        <v>45</v>
      </c>
      <c r="F18" s="2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 s="2">
        <v>3298</v>
      </c>
      <c r="T18">
        <v>15053</v>
      </c>
      <c r="U18">
        <v>0</v>
      </c>
      <c r="V18" t="s">
        <v>42</v>
      </c>
      <c r="W18" t="s">
        <v>35</v>
      </c>
      <c r="X18" s="2">
        <v>12</v>
      </c>
      <c r="Y18">
        <v>3</v>
      </c>
      <c r="Z18">
        <v>4</v>
      </c>
      <c r="AA18">
        <v>80</v>
      </c>
      <c r="AB18">
        <v>2</v>
      </c>
      <c r="AC18" s="2">
        <v>7</v>
      </c>
      <c r="AD18">
        <v>5</v>
      </c>
      <c r="AE18">
        <v>2</v>
      </c>
      <c r="AF18" s="2">
        <v>6</v>
      </c>
      <c r="AG18">
        <v>2</v>
      </c>
      <c r="AH18">
        <v>0</v>
      </c>
      <c r="AI18">
        <v>5</v>
      </c>
      <c r="AJ18" s="2" t="str">
        <f>IF(A18 A18 &lt;= 25, "18-25", IF(A18 &lt;=35, "26-35", IF(A18 &lt;=45, "36-45", IF(Table3[[#This Row],[Age]] &lt;=55, "46-55", "56+"))))</f>
        <v>26-35</v>
      </c>
      <c r="AK18" t="str">
        <f t="shared" si="0"/>
        <v>Low</v>
      </c>
      <c r="AL18" s="2" t="str">
        <f>IF(AF18 &lt; 3, "0-2 Years", IF(AF18 &lt;= 5, "3-5 Years", IF(AF18 &lt;= 10, "6-10 Years",IF(Table3[[#This Row],[Years At Company]]&lt;=20, "11-20 Years","20+ Years"))))</f>
        <v>6-10 Years</v>
      </c>
    </row>
    <row r="19" spans="1:38" x14ac:dyDescent="0.25">
      <c r="A19" s="2">
        <v>22</v>
      </c>
      <c r="B19" t="s">
        <v>43</v>
      </c>
      <c r="C19" t="s">
        <v>55</v>
      </c>
      <c r="D19" s="2">
        <v>1123</v>
      </c>
      <c r="E19" t="s">
        <v>45</v>
      </c>
      <c r="F19" s="2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 s="2">
        <v>2935</v>
      </c>
      <c r="T19">
        <v>7324</v>
      </c>
      <c r="U19">
        <v>1</v>
      </c>
      <c r="V19" t="s">
        <v>42</v>
      </c>
      <c r="W19" t="s">
        <v>35</v>
      </c>
      <c r="X19" s="2">
        <v>13</v>
      </c>
      <c r="Y19">
        <v>3</v>
      </c>
      <c r="Z19">
        <v>2</v>
      </c>
      <c r="AA19">
        <v>80</v>
      </c>
      <c r="AB19">
        <v>2</v>
      </c>
      <c r="AC19" s="2">
        <v>1</v>
      </c>
      <c r="AD19">
        <v>2</v>
      </c>
      <c r="AE19">
        <v>2</v>
      </c>
      <c r="AF19" s="2">
        <v>1</v>
      </c>
      <c r="AG19">
        <v>0</v>
      </c>
      <c r="AH19">
        <v>0</v>
      </c>
      <c r="AI19">
        <v>0</v>
      </c>
      <c r="AJ19" s="2" t="str">
        <f>IF(A19 A19 &lt;= 25, "18-25", IF(A19 &lt;=35, "26-35", IF(A19 &lt;=45, "36-45", IF(Table3[[#This Row],[Age]] &lt;=55, "46-55", "56+"))))</f>
        <v>18-25</v>
      </c>
      <c r="AK19" t="str">
        <f t="shared" si="0"/>
        <v>Low</v>
      </c>
      <c r="AL19" s="2" t="str">
        <f>IF(AF19 &lt; 3, "0-2 Years", IF(AF19 &lt;= 5, "3-5 Years", IF(AF19 &lt;= 10, "6-10 Years",IF(Table3[[#This Row],[Years At Company]]&lt;=20, "11-20 Years","20+ Years"))))</f>
        <v>0-2 Years</v>
      </c>
    </row>
    <row r="20" spans="1:38" x14ac:dyDescent="0.25">
      <c r="A20" s="2">
        <v>53</v>
      </c>
      <c r="B20" t="s">
        <v>43</v>
      </c>
      <c r="C20" t="s">
        <v>36</v>
      </c>
      <c r="D20" s="2">
        <v>1219</v>
      </c>
      <c r="E20" t="s">
        <v>37</v>
      </c>
      <c r="F20" s="2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 s="2">
        <v>15427</v>
      </c>
      <c r="T20">
        <v>22021</v>
      </c>
      <c r="U20">
        <v>2</v>
      </c>
      <c r="V20" t="s">
        <v>42</v>
      </c>
      <c r="W20" t="s">
        <v>43</v>
      </c>
      <c r="X20" s="2">
        <v>16</v>
      </c>
      <c r="Y20">
        <v>3</v>
      </c>
      <c r="Z20">
        <v>3</v>
      </c>
      <c r="AA20">
        <v>80</v>
      </c>
      <c r="AB20">
        <v>0</v>
      </c>
      <c r="AC20" s="2">
        <v>31</v>
      </c>
      <c r="AD20">
        <v>3</v>
      </c>
      <c r="AE20">
        <v>3</v>
      </c>
      <c r="AF20" s="2">
        <v>25</v>
      </c>
      <c r="AG20">
        <v>8</v>
      </c>
      <c r="AH20">
        <v>3</v>
      </c>
      <c r="AI20">
        <v>7</v>
      </c>
      <c r="AJ20" s="2" t="str">
        <f>IF(A20 A20 &lt;= 25, "18-25", IF(A20 &lt;=35, "26-35", IF(A20 &lt;=45, "36-45", IF(Table3[[#This Row],[Age]] &lt;=55, "46-55", "56+"))))</f>
        <v>46-55</v>
      </c>
      <c r="AK20" t="str">
        <f t="shared" si="0"/>
        <v>High</v>
      </c>
      <c r="AL20" s="2" t="str">
        <f>IF(AF20 &lt; 3, "0-2 Years", IF(AF20 &lt;= 5, "3-5 Years", IF(AF20 &lt;= 10, "6-10 Years",IF(Table3[[#This Row],[Years At Company]]&lt;=20, "11-20 Years","20+ Years"))))</f>
        <v>20+ Years</v>
      </c>
    </row>
    <row r="21" spans="1:38" x14ac:dyDescent="0.25">
      <c r="A21" s="2">
        <v>38</v>
      </c>
      <c r="B21" t="s">
        <v>43</v>
      </c>
      <c r="C21" t="s">
        <v>36</v>
      </c>
      <c r="D21" s="2">
        <v>371</v>
      </c>
      <c r="E21" t="s">
        <v>45</v>
      </c>
      <c r="F21" s="2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 s="2">
        <v>3944</v>
      </c>
      <c r="T21">
        <v>4306</v>
      </c>
      <c r="U21">
        <v>5</v>
      </c>
      <c r="V21" t="s">
        <v>42</v>
      </c>
      <c r="W21" t="s">
        <v>35</v>
      </c>
      <c r="X21" s="2">
        <v>11</v>
      </c>
      <c r="Y21">
        <v>3</v>
      </c>
      <c r="Z21">
        <v>3</v>
      </c>
      <c r="AA21">
        <v>80</v>
      </c>
      <c r="AB21">
        <v>0</v>
      </c>
      <c r="AC21" s="2">
        <v>6</v>
      </c>
      <c r="AD21">
        <v>3</v>
      </c>
      <c r="AE21">
        <v>3</v>
      </c>
      <c r="AF21" s="2">
        <v>3</v>
      </c>
      <c r="AG21">
        <v>2</v>
      </c>
      <c r="AH21">
        <v>1</v>
      </c>
      <c r="AI21">
        <v>2</v>
      </c>
      <c r="AJ21" s="2" t="str">
        <f>IF(A21 A21 &lt;= 25, "18-25", IF(A21 &lt;=35, "26-35", IF(A21 &lt;=45, "36-45", IF(Table3[[#This Row],[Age]] &lt;=55, "46-55", "56+"))))</f>
        <v>36-45</v>
      </c>
      <c r="AK21" t="str">
        <f t="shared" si="0"/>
        <v>Low</v>
      </c>
      <c r="AL21" s="2" t="str">
        <f>IF(AF21 &lt; 3, "0-2 Years", IF(AF21 &lt;= 5, "3-5 Years", IF(AF21 &lt;= 10, "6-10 Years",IF(Table3[[#This Row],[Years At Company]]&lt;=20, "11-20 Years","20+ Years"))))</f>
        <v>3-5 Years</v>
      </c>
    </row>
    <row r="22" spans="1:38" x14ac:dyDescent="0.25">
      <c r="A22" s="2">
        <v>24</v>
      </c>
      <c r="B22" t="s">
        <v>43</v>
      </c>
      <c r="C22" t="s">
        <v>55</v>
      </c>
      <c r="D22" s="2">
        <v>673</v>
      </c>
      <c r="E22" t="s">
        <v>45</v>
      </c>
      <c r="F22" s="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 s="2">
        <v>4011</v>
      </c>
      <c r="T22">
        <v>8232</v>
      </c>
      <c r="U22">
        <v>0</v>
      </c>
      <c r="V22" t="s">
        <v>42</v>
      </c>
      <c r="W22" t="s">
        <v>43</v>
      </c>
      <c r="X22" s="2">
        <v>18</v>
      </c>
      <c r="Y22">
        <v>3</v>
      </c>
      <c r="Z22">
        <v>4</v>
      </c>
      <c r="AA22">
        <v>80</v>
      </c>
      <c r="AB22">
        <v>1</v>
      </c>
      <c r="AC22" s="2">
        <v>5</v>
      </c>
      <c r="AD22">
        <v>5</v>
      </c>
      <c r="AE22">
        <v>2</v>
      </c>
      <c r="AF22" s="2">
        <v>4</v>
      </c>
      <c r="AG22">
        <v>2</v>
      </c>
      <c r="AH22">
        <v>1</v>
      </c>
      <c r="AI22">
        <v>3</v>
      </c>
      <c r="AJ22" s="2" t="str">
        <f>IF(A22 A22 &lt;= 25, "18-25", IF(A22 &lt;=35, "26-35", IF(A22 &lt;=45, "36-45", IF(Table3[[#This Row],[Age]] &lt;=55, "46-55", "56+"))))</f>
        <v>18-25</v>
      </c>
      <c r="AK22" t="str">
        <f t="shared" si="0"/>
        <v>Low</v>
      </c>
      <c r="AL22" s="2" t="str">
        <f>IF(AF22 &lt; 3, "0-2 Years", IF(AF22 &lt;= 5, "3-5 Years", IF(AF22 &lt;= 10, "6-10 Years",IF(Table3[[#This Row],[Years At Company]]&lt;=20, "11-20 Years","20+ Years"))))</f>
        <v>3-5 Years</v>
      </c>
    </row>
    <row r="23" spans="1:38" x14ac:dyDescent="0.25">
      <c r="A23" s="2">
        <v>36</v>
      </c>
      <c r="B23" t="s">
        <v>35</v>
      </c>
      <c r="C23" t="s">
        <v>36</v>
      </c>
      <c r="D23" s="2">
        <v>1218</v>
      </c>
      <c r="E23" t="s">
        <v>37</v>
      </c>
      <c r="F23" s="2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 s="2">
        <v>3407</v>
      </c>
      <c r="T23">
        <v>6986</v>
      </c>
      <c r="U23">
        <v>7</v>
      </c>
      <c r="V23" t="s">
        <v>42</v>
      </c>
      <c r="W23" t="s">
        <v>43</v>
      </c>
      <c r="X23" s="2">
        <v>23</v>
      </c>
      <c r="Y23">
        <v>4</v>
      </c>
      <c r="Z23">
        <v>2</v>
      </c>
      <c r="AA23">
        <v>80</v>
      </c>
      <c r="AB23">
        <v>0</v>
      </c>
      <c r="AC23" s="2">
        <v>10</v>
      </c>
      <c r="AD23">
        <v>4</v>
      </c>
      <c r="AE23">
        <v>3</v>
      </c>
      <c r="AF23" s="2">
        <v>5</v>
      </c>
      <c r="AG23">
        <v>3</v>
      </c>
      <c r="AH23">
        <v>0</v>
      </c>
      <c r="AI23">
        <v>3</v>
      </c>
      <c r="AJ23" s="2" t="str">
        <f>IF(A23 A23 &lt;= 25, "18-25", IF(A23 &lt;=35, "26-35", IF(A23 &lt;=45, "36-45", IF(Table3[[#This Row],[Age]] &lt;=55, "46-55", "56+"))))</f>
        <v>36-45</v>
      </c>
      <c r="AK23" t="str">
        <f t="shared" si="0"/>
        <v>Low</v>
      </c>
      <c r="AL23" s="2" t="str">
        <f>IF(AF23 &lt; 3, "0-2 Years", IF(AF23 &lt;= 5, "3-5 Years", IF(AF23 &lt;= 10, "6-10 Years",IF(Table3[[#This Row],[Years At Company]]&lt;=20, "11-20 Years","20+ Years"))))</f>
        <v>3-5 Years</v>
      </c>
    </row>
    <row r="24" spans="1:38" x14ac:dyDescent="0.25">
      <c r="A24" s="2">
        <v>34</v>
      </c>
      <c r="B24" t="s">
        <v>43</v>
      </c>
      <c r="C24" t="s">
        <v>36</v>
      </c>
      <c r="D24" s="2">
        <v>419</v>
      </c>
      <c r="E24" t="s">
        <v>45</v>
      </c>
      <c r="F24" s="2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 s="2">
        <v>11994</v>
      </c>
      <c r="T24">
        <v>21293</v>
      </c>
      <c r="U24">
        <v>0</v>
      </c>
      <c r="V24" t="s">
        <v>42</v>
      </c>
      <c r="W24" t="s">
        <v>43</v>
      </c>
      <c r="X24" s="2">
        <v>11</v>
      </c>
      <c r="Y24">
        <v>3</v>
      </c>
      <c r="Z24">
        <v>3</v>
      </c>
      <c r="AA24">
        <v>80</v>
      </c>
      <c r="AB24">
        <v>0</v>
      </c>
      <c r="AC24" s="2">
        <v>13</v>
      </c>
      <c r="AD24">
        <v>4</v>
      </c>
      <c r="AE24">
        <v>3</v>
      </c>
      <c r="AF24" s="2">
        <v>12</v>
      </c>
      <c r="AG24">
        <v>6</v>
      </c>
      <c r="AH24">
        <v>2</v>
      </c>
      <c r="AI24">
        <v>11</v>
      </c>
      <c r="AJ24" s="2" t="str">
        <f>IF(A24 A24 &lt;= 25, "18-25", IF(A24 &lt;=35, "26-35", IF(A24 &lt;=45, "36-45", IF(Table3[[#This Row],[Age]] &lt;=55, "46-55", "56+"))))</f>
        <v>26-35</v>
      </c>
      <c r="AK24" t="str">
        <f t="shared" si="0"/>
        <v>High</v>
      </c>
      <c r="AL24" s="2" t="str">
        <f>IF(AF24 &lt; 3, "0-2 Years", IF(AF24 &lt;= 5, "3-5 Years", IF(AF24 &lt;= 10, "6-10 Years",IF(Table3[[#This Row],[Years At Company]]&lt;=20, "11-20 Years","20+ Years"))))</f>
        <v>11-20 Years</v>
      </c>
    </row>
    <row r="25" spans="1:38" x14ac:dyDescent="0.25">
      <c r="A25" s="2">
        <v>21</v>
      </c>
      <c r="B25" t="s">
        <v>43</v>
      </c>
      <c r="C25" t="s">
        <v>36</v>
      </c>
      <c r="D25" s="2">
        <v>391</v>
      </c>
      <c r="E25" t="s">
        <v>45</v>
      </c>
      <c r="F25" s="2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 s="2">
        <v>1232</v>
      </c>
      <c r="T25">
        <v>19281</v>
      </c>
      <c r="U25">
        <v>1</v>
      </c>
      <c r="V25" t="s">
        <v>42</v>
      </c>
      <c r="W25" t="s">
        <v>43</v>
      </c>
      <c r="X25" s="2">
        <v>14</v>
      </c>
      <c r="Y25">
        <v>3</v>
      </c>
      <c r="Z25">
        <v>4</v>
      </c>
      <c r="AA25">
        <v>80</v>
      </c>
      <c r="AB25">
        <v>0</v>
      </c>
      <c r="AC25" s="2">
        <v>0</v>
      </c>
      <c r="AD25">
        <v>6</v>
      </c>
      <c r="AE25">
        <v>3</v>
      </c>
      <c r="AF25" s="2">
        <v>0</v>
      </c>
      <c r="AG25">
        <v>0</v>
      </c>
      <c r="AH25">
        <v>0</v>
      </c>
      <c r="AI25">
        <v>0</v>
      </c>
      <c r="AJ25" s="2" t="str">
        <f>IF(A25 A25 &lt;= 25, "18-25", IF(A25 &lt;=35, "26-35", IF(A25 &lt;=45, "36-45", IF(Table3[[#This Row],[Age]] &lt;=55, "46-55", "56+"))))</f>
        <v>18-25</v>
      </c>
      <c r="AK25" t="str">
        <f t="shared" si="0"/>
        <v>Low</v>
      </c>
      <c r="AL25" s="2" t="str">
        <f>IF(AF25 &lt; 3, "0-2 Years", IF(AF25 &lt;= 5, "3-5 Years", IF(AF25 &lt;= 10, "6-10 Years",IF(Table3[[#This Row],[Years At Company]]&lt;=20, "11-20 Years","20+ Years"))))</f>
        <v>0-2 Years</v>
      </c>
    </row>
    <row r="26" spans="1:38" x14ac:dyDescent="0.25">
      <c r="A26" s="2">
        <v>34</v>
      </c>
      <c r="B26" t="s">
        <v>35</v>
      </c>
      <c r="C26" t="s">
        <v>36</v>
      </c>
      <c r="D26" s="2">
        <v>699</v>
      </c>
      <c r="E26" t="s">
        <v>45</v>
      </c>
      <c r="F26" s="2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 s="2">
        <v>2960</v>
      </c>
      <c r="T26">
        <v>17102</v>
      </c>
      <c r="U26">
        <v>2</v>
      </c>
      <c r="V26" t="s">
        <v>42</v>
      </c>
      <c r="W26" t="s">
        <v>43</v>
      </c>
      <c r="X26" s="2">
        <v>11</v>
      </c>
      <c r="Y26">
        <v>3</v>
      </c>
      <c r="Z26">
        <v>3</v>
      </c>
      <c r="AA26">
        <v>80</v>
      </c>
      <c r="AB26">
        <v>0</v>
      </c>
      <c r="AC26" s="2">
        <v>8</v>
      </c>
      <c r="AD26">
        <v>2</v>
      </c>
      <c r="AE26">
        <v>3</v>
      </c>
      <c r="AF26" s="2">
        <v>4</v>
      </c>
      <c r="AG26">
        <v>2</v>
      </c>
      <c r="AH26">
        <v>1</v>
      </c>
      <c r="AI26">
        <v>3</v>
      </c>
      <c r="AJ26" s="2" t="str">
        <f>IF(A26 A26 &lt;= 25, "18-25", IF(A26 &lt;=35, "26-35", IF(A26 &lt;=45, "36-45", IF(Table3[[#This Row],[Age]] &lt;=55, "46-55", "56+"))))</f>
        <v>26-35</v>
      </c>
      <c r="AK26" t="str">
        <f t="shared" si="0"/>
        <v>Low</v>
      </c>
      <c r="AL26" s="2" t="str">
        <f>IF(AF26 &lt; 3, "0-2 Years", IF(AF26 &lt;= 5, "3-5 Years", IF(AF26 &lt;= 10, "6-10 Years",IF(Table3[[#This Row],[Years At Company]]&lt;=20, "11-20 Years","20+ Years"))))</f>
        <v>3-5 Years</v>
      </c>
    </row>
    <row r="27" spans="1:38" x14ac:dyDescent="0.25">
      <c r="A27" s="2">
        <v>53</v>
      </c>
      <c r="B27" t="s">
        <v>43</v>
      </c>
      <c r="C27" t="s">
        <v>36</v>
      </c>
      <c r="D27" s="2">
        <v>1282</v>
      </c>
      <c r="E27" t="s">
        <v>45</v>
      </c>
      <c r="F27" s="2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 s="2">
        <v>19094</v>
      </c>
      <c r="T27">
        <v>10735</v>
      </c>
      <c r="U27">
        <v>4</v>
      </c>
      <c r="V27" t="s">
        <v>42</v>
      </c>
      <c r="W27" t="s">
        <v>43</v>
      </c>
      <c r="X27" s="2">
        <v>11</v>
      </c>
      <c r="Y27">
        <v>3</v>
      </c>
      <c r="Z27">
        <v>4</v>
      </c>
      <c r="AA27">
        <v>80</v>
      </c>
      <c r="AB27">
        <v>1</v>
      </c>
      <c r="AC27" s="2">
        <v>26</v>
      </c>
      <c r="AD27">
        <v>3</v>
      </c>
      <c r="AE27">
        <v>2</v>
      </c>
      <c r="AF27" s="2">
        <v>14</v>
      </c>
      <c r="AG27">
        <v>13</v>
      </c>
      <c r="AH27">
        <v>4</v>
      </c>
      <c r="AI27">
        <v>8</v>
      </c>
      <c r="AJ27" s="2" t="str">
        <f>IF(A27 A27 &lt;= 25, "18-25", IF(A27 &lt;=35, "26-35", IF(A27 &lt;=45, "36-45", IF(Table3[[#This Row],[Age]] &lt;=55, "46-55", "56+"))))</f>
        <v>46-55</v>
      </c>
      <c r="AK27" t="str">
        <f t="shared" si="0"/>
        <v>High</v>
      </c>
      <c r="AL27" s="2" t="str">
        <f>IF(AF27 &lt; 3, "0-2 Years", IF(AF27 &lt;= 5, "3-5 Years", IF(AF27 &lt;= 10, "6-10 Years",IF(Table3[[#This Row],[Years At Company]]&lt;=20, "11-20 Years","20+ Years"))))</f>
        <v>11-20 Years</v>
      </c>
    </row>
    <row r="28" spans="1:38" x14ac:dyDescent="0.25">
      <c r="A28" s="2">
        <v>32</v>
      </c>
      <c r="B28" t="s">
        <v>35</v>
      </c>
      <c r="C28" t="s">
        <v>44</v>
      </c>
      <c r="D28" s="2">
        <v>1125</v>
      </c>
      <c r="E28" t="s">
        <v>45</v>
      </c>
      <c r="F28" s="2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 s="2">
        <v>3919</v>
      </c>
      <c r="T28">
        <v>4681</v>
      </c>
      <c r="U28">
        <v>1</v>
      </c>
      <c r="V28" t="s">
        <v>42</v>
      </c>
      <c r="W28" t="s">
        <v>35</v>
      </c>
      <c r="X28" s="2">
        <v>22</v>
      </c>
      <c r="Y28">
        <v>4</v>
      </c>
      <c r="Z28">
        <v>2</v>
      </c>
      <c r="AA28">
        <v>80</v>
      </c>
      <c r="AB28">
        <v>0</v>
      </c>
      <c r="AC28" s="2">
        <v>10</v>
      </c>
      <c r="AD28">
        <v>5</v>
      </c>
      <c r="AE28">
        <v>3</v>
      </c>
      <c r="AF28" s="2">
        <v>10</v>
      </c>
      <c r="AG28">
        <v>2</v>
      </c>
      <c r="AH28">
        <v>6</v>
      </c>
      <c r="AI28">
        <v>7</v>
      </c>
      <c r="AJ28" s="2" t="str">
        <f>IF(A28 A28 &lt;= 25, "18-25", IF(A28 &lt;=35, "26-35", IF(A28 &lt;=45, "36-45", IF(Table3[[#This Row],[Age]] &lt;=55, "46-55", "56+"))))</f>
        <v>26-35</v>
      </c>
      <c r="AK28" t="str">
        <f t="shared" si="0"/>
        <v>Low</v>
      </c>
      <c r="AL28" s="2" t="str">
        <f>IF(AF28 &lt; 3, "0-2 Years", IF(AF28 &lt;= 5, "3-5 Years", IF(AF28 &lt;= 10, "6-10 Years",IF(Table3[[#This Row],[Years At Company]]&lt;=20, "11-20 Years","20+ Years"))))</f>
        <v>6-10 Years</v>
      </c>
    </row>
    <row r="29" spans="1:38" x14ac:dyDescent="0.25">
      <c r="A29" s="2">
        <v>42</v>
      </c>
      <c r="B29" t="s">
        <v>43</v>
      </c>
      <c r="C29" t="s">
        <v>36</v>
      </c>
      <c r="D29" s="2">
        <v>691</v>
      </c>
      <c r="E29" t="s">
        <v>37</v>
      </c>
      <c r="F29" s="2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 s="2">
        <v>6825</v>
      </c>
      <c r="T29">
        <v>21173</v>
      </c>
      <c r="U29">
        <v>0</v>
      </c>
      <c r="V29" t="s">
        <v>42</v>
      </c>
      <c r="W29" t="s">
        <v>43</v>
      </c>
      <c r="X29" s="2">
        <v>11</v>
      </c>
      <c r="Y29">
        <v>3</v>
      </c>
      <c r="Z29">
        <v>4</v>
      </c>
      <c r="AA29">
        <v>80</v>
      </c>
      <c r="AB29">
        <v>1</v>
      </c>
      <c r="AC29" s="2">
        <v>10</v>
      </c>
      <c r="AD29">
        <v>2</v>
      </c>
      <c r="AE29">
        <v>3</v>
      </c>
      <c r="AF29" s="2">
        <v>9</v>
      </c>
      <c r="AG29">
        <v>7</v>
      </c>
      <c r="AH29">
        <v>4</v>
      </c>
      <c r="AI29">
        <v>2</v>
      </c>
      <c r="AJ29" s="2" t="str">
        <f>IF(A29 A29 &lt;= 25, "18-25", IF(A29 &lt;=35, "26-35", IF(A29 &lt;=45, "36-45", IF(Table3[[#This Row],[Age]] &lt;=55, "46-55", "56+"))))</f>
        <v>36-45</v>
      </c>
      <c r="AK29" t="str">
        <f t="shared" si="0"/>
        <v>Medium</v>
      </c>
      <c r="AL29" s="2" t="str">
        <f>IF(AF29 &lt; 3, "0-2 Years", IF(AF29 &lt;= 5, "3-5 Years", IF(AF29 &lt;= 10, "6-10 Years",IF(Table3[[#This Row],[Years At Company]]&lt;=20, "11-20 Years","20+ Years"))))</f>
        <v>6-10 Years</v>
      </c>
    </row>
    <row r="30" spans="1:38" x14ac:dyDescent="0.25">
      <c r="A30" s="2">
        <v>44</v>
      </c>
      <c r="B30" t="s">
        <v>43</v>
      </c>
      <c r="C30" t="s">
        <v>36</v>
      </c>
      <c r="D30" s="2">
        <v>477</v>
      </c>
      <c r="E30" t="s">
        <v>45</v>
      </c>
      <c r="F30" s="2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 s="2">
        <v>10248</v>
      </c>
      <c r="T30">
        <v>2094</v>
      </c>
      <c r="U30">
        <v>3</v>
      </c>
      <c r="V30" t="s">
        <v>42</v>
      </c>
      <c r="W30" t="s">
        <v>43</v>
      </c>
      <c r="X30" s="2">
        <v>14</v>
      </c>
      <c r="Y30">
        <v>3</v>
      </c>
      <c r="Z30">
        <v>4</v>
      </c>
      <c r="AA30">
        <v>80</v>
      </c>
      <c r="AB30">
        <v>1</v>
      </c>
      <c r="AC30" s="2">
        <v>24</v>
      </c>
      <c r="AD30">
        <v>4</v>
      </c>
      <c r="AE30">
        <v>3</v>
      </c>
      <c r="AF30" s="2">
        <v>22</v>
      </c>
      <c r="AG30">
        <v>6</v>
      </c>
      <c r="AH30">
        <v>5</v>
      </c>
      <c r="AI30">
        <v>17</v>
      </c>
      <c r="AJ30" s="2" t="str">
        <f>IF(A30 A30 &lt;= 25, "18-25", IF(A30 &lt;=35, "26-35", IF(A30 &lt;=45, "36-45", IF(Table3[[#This Row],[Age]] &lt;=55, "46-55", "56+"))))</f>
        <v>36-45</v>
      </c>
      <c r="AK30" t="str">
        <f t="shared" si="0"/>
        <v>High</v>
      </c>
      <c r="AL30" s="2" t="str">
        <f>IF(AF30 &lt; 3, "0-2 Years", IF(AF30 &lt;= 5, "3-5 Years", IF(AF30 &lt;= 10, "6-10 Years",IF(Table3[[#This Row],[Years At Company]]&lt;=20, "11-20 Years","20+ Years"))))</f>
        <v>20+ Years</v>
      </c>
    </row>
    <row r="31" spans="1:38" x14ac:dyDescent="0.25">
      <c r="A31" s="2">
        <v>46</v>
      </c>
      <c r="B31" t="s">
        <v>43</v>
      </c>
      <c r="C31" t="s">
        <v>36</v>
      </c>
      <c r="D31" s="2">
        <v>705</v>
      </c>
      <c r="E31" t="s">
        <v>37</v>
      </c>
      <c r="F31" s="2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 s="2">
        <v>18947</v>
      </c>
      <c r="T31">
        <v>22822</v>
      </c>
      <c r="U31">
        <v>3</v>
      </c>
      <c r="V31" t="s">
        <v>42</v>
      </c>
      <c r="W31" t="s">
        <v>43</v>
      </c>
      <c r="X31" s="2">
        <v>12</v>
      </c>
      <c r="Y31">
        <v>3</v>
      </c>
      <c r="Z31">
        <v>4</v>
      </c>
      <c r="AA31">
        <v>80</v>
      </c>
      <c r="AB31">
        <v>0</v>
      </c>
      <c r="AC31" s="2">
        <v>22</v>
      </c>
      <c r="AD31">
        <v>2</v>
      </c>
      <c r="AE31">
        <v>2</v>
      </c>
      <c r="AF31" s="2">
        <v>2</v>
      </c>
      <c r="AG31">
        <v>2</v>
      </c>
      <c r="AH31">
        <v>2</v>
      </c>
      <c r="AI31">
        <v>1</v>
      </c>
      <c r="AJ31" s="2" t="str">
        <f>IF(A31 A31 &lt;= 25, "18-25", IF(A31 &lt;=35, "26-35", IF(A31 &lt;=45, "36-45", IF(Table3[[#This Row],[Age]] &lt;=55, "46-55", "56+"))))</f>
        <v>46-55</v>
      </c>
      <c r="AK31" t="str">
        <f t="shared" si="0"/>
        <v>High</v>
      </c>
      <c r="AL31" s="2" t="str">
        <f>IF(AF31 &lt; 3, "0-2 Years", IF(AF31 &lt;= 5, "3-5 Years", IF(AF31 &lt;= 10, "6-10 Years",IF(Table3[[#This Row],[Years At Company]]&lt;=20, "11-20 Years","20+ Years"))))</f>
        <v>0-2 Years</v>
      </c>
    </row>
    <row r="32" spans="1:38" x14ac:dyDescent="0.25">
      <c r="A32" s="2">
        <v>33</v>
      </c>
      <c r="B32" t="s">
        <v>43</v>
      </c>
      <c r="C32" t="s">
        <v>36</v>
      </c>
      <c r="D32" s="2">
        <v>924</v>
      </c>
      <c r="E32" t="s">
        <v>45</v>
      </c>
      <c r="F32" s="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 s="2">
        <v>2496</v>
      </c>
      <c r="T32">
        <v>6670</v>
      </c>
      <c r="U32">
        <v>4</v>
      </c>
      <c r="V32" t="s">
        <v>42</v>
      </c>
      <c r="W32" t="s">
        <v>43</v>
      </c>
      <c r="X32" s="2">
        <v>11</v>
      </c>
      <c r="Y32">
        <v>3</v>
      </c>
      <c r="Z32">
        <v>4</v>
      </c>
      <c r="AA32">
        <v>80</v>
      </c>
      <c r="AB32">
        <v>0</v>
      </c>
      <c r="AC32" s="2">
        <v>7</v>
      </c>
      <c r="AD32">
        <v>3</v>
      </c>
      <c r="AE32">
        <v>3</v>
      </c>
      <c r="AF32" s="2">
        <v>1</v>
      </c>
      <c r="AG32">
        <v>1</v>
      </c>
      <c r="AH32">
        <v>0</v>
      </c>
      <c r="AI32">
        <v>0</v>
      </c>
      <c r="AJ32" s="2" t="str">
        <f>IF(A32 A32 &lt;= 25, "18-25", IF(A32 &lt;=35, "26-35", IF(A32 &lt;=45, "36-45", IF(Table3[[#This Row],[Age]] &lt;=55, "46-55", "56+"))))</f>
        <v>26-35</v>
      </c>
      <c r="AK32" t="str">
        <f t="shared" si="0"/>
        <v>Low</v>
      </c>
      <c r="AL32" s="2" t="str">
        <f>IF(AF32 &lt; 3, "0-2 Years", IF(AF32 &lt;= 5, "3-5 Years", IF(AF32 &lt;= 10, "6-10 Years",IF(Table3[[#This Row],[Years At Company]]&lt;=20, "11-20 Years","20+ Years"))))</f>
        <v>0-2 Years</v>
      </c>
    </row>
    <row r="33" spans="1:38" x14ac:dyDescent="0.25">
      <c r="A33" s="2">
        <v>44</v>
      </c>
      <c r="B33" t="s">
        <v>43</v>
      </c>
      <c r="C33" t="s">
        <v>36</v>
      </c>
      <c r="D33" s="2">
        <v>1459</v>
      </c>
      <c r="E33" t="s">
        <v>45</v>
      </c>
      <c r="F33" s="2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 s="2">
        <v>6465</v>
      </c>
      <c r="T33">
        <v>19121</v>
      </c>
      <c r="U33">
        <v>2</v>
      </c>
      <c r="V33" t="s">
        <v>42</v>
      </c>
      <c r="W33" t="s">
        <v>35</v>
      </c>
      <c r="X33" s="2">
        <v>13</v>
      </c>
      <c r="Y33">
        <v>3</v>
      </c>
      <c r="Z33">
        <v>4</v>
      </c>
      <c r="AA33">
        <v>80</v>
      </c>
      <c r="AB33">
        <v>0</v>
      </c>
      <c r="AC33" s="2">
        <v>9</v>
      </c>
      <c r="AD33">
        <v>5</v>
      </c>
      <c r="AE33">
        <v>4</v>
      </c>
      <c r="AF33" s="2">
        <v>4</v>
      </c>
      <c r="AG33">
        <v>2</v>
      </c>
      <c r="AH33">
        <v>1</v>
      </c>
      <c r="AI33">
        <v>3</v>
      </c>
      <c r="AJ33" s="2" t="str">
        <f>IF(A33 A33 &lt;= 25, "18-25", IF(A33 &lt;=35, "26-35", IF(A33 &lt;=45, "36-45", IF(Table3[[#This Row],[Age]] &lt;=55, "46-55", "56+"))))</f>
        <v>36-45</v>
      </c>
      <c r="AK33" t="str">
        <f t="shared" si="0"/>
        <v>Medium</v>
      </c>
      <c r="AL33" s="2" t="str">
        <f>IF(AF33 &lt; 3, "0-2 Years", IF(AF33 &lt;= 5, "3-5 Years", IF(AF33 &lt;= 10, "6-10 Years",IF(Table3[[#This Row],[Years At Company]]&lt;=20, "11-20 Years","20+ Years"))))</f>
        <v>3-5 Years</v>
      </c>
    </row>
    <row r="34" spans="1:38" x14ac:dyDescent="0.25">
      <c r="A34" s="2">
        <v>30</v>
      </c>
      <c r="B34" t="s">
        <v>43</v>
      </c>
      <c r="C34" t="s">
        <v>36</v>
      </c>
      <c r="D34" s="2">
        <v>125</v>
      </c>
      <c r="E34" t="s">
        <v>45</v>
      </c>
      <c r="F34" s="2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 s="2">
        <v>2206</v>
      </c>
      <c r="T34">
        <v>16117</v>
      </c>
      <c r="U34">
        <v>1</v>
      </c>
      <c r="V34" t="s">
        <v>42</v>
      </c>
      <c r="W34" t="s">
        <v>43</v>
      </c>
      <c r="X34" s="2">
        <v>13</v>
      </c>
      <c r="Y34">
        <v>3</v>
      </c>
      <c r="Z34">
        <v>1</v>
      </c>
      <c r="AA34">
        <v>80</v>
      </c>
      <c r="AB34">
        <v>0</v>
      </c>
      <c r="AC34" s="2">
        <v>10</v>
      </c>
      <c r="AD34">
        <v>5</v>
      </c>
      <c r="AE34">
        <v>3</v>
      </c>
      <c r="AF34" s="2">
        <v>10</v>
      </c>
      <c r="AG34">
        <v>0</v>
      </c>
      <c r="AH34">
        <v>1</v>
      </c>
      <c r="AI34">
        <v>8</v>
      </c>
      <c r="AJ34" s="2" t="str">
        <f>IF(A34 A34 &lt;= 25, "18-25", IF(A34 &lt;=35, "26-35", IF(A34 &lt;=45, "36-45", IF(Table3[[#This Row],[Age]] &lt;=55, "46-55", "56+"))))</f>
        <v>26-35</v>
      </c>
      <c r="AK34" t="str">
        <f t="shared" si="0"/>
        <v>Low</v>
      </c>
      <c r="AL34" s="2" t="str">
        <f>IF(AF34 &lt; 3, "0-2 Years", IF(AF34 &lt;= 5, "3-5 Years", IF(AF34 &lt;= 10, "6-10 Years",IF(Table3[[#This Row],[Years At Company]]&lt;=20, "11-20 Years","20+ Years"))))</f>
        <v>6-10 Years</v>
      </c>
    </row>
    <row r="35" spans="1:38" x14ac:dyDescent="0.25">
      <c r="A35" s="2">
        <v>39</v>
      </c>
      <c r="B35" t="s">
        <v>35</v>
      </c>
      <c r="C35" t="s">
        <v>36</v>
      </c>
      <c r="D35" s="2">
        <v>895</v>
      </c>
      <c r="E35" t="s">
        <v>37</v>
      </c>
      <c r="F35" s="2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 s="2">
        <v>2086</v>
      </c>
      <c r="T35">
        <v>3335</v>
      </c>
      <c r="U35">
        <v>3</v>
      </c>
      <c r="V35" t="s">
        <v>42</v>
      </c>
      <c r="W35" t="s">
        <v>43</v>
      </c>
      <c r="X35" s="2">
        <v>14</v>
      </c>
      <c r="Y35">
        <v>3</v>
      </c>
      <c r="Z35">
        <v>3</v>
      </c>
      <c r="AA35">
        <v>80</v>
      </c>
      <c r="AB35">
        <v>1</v>
      </c>
      <c r="AC35" s="2">
        <v>19</v>
      </c>
      <c r="AD35">
        <v>6</v>
      </c>
      <c r="AE35">
        <v>4</v>
      </c>
      <c r="AF35" s="2">
        <v>1</v>
      </c>
      <c r="AG35">
        <v>0</v>
      </c>
      <c r="AH35">
        <v>0</v>
      </c>
      <c r="AI35">
        <v>0</v>
      </c>
      <c r="AJ35" s="2" t="str">
        <f>IF(A35 A35 &lt;= 25, "18-25", IF(A35 &lt;=35, "26-35", IF(A35 &lt;=45, "36-45", IF(Table3[[#This Row],[Age]] &lt;=55, "46-55", "56+"))))</f>
        <v>36-45</v>
      </c>
      <c r="AK35" t="str">
        <f t="shared" si="0"/>
        <v>Low</v>
      </c>
      <c r="AL35" s="2" t="str">
        <f>IF(AF35 &lt; 3, "0-2 Years", IF(AF35 &lt;= 5, "3-5 Years", IF(AF35 &lt;= 10, "6-10 Years",IF(Table3[[#This Row],[Years At Company]]&lt;=20, "11-20 Years","20+ Years"))))</f>
        <v>0-2 Years</v>
      </c>
    </row>
    <row r="36" spans="1:38" x14ac:dyDescent="0.25">
      <c r="A36" s="2">
        <v>24</v>
      </c>
      <c r="B36" t="s">
        <v>35</v>
      </c>
      <c r="C36" t="s">
        <v>36</v>
      </c>
      <c r="D36" s="2">
        <v>813</v>
      </c>
      <c r="E36" t="s">
        <v>45</v>
      </c>
      <c r="F36" s="2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 s="2">
        <v>2293</v>
      </c>
      <c r="T36">
        <v>3020</v>
      </c>
      <c r="U36">
        <v>2</v>
      </c>
      <c r="V36" t="s">
        <v>42</v>
      </c>
      <c r="W36" t="s">
        <v>35</v>
      </c>
      <c r="X36" s="2">
        <v>16</v>
      </c>
      <c r="Y36">
        <v>3</v>
      </c>
      <c r="Z36">
        <v>1</v>
      </c>
      <c r="AA36">
        <v>80</v>
      </c>
      <c r="AB36">
        <v>1</v>
      </c>
      <c r="AC36" s="2">
        <v>6</v>
      </c>
      <c r="AD36">
        <v>2</v>
      </c>
      <c r="AE36">
        <v>2</v>
      </c>
      <c r="AF36" s="2">
        <v>2</v>
      </c>
      <c r="AG36">
        <v>0</v>
      </c>
      <c r="AH36">
        <v>2</v>
      </c>
      <c r="AI36">
        <v>0</v>
      </c>
      <c r="AJ36" s="2" t="str">
        <f>IF(A36 A36 &lt;= 25, "18-25", IF(A36 &lt;=35, "26-35", IF(A36 &lt;=45, "36-45", IF(Table3[[#This Row],[Age]] &lt;=55, "46-55", "56+"))))</f>
        <v>18-25</v>
      </c>
      <c r="AK36" t="str">
        <f t="shared" si="0"/>
        <v>Low</v>
      </c>
      <c r="AL36" s="2" t="str">
        <f>IF(AF36 &lt; 3, "0-2 Years", IF(AF36 &lt;= 5, "3-5 Years", IF(AF36 &lt;= 10, "6-10 Years",IF(Table3[[#This Row],[Years At Company]]&lt;=20, "11-20 Years","20+ Years"))))</f>
        <v>0-2 Years</v>
      </c>
    </row>
    <row r="37" spans="1:38" x14ac:dyDescent="0.25">
      <c r="A37" s="2">
        <v>43</v>
      </c>
      <c r="B37" t="s">
        <v>43</v>
      </c>
      <c r="C37" t="s">
        <v>36</v>
      </c>
      <c r="D37" s="2">
        <v>1273</v>
      </c>
      <c r="E37" t="s">
        <v>45</v>
      </c>
      <c r="F37" s="2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 s="2">
        <v>2645</v>
      </c>
      <c r="T37">
        <v>21923</v>
      </c>
      <c r="U37">
        <v>1</v>
      </c>
      <c r="V37" t="s">
        <v>42</v>
      </c>
      <c r="W37" t="s">
        <v>43</v>
      </c>
      <c r="X37" s="2">
        <v>12</v>
      </c>
      <c r="Y37">
        <v>3</v>
      </c>
      <c r="Z37">
        <v>4</v>
      </c>
      <c r="AA37">
        <v>80</v>
      </c>
      <c r="AB37">
        <v>2</v>
      </c>
      <c r="AC37" s="2">
        <v>6</v>
      </c>
      <c r="AD37">
        <v>3</v>
      </c>
      <c r="AE37">
        <v>2</v>
      </c>
      <c r="AF37" s="2">
        <v>5</v>
      </c>
      <c r="AG37">
        <v>3</v>
      </c>
      <c r="AH37">
        <v>1</v>
      </c>
      <c r="AI37">
        <v>4</v>
      </c>
      <c r="AJ37" s="2" t="str">
        <f>IF(A37 A37 &lt;= 25, "18-25", IF(A37 &lt;=35, "26-35", IF(A37 &lt;=45, "36-45", IF(Table3[[#This Row],[Age]] &lt;=55, "46-55", "56+"))))</f>
        <v>36-45</v>
      </c>
      <c r="AK37" t="str">
        <f t="shared" si="0"/>
        <v>Low</v>
      </c>
      <c r="AL37" s="2" t="str">
        <f>IF(AF37 &lt; 3, "0-2 Years", IF(AF37 &lt;= 5, "3-5 Years", IF(AF37 &lt;= 10, "6-10 Years",IF(Table3[[#This Row],[Years At Company]]&lt;=20, "11-20 Years","20+ Years"))))</f>
        <v>3-5 Years</v>
      </c>
    </row>
    <row r="38" spans="1:38" x14ac:dyDescent="0.25">
      <c r="A38" s="2">
        <v>50</v>
      </c>
      <c r="B38" t="s">
        <v>35</v>
      </c>
      <c r="C38" t="s">
        <v>36</v>
      </c>
      <c r="D38" s="2">
        <v>869</v>
      </c>
      <c r="E38" t="s">
        <v>37</v>
      </c>
      <c r="F38" s="2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 s="2">
        <v>2683</v>
      </c>
      <c r="T38">
        <v>3810</v>
      </c>
      <c r="U38">
        <v>1</v>
      </c>
      <c r="V38" t="s">
        <v>42</v>
      </c>
      <c r="W38" t="s">
        <v>35</v>
      </c>
      <c r="X38" s="2">
        <v>14</v>
      </c>
      <c r="Y38">
        <v>3</v>
      </c>
      <c r="Z38">
        <v>3</v>
      </c>
      <c r="AA38">
        <v>80</v>
      </c>
      <c r="AB38">
        <v>0</v>
      </c>
      <c r="AC38" s="2">
        <v>3</v>
      </c>
      <c r="AD38">
        <v>2</v>
      </c>
      <c r="AE38">
        <v>3</v>
      </c>
      <c r="AF38" s="2">
        <v>3</v>
      </c>
      <c r="AG38">
        <v>2</v>
      </c>
      <c r="AH38">
        <v>0</v>
      </c>
      <c r="AI38">
        <v>2</v>
      </c>
      <c r="AJ38" s="2" t="str">
        <f>IF(A38 A38 &lt;= 25, "18-25", IF(A38 &lt;=35, "26-35", IF(A38 &lt;=45, "36-45", IF(Table3[[#This Row],[Age]] &lt;=55, "46-55", "56+"))))</f>
        <v>46-55</v>
      </c>
      <c r="AK38" t="str">
        <f t="shared" si="0"/>
        <v>Low</v>
      </c>
      <c r="AL38" s="2" t="str">
        <f>IF(AF38 &lt; 3, "0-2 Years", IF(AF38 &lt;= 5, "3-5 Years", IF(AF38 &lt;= 10, "6-10 Years",IF(Table3[[#This Row],[Years At Company]]&lt;=20, "11-20 Years","20+ Years"))))</f>
        <v>3-5 Years</v>
      </c>
    </row>
    <row r="39" spans="1:38" x14ac:dyDescent="0.25">
      <c r="A39" s="2">
        <v>35</v>
      </c>
      <c r="B39" t="s">
        <v>43</v>
      </c>
      <c r="C39" t="s">
        <v>36</v>
      </c>
      <c r="D39" s="2">
        <v>890</v>
      </c>
      <c r="E39" t="s">
        <v>37</v>
      </c>
      <c r="F39" s="2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 s="2">
        <v>2014</v>
      </c>
      <c r="T39">
        <v>9687</v>
      </c>
      <c r="U39">
        <v>1</v>
      </c>
      <c r="V39" t="s">
        <v>42</v>
      </c>
      <c r="W39" t="s">
        <v>43</v>
      </c>
      <c r="X39" s="2">
        <v>13</v>
      </c>
      <c r="Y39">
        <v>3</v>
      </c>
      <c r="Z39">
        <v>1</v>
      </c>
      <c r="AA39">
        <v>80</v>
      </c>
      <c r="AB39">
        <v>0</v>
      </c>
      <c r="AC39" s="2">
        <v>2</v>
      </c>
      <c r="AD39">
        <v>3</v>
      </c>
      <c r="AE39">
        <v>3</v>
      </c>
      <c r="AF39" s="2">
        <v>2</v>
      </c>
      <c r="AG39">
        <v>2</v>
      </c>
      <c r="AH39">
        <v>2</v>
      </c>
      <c r="AI39">
        <v>2</v>
      </c>
      <c r="AJ39" s="2" t="str">
        <f>IF(A39 A39 &lt;= 25, "18-25", IF(A39 &lt;=35, "26-35", IF(A39 &lt;=45, "36-45", IF(Table3[[#This Row],[Age]] &lt;=55, "46-55", "56+"))))</f>
        <v>26-35</v>
      </c>
      <c r="AK39" t="str">
        <f t="shared" si="0"/>
        <v>Low</v>
      </c>
      <c r="AL39" s="2" t="str">
        <f>IF(AF39 &lt; 3, "0-2 Years", IF(AF39 &lt;= 5, "3-5 Years", IF(AF39 &lt;= 10, "6-10 Years",IF(Table3[[#This Row],[Years At Company]]&lt;=20, "11-20 Years","20+ Years"))))</f>
        <v>0-2 Years</v>
      </c>
    </row>
    <row r="40" spans="1:38" x14ac:dyDescent="0.25">
      <c r="A40" s="2">
        <v>36</v>
      </c>
      <c r="B40" t="s">
        <v>43</v>
      </c>
      <c r="C40" t="s">
        <v>36</v>
      </c>
      <c r="D40" s="2">
        <v>852</v>
      </c>
      <c r="E40" t="s">
        <v>45</v>
      </c>
      <c r="F40" s="2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 s="2">
        <v>3419</v>
      </c>
      <c r="T40">
        <v>13072</v>
      </c>
      <c r="U40">
        <v>9</v>
      </c>
      <c r="V40" t="s">
        <v>42</v>
      </c>
      <c r="W40" t="s">
        <v>35</v>
      </c>
      <c r="X40" s="2">
        <v>14</v>
      </c>
      <c r="Y40">
        <v>3</v>
      </c>
      <c r="Z40">
        <v>4</v>
      </c>
      <c r="AA40">
        <v>80</v>
      </c>
      <c r="AB40">
        <v>1</v>
      </c>
      <c r="AC40" s="2">
        <v>6</v>
      </c>
      <c r="AD40">
        <v>3</v>
      </c>
      <c r="AE40">
        <v>4</v>
      </c>
      <c r="AF40" s="2">
        <v>1</v>
      </c>
      <c r="AG40">
        <v>1</v>
      </c>
      <c r="AH40">
        <v>0</v>
      </c>
      <c r="AI40">
        <v>0</v>
      </c>
      <c r="AJ40" s="2" t="str">
        <f>IF(A40 A40 &lt;= 25, "18-25", IF(A40 &lt;=35, "26-35", IF(A40 &lt;=45, "36-45", IF(Table3[[#This Row],[Age]] &lt;=55, "46-55", "56+"))))</f>
        <v>36-45</v>
      </c>
      <c r="AK40" t="str">
        <f t="shared" si="0"/>
        <v>Low</v>
      </c>
      <c r="AL40" s="2" t="str">
        <f>IF(AF40 &lt; 3, "0-2 Years", IF(AF40 &lt;= 5, "3-5 Years", IF(AF40 &lt;= 10, "6-10 Years",IF(Table3[[#This Row],[Years At Company]]&lt;=20, "11-20 Years","20+ Years"))))</f>
        <v>0-2 Years</v>
      </c>
    </row>
    <row r="41" spans="1:38" x14ac:dyDescent="0.25">
      <c r="A41" s="2">
        <v>33</v>
      </c>
      <c r="B41" t="s">
        <v>43</v>
      </c>
      <c r="C41" t="s">
        <v>44</v>
      </c>
      <c r="D41" s="2">
        <v>1141</v>
      </c>
      <c r="E41" t="s">
        <v>37</v>
      </c>
      <c r="F41" s="2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 s="2">
        <v>5376</v>
      </c>
      <c r="T41">
        <v>3193</v>
      </c>
      <c r="U41">
        <v>2</v>
      </c>
      <c r="V41" t="s">
        <v>42</v>
      </c>
      <c r="W41" t="s">
        <v>43</v>
      </c>
      <c r="X41" s="2">
        <v>19</v>
      </c>
      <c r="Y41">
        <v>3</v>
      </c>
      <c r="Z41">
        <v>1</v>
      </c>
      <c r="AA41">
        <v>80</v>
      </c>
      <c r="AB41">
        <v>2</v>
      </c>
      <c r="AC41" s="2">
        <v>10</v>
      </c>
      <c r="AD41">
        <v>3</v>
      </c>
      <c r="AE41">
        <v>3</v>
      </c>
      <c r="AF41" s="2">
        <v>5</v>
      </c>
      <c r="AG41">
        <v>3</v>
      </c>
      <c r="AH41">
        <v>1</v>
      </c>
      <c r="AI41">
        <v>3</v>
      </c>
      <c r="AJ41" s="2" t="str">
        <f>IF(A41 A41 &lt;= 25, "18-25", IF(A41 &lt;=35, "26-35", IF(A41 &lt;=45, "36-45", IF(Table3[[#This Row],[Age]] &lt;=55, "46-55", "56+"))))</f>
        <v>26-35</v>
      </c>
      <c r="AK41" t="str">
        <f t="shared" si="0"/>
        <v>Medium</v>
      </c>
      <c r="AL41" s="2" t="str">
        <f>IF(AF41 &lt; 3, "0-2 Years", IF(AF41 &lt;= 5, "3-5 Years", IF(AF41 &lt;= 10, "6-10 Years",IF(Table3[[#This Row],[Years At Company]]&lt;=20, "11-20 Years","20+ Years"))))</f>
        <v>3-5 Years</v>
      </c>
    </row>
    <row r="42" spans="1:38" x14ac:dyDescent="0.25">
      <c r="A42" s="2">
        <v>35</v>
      </c>
      <c r="B42" t="s">
        <v>43</v>
      </c>
      <c r="C42" t="s">
        <v>36</v>
      </c>
      <c r="D42" s="2">
        <v>464</v>
      </c>
      <c r="E42" t="s">
        <v>45</v>
      </c>
      <c r="F42" s="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 s="2">
        <v>1951</v>
      </c>
      <c r="T42">
        <v>10910</v>
      </c>
      <c r="U42">
        <v>1</v>
      </c>
      <c r="V42" t="s">
        <v>42</v>
      </c>
      <c r="W42" t="s">
        <v>43</v>
      </c>
      <c r="X42" s="2">
        <v>12</v>
      </c>
      <c r="Y42">
        <v>3</v>
      </c>
      <c r="Z42">
        <v>3</v>
      </c>
      <c r="AA42">
        <v>80</v>
      </c>
      <c r="AB42">
        <v>1</v>
      </c>
      <c r="AC42" s="2">
        <v>1</v>
      </c>
      <c r="AD42">
        <v>3</v>
      </c>
      <c r="AE42">
        <v>3</v>
      </c>
      <c r="AF42" s="2">
        <v>1</v>
      </c>
      <c r="AG42">
        <v>0</v>
      </c>
      <c r="AH42">
        <v>0</v>
      </c>
      <c r="AI42">
        <v>0</v>
      </c>
      <c r="AJ42" s="2" t="str">
        <f>IF(A42 A42 &lt;= 25, "18-25", IF(A42 &lt;=35, "26-35", IF(A42 &lt;=45, "36-45", IF(Table3[[#This Row],[Age]] &lt;=55, "46-55", "56+"))))</f>
        <v>26-35</v>
      </c>
      <c r="AK42" t="str">
        <f t="shared" si="0"/>
        <v>Low</v>
      </c>
      <c r="AL42" s="2" t="str">
        <f>IF(AF42 &lt; 3, "0-2 Years", IF(AF42 &lt;= 5, "3-5 Years", IF(AF42 &lt;= 10, "6-10 Years",IF(Table3[[#This Row],[Years At Company]]&lt;=20, "11-20 Years","20+ Years"))))</f>
        <v>0-2 Years</v>
      </c>
    </row>
    <row r="43" spans="1:38" x14ac:dyDescent="0.25">
      <c r="A43" s="2">
        <v>27</v>
      </c>
      <c r="B43" t="s">
        <v>43</v>
      </c>
      <c r="C43" t="s">
        <v>36</v>
      </c>
      <c r="D43" s="2">
        <v>1240</v>
      </c>
      <c r="E43" t="s">
        <v>45</v>
      </c>
      <c r="F43" s="2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 s="2">
        <v>2341</v>
      </c>
      <c r="T43">
        <v>19715</v>
      </c>
      <c r="U43">
        <v>1</v>
      </c>
      <c r="V43" t="s">
        <v>42</v>
      </c>
      <c r="W43" t="s">
        <v>43</v>
      </c>
      <c r="X43" s="2">
        <v>13</v>
      </c>
      <c r="Y43">
        <v>3</v>
      </c>
      <c r="Z43">
        <v>4</v>
      </c>
      <c r="AA43">
        <v>80</v>
      </c>
      <c r="AB43">
        <v>1</v>
      </c>
      <c r="AC43" s="2">
        <v>1</v>
      </c>
      <c r="AD43">
        <v>6</v>
      </c>
      <c r="AE43">
        <v>3</v>
      </c>
      <c r="AF43" s="2">
        <v>1</v>
      </c>
      <c r="AG43">
        <v>0</v>
      </c>
      <c r="AH43">
        <v>0</v>
      </c>
      <c r="AI43">
        <v>0</v>
      </c>
      <c r="AJ43" s="2" t="str">
        <f>IF(A43 A43 &lt;= 25, "18-25", IF(A43 &lt;=35, "26-35", IF(A43 &lt;=45, "36-45", IF(Table3[[#This Row],[Age]] &lt;=55, "46-55", "56+"))))</f>
        <v>26-35</v>
      </c>
      <c r="AK43" t="str">
        <f t="shared" si="0"/>
        <v>Low</v>
      </c>
      <c r="AL43" s="2" t="str">
        <f>IF(AF43 &lt; 3, "0-2 Years", IF(AF43 &lt;= 5, "3-5 Years", IF(AF43 &lt;= 10, "6-10 Years",IF(Table3[[#This Row],[Years At Company]]&lt;=20, "11-20 Years","20+ Years"))))</f>
        <v>0-2 Years</v>
      </c>
    </row>
    <row r="44" spans="1:38" x14ac:dyDescent="0.25">
      <c r="A44" s="2">
        <v>26</v>
      </c>
      <c r="B44" t="s">
        <v>35</v>
      </c>
      <c r="C44" t="s">
        <v>36</v>
      </c>
      <c r="D44" s="2">
        <v>1357</v>
      </c>
      <c r="E44" t="s">
        <v>45</v>
      </c>
      <c r="F44" s="2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 s="2">
        <v>2293</v>
      </c>
      <c r="T44">
        <v>10558</v>
      </c>
      <c r="U44">
        <v>1</v>
      </c>
      <c r="V44" t="s">
        <v>42</v>
      </c>
      <c r="W44" t="s">
        <v>43</v>
      </c>
      <c r="X44" s="2">
        <v>12</v>
      </c>
      <c r="Y44">
        <v>3</v>
      </c>
      <c r="Z44">
        <v>3</v>
      </c>
      <c r="AA44">
        <v>80</v>
      </c>
      <c r="AB44">
        <v>0</v>
      </c>
      <c r="AC44" s="2">
        <v>1</v>
      </c>
      <c r="AD44">
        <v>2</v>
      </c>
      <c r="AE44">
        <v>2</v>
      </c>
      <c r="AF44" s="2">
        <v>1</v>
      </c>
      <c r="AG44">
        <v>0</v>
      </c>
      <c r="AH44">
        <v>0</v>
      </c>
      <c r="AI44">
        <v>1</v>
      </c>
      <c r="AJ44" s="2" t="str">
        <f>IF(A44 A44 &lt;= 25, "18-25", IF(A44 &lt;=35, "26-35", IF(A44 &lt;=45, "36-45", IF(Table3[[#This Row],[Age]] &lt;=55, "46-55", "56+"))))</f>
        <v>26-35</v>
      </c>
      <c r="AK44" t="str">
        <f t="shared" si="0"/>
        <v>Low</v>
      </c>
      <c r="AL44" s="2" t="str">
        <f>IF(AF44 &lt; 3, "0-2 Years", IF(AF44 &lt;= 5, "3-5 Years", IF(AF44 &lt;= 10, "6-10 Years",IF(Table3[[#This Row],[Years At Company]]&lt;=20, "11-20 Years","20+ Years"))))</f>
        <v>0-2 Years</v>
      </c>
    </row>
    <row r="45" spans="1:38" x14ac:dyDescent="0.25">
      <c r="A45" s="2">
        <v>27</v>
      </c>
      <c r="B45" t="s">
        <v>43</v>
      </c>
      <c r="C45" t="s">
        <v>44</v>
      </c>
      <c r="D45" s="2">
        <v>994</v>
      </c>
      <c r="E45" t="s">
        <v>37</v>
      </c>
      <c r="F45" s="2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 s="2">
        <v>8726</v>
      </c>
      <c r="T45">
        <v>2975</v>
      </c>
      <c r="U45">
        <v>1</v>
      </c>
      <c r="V45" t="s">
        <v>42</v>
      </c>
      <c r="W45" t="s">
        <v>43</v>
      </c>
      <c r="X45" s="2">
        <v>15</v>
      </c>
      <c r="Y45">
        <v>3</v>
      </c>
      <c r="Z45">
        <v>4</v>
      </c>
      <c r="AA45">
        <v>80</v>
      </c>
      <c r="AB45">
        <v>0</v>
      </c>
      <c r="AC45" s="2">
        <v>9</v>
      </c>
      <c r="AD45">
        <v>0</v>
      </c>
      <c r="AE45">
        <v>3</v>
      </c>
      <c r="AF45" s="2">
        <v>9</v>
      </c>
      <c r="AG45">
        <v>8</v>
      </c>
      <c r="AH45">
        <v>1</v>
      </c>
      <c r="AI45">
        <v>7</v>
      </c>
      <c r="AJ45" s="2" t="str">
        <f>IF(A45 A45 &lt;= 25, "18-25", IF(A45 &lt;=35, "26-35", IF(A45 &lt;=45, "36-45", IF(Table3[[#This Row],[Age]] &lt;=55, "46-55", "56+"))))</f>
        <v>26-35</v>
      </c>
      <c r="AK45" t="str">
        <f t="shared" si="0"/>
        <v>Medium</v>
      </c>
      <c r="AL45" s="2" t="str">
        <f>IF(AF45 &lt; 3, "0-2 Years", IF(AF45 &lt;= 5, "3-5 Years", IF(AF45 &lt;= 10, "6-10 Years",IF(Table3[[#This Row],[Years At Company]]&lt;=20, "11-20 Years","20+ Years"))))</f>
        <v>6-10 Years</v>
      </c>
    </row>
    <row r="46" spans="1:38" x14ac:dyDescent="0.25">
      <c r="A46" s="2">
        <v>30</v>
      </c>
      <c r="B46" t="s">
        <v>43</v>
      </c>
      <c r="C46" t="s">
        <v>44</v>
      </c>
      <c r="D46" s="2">
        <v>721</v>
      </c>
      <c r="E46" t="s">
        <v>45</v>
      </c>
      <c r="F46" s="2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 s="2">
        <v>4011</v>
      </c>
      <c r="T46">
        <v>10781</v>
      </c>
      <c r="U46">
        <v>1</v>
      </c>
      <c r="V46" t="s">
        <v>42</v>
      </c>
      <c r="W46" t="s">
        <v>43</v>
      </c>
      <c r="X46" s="2">
        <v>23</v>
      </c>
      <c r="Y46">
        <v>4</v>
      </c>
      <c r="Z46">
        <v>4</v>
      </c>
      <c r="AA46">
        <v>80</v>
      </c>
      <c r="AB46">
        <v>0</v>
      </c>
      <c r="AC46" s="2">
        <v>12</v>
      </c>
      <c r="AD46">
        <v>2</v>
      </c>
      <c r="AE46">
        <v>3</v>
      </c>
      <c r="AF46" s="2">
        <v>12</v>
      </c>
      <c r="AG46">
        <v>8</v>
      </c>
      <c r="AH46">
        <v>3</v>
      </c>
      <c r="AI46">
        <v>7</v>
      </c>
      <c r="AJ46" s="2" t="str">
        <f>IF(A46 A46 &lt;= 25, "18-25", IF(A46 &lt;=35, "26-35", IF(A46 &lt;=45, "36-45", IF(Table3[[#This Row],[Age]] &lt;=55, "46-55", "56+"))))</f>
        <v>26-35</v>
      </c>
      <c r="AK46" t="str">
        <f t="shared" si="0"/>
        <v>Low</v>
      </c>
      <c r="AL46" s="2" t="str">
        <f>IF(AF46 &lt; 3, "0-2 Years", IF(AF46 &lt;= 5, "3-5 Years", IF(AF46 &lt;= 10, "6-10 Years",IF(Table3[[#This Row],[Years At Company]]&lt;=20, "11-20 Years","20+ Years"))))</f>
        <v>11-20 Years</v>
      </c>
    </row>
    <row r="47" spans="1:38" x14ac:dyDescent="0.25">
      <c r="A47" s="2">
        <v>41</v>
      </c>
      <c r="B47" t="s">
        <v>35</v>
      </c>
      <c r="C47" t="s">
        <v>36</v>
      </c>
      <c r="D47" s="2">
        <v>1360</v>
      </c>
      <c r="E47" t="s">
        <v>45</v>
      </c>
      <c r="F47" s="2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 s="2">
        <v>19545</v>
      </c>
      <c r="T47">
        <v>16280</v>
      </c>
      <c r="U47">
        <v>1</v>
      </c>
      <c r="V47" t="s">
        <v>42</v>
      </c>
      <c r="W47" t="s">
        <v>43</v>
      </c>
      <c r="X47" s="2">
        <v>12</v>
      </c>
      <c r="Y47">
        <v>3</v>
      </c>
      <c r="Z47">
        <v>4</v>
      </c>
      <c r="AA47">
        <v>80</v>
      </c>
      <c r="AB47">
        <v>0</v>
      </c>
      <c r="AC47" s="2">
        <v>23</v>
      </c>
      <c r="AD47">
        <v>0</v>
      </c>
      <c r="AE47">
        <v>3</v>
      </c>
      <c r="AF47" s="2">
        <v>22</v>
      </c>
      <c r="AG47">
        <v>15</v>
      </c>
      <c r="AH47">
        <v>15</v>
      </c>
      <c r="AI47">
        <v>8</v>
      </c>
      <c r="AJ47" s="2" t="str">
        <f>IF(A47 A47 &lt;= 25, "18-25", IF(A47 &lt;=35, "26-35", IF(A47 &lt;=45, "36-45", IF(Table3[[#This Row],[Age]] &lt;=55, "46-55", "56+"))))</f>
        <v>36-45</v>
      </c>
      <c r="AK47" t="str">
        <f t="shared" si="0"/>
        <v>High</v>
      </c>
      <c r="AL47" s="2" t="str">
        <f>IF(AF47 &lt; 3, "0-2 Years", IF(AF47 &lt;= 5, "3-5 Years", IF(AF47 &lt;= 10, "6-10 Years",IF(Table3[[#This Row],[Years At Company]]&lt;=20, "11-20 Years","20+ Years"))))</f>
        <v>20+ Years</v>
      </c>
    </row>
    <row r="48" spans="1:38" x14ac:dyDescent="0.25">
      <c r="A48" s="2">
        <v>34</v>
      </c>
      <c r="B48" t="s">
        <v>43</v>
      </c>
      <c r="C48" t="s">
        <v>55</v>
      </c>
      <c r="D48" s="2">
        <v>1065</v>
      </c>
      <c r="E48" t="s">
        <v>37</v>
      </c>
      <c r="F48" s="2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 s="2">
        <v>4568</v>
      </c>
      <c r="T48">
        <v>10034</v>
      </c>
      <c r="U48">
        <v>0</v>
      </c>
      <c r="V48" t="s">
        <v>42</v>
      </c>
      <c r="W48" t="s">
        <v>43</v>
      </c>
      <c r="X48" s="2">
        <v>20</v>
      </c>
      <c r="Y48">
        <v>4</v>
      </c>
      <c r="Z48">
        <v>3</v>
      </c>
      <c r="AA48">
        <v>80</v>
      </c>
      <c r="AB48">
        <v>0</v>
      </c>
      <c r="AC48" s="2">
        <v>10</v>
      </c>
      <c r="AD48">
        <v>2</v>
      </c>
      <c r="AE48">
        <v>3</v>
      </c>
      <c r="AF48" s="2">
        <v>9</v>
      </c>
      <c r="AG48">
        <v>5</v>
      </c>
      <c r="AH48">
        <v>8</v>
      </c>
      <c r="AI48">
        <v>7</v>
      </c>
      <c r="AJ48" s="2" t="str">
        <f>IF(A48 A48 &lt;= 25, "18-25", IF(A48 &lt;=35, "26-35", IF(A48 &lt;=45, "36-45", IF(Table3[[#This Row],[Age]] &lt;=55, "46-55", "56+"))))</f>
        <v>26-35</v>
      </c>
      <c r="AK48" t="str">
        <f t="shared" si="0"/>
        <v>Low</v>
      </c>
      <c r="AL48" s="2" t="str">
        <f>IF(AF48 &lt; 3, "0-2 Years", IF(AF48 &lt;= 5, "3-5 Years", IF(AF48 &lt;= 10, "6-10 Years",IF(Table3[[#This Row],[Years At Company]]&lt;=20, "11-20 Years","20+ Years"))))</f>
        <v>6-10 Years</v>
      </c>
    </row>
    <row r="49" spans="1:38" x14ac:dyDescent="0.25">
      <c r="A49" s="2">
        <v>37</v>
      </c>
      <c r="B49" t="s">
        <v>43</v>
      </c>
      <c r="C49" t="s">
        <v>36</v>
      </c>
      <c r="D49" s="2">
        <v>408</v>
      </c>
      <c r="E49" t="s">
        <v>45</v>
      </c>
      <c r="F49" s="2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 s="2">
        <v>3022</v>
      </c>
      <c r="T49">
        <v>10227</v>
      </c>
      <c r="U49">
        <v>4</v>
      </c>
      <c r="V49" t="s">
        <v>42</v>
      </c>
      <c r="W49" t="s">
        <v>43</v>
      </c>
      <c r="X49" s="2">
        <v>21</v>
      </c>
      <c r="Y49">
        <v>4</v>
      </c>
      <c r="Z49">
        <v>1</v>
      </c>
      <c r="AA49">
        <v>80</v>
      </c>
      <c r="AB49">
        <v>0</v>
      </c>
      <c r="AC49" s="2">
        <v>8</v>
      </c>
      <c r="AD49">
        <v>1</v>
      </c>
      <c r="AE49">
        <v>3</v>
      </c>
      <c r="AF49" s="2">
        <v>1</v>
      </c>
      <c r="AG49">
        <v>0</v>
      </c>
      <c r="AH49">
        <v>0</v>
      </c>
      <c r="AI49">
        <v>0</v>
      </c>
      <c r="AJ49" s="2" t="str">
        <f>IF(A49 A49 &lt;= 25, "18-25", IF(A49 &lt;=35, "26-35", IF(A49 &lt;=45, "36-45", IF(Table3[[#This Row],[Age]] &lt;=55, "46-55", "56+"))))</f>
        <v>36-45</v>
      </c>
      <c r="AK49" t="str">
        <f t="shared" si="0"/>
        <v>Low</v>
      </c>
      <c r="AL49" s="2" t="str">
        <f>IF(AF49 &lt; 3, "0-2 Years", IF(AF49 &lt;= 5, "3-5 Years", IF(AF49 &lt;= 10, "6-10 Years",IF(Table3[[#This Row],[Years At Company]]&lt;=20, "11-20 Years","20+ Years"))))</f>
        <v>0-2 Years</v>
      </c>
    </row>
    <row r="50" spans="1:38" x14ac:dyDescent="0.25">
      <c r="A50" s="2">
        <v>46</v>
      </c>
      <c r="B50" t="s">
        <v>43</v>
      </c>
      <c r="C50" t="s">
        <v>44</v>
      </c>
      <c r="D50" s="2">
        <v>1211</v>
      </c>
      <c r="E50" t="s">
        <v>37</v>
      </c>
      <c r="F50" s="2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 s="2">
        <v>5772</v>
      </c>
      <c r="T50">
        <v>20445</v>
      </c>
      <c r="U50">
        <v>4</v>
      </c>
      <c r="V50" t="s">
        <v>42</v>
      </c>
      <c r="W50" t="s">
        <v>35</v>
      </c>
      <c r="X50" s="2">
        <v>21</v>
      </c>
      <c r="Y50">
        <v>4</v>
      </c>
      <c r="Z50">
        <v>3</v>
      </c>
      <c r="AA50">
        <v>80</v>
      </c>
      <c r="AB50">
        <v>0</v>
      </c>
      <c r="AC50" s="2">
        <v>14</v>
      </c>
      <c r="AD50">
        <v>4</v>
      </c>
      <c r="AE50">
        <v>3</v>
      </c>
      <c r="AF50" s="2">
        <v>9</v>
      </c>
      <c r="AG50">
        <v>6</v>
      </c>
      <c r="AH50">
        <v>0</v>
      </c>
      <c r="AI50">
        <v>8</v>
      </c>
      <c r="AJ50" s="2" t="str">
        <f>IF(A50 A50 &lt;= 25, "18-25", IF(A50 &lt;=35, "26-35", IF(A50 &lt;=45, "36-45", IF(Table3[[#This Row],[Age]] &lt;=55, "46-55", "56+"))))</f>
        <v>46-55</v>
      </c>
      <c r="AK50" t="str">
        <f t="shared" si="0"/>
        <v>Medium</v>
      </c>
      <c r="AL50" s="2" t="str">
        <f>IF(AF50 &lt; 3, "0-2 Years", IF(AF50 &lt;= 5, "3-5 Years", IF(AF50 &lt;= 10, "6-10 Years",IF(Table3[[#This Row],[Years At Company]]&lt;=20, "11-20 Years","20+ Years"))))</f>
        <v>6-10 Years</v>
      </c>
    </row>
    <row r="51" spans="1:38" x14ac:dyDescent="0.25">
      <c r="A51" s="2">
        <v>35</v>
      </c>
      <c r="B51" t="s">
        <v>43</v>
      </c>
      <c r="C51" t="s">
        <v>36</v>
      </c>
      <c r="D51" s="2">
        <v>1229</v>
      </c>
      <c r="E51" t="s">
        <v>45</v>
      </c>
      <c r="F51" s="2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 s="2">
        <v>2269</v>
      </c>
      <c r="T51">
        <v>4892</v>
      </c>
      <c r="U51">
        <v>1</v>
      </c>
      <c r="V51" t="s">
        <v>42</v>
      </c>
      <c r="W51" t="s">
        <v>43</v>
      </c>
      <c r="X51" s="2">
        <v>19</v>
      </c>
      <c r="Y51">
        <v>3</v>
      </c>
      <c r="Z51">
        <v>4</v>
      </c>
      <c r="AA51">
        <v>80</v>
      </c>
      <c r="AB51">
        <v>0</v>
      </c>
      <c r="AC51" s="2">
        <v>1</v>
      </c>
      <c r="AD51">
        <v>2</v>
      </c>
      <c r="AE51">
        <v>3</v>
      </c>
      <c r="AF51" s="2">
        <v>1</v>
      </c>
      <c r="AG51">
        <v>0</v>
      </c>
      <c r="AH51">
        <v>0</v>
      </c>
      <c r="AI51">
        <v>1</v>
      </c>
      <c r="AJ51" s="2" t="str">
        <f>IF(A51 A51 &lt;= 25, "18-25", IF(A51 &lt;=35, "26-35", IF(A51 &lt;=45, "36-45", IF(Table3[[#This Row],[Age]] &lt;=55, "46-55", "56+"))))</f>
        <v>26-35</v>
      </c>
      <c r="AK51" t="str">
        <f t="shared" si="0"/>
        <v>Low</v>
      </c>
      <c r="AL51" s="2" t="str">
        <f>IF(AF51 &lt; 3, "0-2 Years", IF(AF51 &lt;= 5, "3-5 Years", IF(AF51 &lt;= 10, "6-10 Years",IF(Table3[[#This Row],[Years At Company]]&lt;=20, "11-20 Years","20+ Years"))))</f>
        <v>0-2 Years</v>
      </c>
    </row>
    <row r="52" spans="1:38" x14ac:dyDescent="0.25">
      <c r="A52" s="2">
        <v>48</v>
      </c>
      <c r="B52" t="s">
        <v>35</v>
      </c>
      <c r="C52" t="s">
        <v>36</v>
      </c>
      <c r="D52" s="2">
        <v>626</v>
      </c>
      <c r="E52" t="s">
        <v>45</v>
      </c>
      <c r="F52" s="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 s="2">
        <v>5381</v>
      </c>
      <c r="T52">
        <v>19294</v>
      </c>
      <c r="U52">
        <v>9</v>
      </c>
      <c r="V52" t="s">
        <v>42</v>
      </c>
      <c r="W52" t="s">
        <v>35</v>
      </c>
      <c r="X52" s="2">
        <v>13</v>
      </c>
      <c r="Y52">
        <v>3</v>
      </c>
      <c r="Z52">
        <v>4</v>
      </c>
      <c r="AA52">
        <v>80</v>
      </c>
      <c r="AB52">
        <v>0</v>
      </c>
      <c r="AC52" s="2">
        <v>23</v>
      </c>
      <c r="AD52">
        <v>2</v>
      </c>
      <c r="AE52">
        <v>3</v>
      </c>
      <c r="AF52" s="2">
        <v>1</v>
      </c>
      <c r="AG52">
        <v>0</v>
      </c>
      <c r="AH52">
        <v>0</v>
      </c>
      <c r="AI52">
        <v>0</v>
      </c>
      <c r="AJ52" s="2" t="str">
        <f>IF(A52 A52 &lt;= 25, "18-25", IF(A52 &lt;=35, "26-35", IF(A52 &lt;=45, "36-45", IF(Table3[[#This Row],[Age]] &lt;=55, "46-55", "56+"))))</f>
        <v>46-55</v>
      </c>
      <c r="AK52" t="str">
        <f t="shared" si="0"/>
        <v>Medium</v>
      </c>
      <c r="AL52" s="2" t="str">
        <f>IF(AF52 &lt; 3, "0-2 Years", IF(AF52 &lt;= 5, "3-5 Years", IF(AF52 &lt;= 10, "6-10 Years",IF(Table3[[#This Row],[Years At Company]]&lt;=20, "11-20 Years","20+ Years"))))</f>
        <v>0-2 Years</v>
      </c>
    </row>
    <row r="53" spans="1:38" x14ac:dyDescent="0.25">
      <c r="A53" s="2">
        <v>28</v>
      </c>
      <c r="B53" t="s">
        <v>35</v>
      </c>
      <c r="C53" t="s">
        <v>36</v>
      </c>
      <c r="D53" s="2">
        <v>1434</v>
      </c>
      <c r="E53" t="s">
        <v>45</v>
      </c>
      <c r="F53" s="2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 s="2">
        <v>3441</v>
      </c>
      <c r="T53">
        <v>11179</v>
      </c>
      <c r="U53">
        <v>1</v>
      </c>
      <c r="V53" t="s">
        <v>42</v>
      </c>
      <c r="W53" t="s">
        <v>35</v>
      </c>
      <c r="X53" s="2">
        <v>13</v>
      </c>
      <c r="Y53">
        <v>3</v>
      </c>
      <c r="Z53">
        <v>3</v>
      </c>
      <c r="AA53">
        <v>80</v>
      </c>
      <c r="AB53">
        <v>0</v>
      </c>
      <c r="AC53" s="2">
        <v>2</v>
      </c>
      <c r="AD53">
        <v>3</v>
      </c>
      <c r="AE53">
        <v>2</v>
      </c>
      <c r="AF53" s="2">
        <v>2</v>
      </c>
      <c r="AG53">
        <v>2</v>
      </c>
      <c r="AH53">
        <v>2</v>
      </c>
      <c r="AI53">
        <v>2</v>
      </c>
      <c r="AJ53" s="2" t="str">
        <f>IF(A53 A53 &lt;= 25, "18-25", IF(A53 &lt;=35, "26-35", IF(A53 &lt;=45, "36-45", IF(Table3[[#This Row],[Age]] &lt;=55, "46-55", "56+"))))</f>
        <v>26-35</v>
      </c>
      <c r="AK53" t="str">
        <f t="shared" si="0"/>
        <v>Low</v>
      </c>
      <c r="AL53" s="2" t="str">
        <f>IF(AF53 &lt; 3, "0-2 Years", IF(AF53 &lt;= 5, "3-5 Years", IF(AF53 &lt;= 10, "6-10 Years",IF(Table3[[#This Row],[Years At Company]]&lt;=20, "11-20 Years","20+ Years"))))</f>
        <v>0-2 Years</v>
      </c>
    </row>
    <row r="54" spans="1:38" x14ac:dyDescent="0.25">
      <c r="A54" s="2">
        <v>44</v>
      </c>
      <c r="B54" t="s">
        <v>43</v>
      </c>
      <c r="C54" t="s">
        <v>36</v>
      </c>
      <c r="D54" s="2">
        <v>1488</v>
      </c>
      <c r="E54" t="s">
        <v>37</v>
      </c>
      <c r="F54" s="2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 s="2">
        <v>5454</v>
      </c>
      <c r="T54">
        <v>4009</v>
      </c>
      <c r="U54">
        <v>5</v>
      </c>
      <c r="V54" t="s">
        <v>42</v>
      </c>
      <c r="W54" t="s">
        <v>35</v>
      </c>
      <c r="X54" s="2">
        <v>21</v>
      </c>
      <c r="Y54">
        <v>4</v>
      </c>
      <c r="Z54">
        <v>3</v>
      </c>
      <c r="AA54">
        <v>80</v>
      </c>
      <c r="AB54">
        <v>1</v>
      </c>
      <c r="AC54" s="2">
        <v>9</v>
      </c>
      <c r="AD54">
        <v>2</v>
      </c>
      <c r="AE54">
        <v>2</v>
      </c>
      <c r="AF54" s="2">
        <v>4</v>
      </c>
      <c r="AG54">
        <v>3</v>
      </c>
      <c r="AH54">
        <v>1</v>
      </c>
      <c r="AI54">
        <v>3</v>
      </c>
      <c r="AJ54" s="2" t="str">
        <f>IF(A54 A54 &lt;= 25, "18-25", IF(A54 &lt;=35, "26-35", IF(A54 &lt;=45, "36-45", IF(Table3[[#This Row],[Age]] &lt;=55, "46-55", "56+"))))</f>
        <v>36-45</v>
      </c>
      <c r="AK54" t="str">
        <f t="shared" si="0"/>
        <v>Medium</v>
      </c>
      <c r="AL54" s="2" t="str">
        <f>IF(AF54 &lt; 3, "0-2 Years", IF(AF54 &lt;= 5, "3-5 Years", IF(AF54 &lt;= 10, "6-10 Years",IF(Table3[[#This Row],[Years At Company]]&lt;=20, "11-20 Years","20+ Years"))))</f>
        <v>3-5 Years</v>
      </c>
    </row>
    <row r="55" spans="1:38" x14ac:dyDescent="0.25">
      <c r="A55" s="2">
        <v>35</v>
      </c>
      <c r="B55" t="s">
        <v>43</v>
      </c>
      <c r="C55" t="s">
        <v>55</v>
      </c>
      <c r="D55" s="2">
        <v>1097</v>
      </c>
      <c r="E55" t="s">
        <v>45</v>
      </c>
      <c r="F55" s="2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 s="2">
        <v>9884</v>
      </c>
      <c r="T55">
        <v>8302</v>
      </c>
      <c r="U55">
        <v>2</v>
      </c>
      <c r="V55" t="s">
        <v>42</v>
      </c>
      <c r="W55" t="s">
        <v>35</v>
      </c>
      <c r="X55" s="2">
        <v>13</v>
      </c>
      <c r="Y55">
        <v>3</v>
      </c>
      <c r="Z55">
        <v>3</v>
      </c>
      <c r="AA55">
        <v>80</v>
      </c>
      <c r="AB55">
        <v>1</v>
      </c>
      <c r="AC55" s="2">
        <v>10</v>
      </c>
      <c r="AD55">
        <v>3</v>
      </c>
      <c r="AE55">
        <v>3</v>
      </c>
      <c r="AF55" s="2">
        <v>4</v>
      </c>
      <c r="AG55">
        <v>0</v>
      </c>
      <c r="AH55">
        <v>2</v>
      </c>
      <c r="AI55">
        <v>3</v>
      </c>
      <c r="AJ55" s="2" t="str">
        <f>IF(A55 A55 &lt;= 25, "18-25", IF(A55 &lt;=35, "26-35", IF(A55 &lt;=45, "36-45", IF(Table3[[#This Row],[Age]] &lt;=55, "46-55", "56+"))))</f>
        <v>26-35</v>
      </c>
      <c r="AK55" t="str">
        <f t="shared" si="0"/>
        <v>Medium</v>
      </c>
      <c r="AL55" s="2" t="str">
        <f>IF(AF55 &lt; 3, "0-2 Years", IF(AF55 &lt;= 5, "3-5 Years", IF(AF55 &lt;= 10, "6-10 Years",IF(Table3[[#This Row],[Years At Company]]&lt;=20, "11-20 Years","20+ Years"))))</f>
        <v>3-5 Years</v>
      </c>
    </row>
    <row r="56" spans="1:38" x14ac:dyDescent="0.25">
      <c r="A56" s="2">
        <v>26</v>
      </c>
      <c r="B56" t="s">
        <v>43</v>
      </c>
      <c r="C56" t="s">
        <v>36</v>
      </c>
      <c r="D56" s="2">
        <v>1443</v>
      </c>
      <c r="E56" t="s">
        <v>37</v>
      </c>
      <c r="F56" s="2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 s="2">
        <v>4157</v>
      </c>
      <c r="T56">
        <v>21436</v>
      </c>
      <c r="U56">
        <v>7</v>
      </c>
      <c r="V56" t="s">
        <v>42</v>
      </c>
      <c r="W56" t="s">
        <v>35</v>
      </c>
      <c r="X56" s="2">
        <v>19</v>
      </c>
      <c r="Y56">
        <v>3</v>
      </c>
      <c r="Z56">
        <v>3</v>
      </c>
      <c r="AA56">
        <v>80</v>
      </c>
      <c r="AB56">
        <v>1</v>
      </c>
      <c r="AC56" s="2">
        <v>5</v>
      </c>
      <c r="AD56">
        <v>2</v>
      </c>
      <c r="AE56">
        <v>2</v>
      </c>
      <c r="AF56" s="2">
        <v>2</v>
      </c>
      <c r="AG56">
        <v>2</v>
      </c>
      <c r="AH56">
        <v>0</v>
      </c>
      <c r="AI56">
        <v>0</v>
      </c>
      <c r="AJ56" s="2" t="str">
        <f>IF(A56 A56 &lt;= 25, "18-25", IF(A56 &lt;=35, "26-35", IF(A56 &lt;=45, "36-45", IF(Table3[[#This Row],[Age]] &lt;=55, "46-55", "56+"))))</f>
        <v>26-35</v>
      </c>
      <c r="AK56" t="str">
        <f t="shared" si="0"/>
        <v>Low</v>
      </c>
      <c r="AL56" s="2" t="str">
        <f>IF(AF56 &lt; 3, "0-2 Years", IF(AF56 &lt;= 5, "3-5 Years", IF(AF56 &lt;= 10, "6-10 Years",IF(Table3[[#This Row],[Years At Company]]&lt;=20, "11-20 Years","20+ Years"))))</f>
        <v>0-2 Years</v>
      </c>
    </row>
    <row r="57" spans="1:38" x14ac:dyDescent="0.25">
      <c r="A57" s="2">
        <v>33</v>
      </c>
      <c r="B57" t="s">
        <v>43</v>
      </c>
      <c r="C57" t="s">
        <v>44</v>
      </c>
      <c r="D57" s="2">
        <v>515</v>
      </c>
      <c r="E57" t="s">
        <v>45</v>
      </c>
      <c r="F57" s="2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 s="2">
        <v>13458</v>
      </c>
      <c r="T57">
        <v>15146</v>
      </c>
      <c r="U57">
        <v>1</v>
      </c>
      <c r="V57" t="s">
        <v>42</v>
      </c>
      <c r="W57" t="s">
        <v>35</v>
      </c>
      <c r="X57" s="2">
        <v>12</v>
      </c>
      <c r="Y57">
        <v>3</v>
      </c>
      <c r="Z57">
        <v>3</v>
      </c>
      <c r="AA57">
        <v>80</v>
      </c>
      <c r="AB57">
        <v>0</v>
      </c>
      <c r="AC57" s="2">
        <v>15</v>
      </c>
      <c r="AD57">
        <v>1</v>
      </c>
      <c r="AE57">
        <v>3</v>
      </c>
      <c r="AF57" s="2">
        <v>15</v>
      </c>
      <c r="AG57">
        <v>14</v>
      </c>
      <c r="AH57">
        <v>8</v>
      </c>
      <c r="AI57">
        <v>12</v>
      </c>
      <c r="AJ57" s="2" t="str">
        <f>IF(A57 A57 &lt;= 25, "18-25", IF(A57 &lt;=35, "26-35", IF(A57 &lt;=45, "36-45", IF(Table3[[#This Row],[Age]] &lt;=55, "46-55", "56+"))))</f>
        <v>26-35</v>
      </c>
      <c r="AK57" t="str">
        <f t="shared" si="0"/>
        <v>High</v>
      </c>
      <c r="AL57" s="2" t="str">
        <f>IF(AF57 &lt; 3, "0-2 Years", IF(AF57 &lt;= 5, "3-5 Years", IF(AF57 &lt;= 10, "6-10 Years",IF(Table3[[#This Row],[Years At Company]]&lt;=20, "11-20 Years","20+ Years"))))</f>
        <v>11-20 Years</v>
      </c>
    </row>
    <row r="58" spans="1:38" x14ac:dyDescent="0.25">
      <c r="A58" s="2">
        <v>35</v>
      </c>
      <c r="B58" t="s">
        <v>43</v>
      </c>
      <c r="C58" t="s">
        <v>44</v>
      </c>
      <c r="D58" s="2">
        <v>853</v>
      </c>
      <c r="E58" t="s">
        <v>37</v>
      </c>
      <c r="F58" s="2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 s="2">
        <v>9069</v>
      </c>
      <c r="T58">
        <v>11031</v>
      </c>
      <c r="U58">
        <v>1</v>
      </c>
      <c r="V58" t="s">
        <v>42</v>
      </c>
      <c r="W58" t="s">
        <v>43</v>
      </c>
      <c r="X58" s="2">
        <v>22</v>
      </c>
      <c r="Y58">
        <v>4</v>
      </c>
      <c r="Z58">
        <v>4</v>
      </c>
      <c r="AA58">
        <v>80</v>
      </c>
      <c r="AB58">
        <v>1</v>
      </c>
      <c r="AC58" s="2">
        <v>9</v>
      </c>
      <c r="AD58">
        <v>3</v>
      </c>
      <c r="AE58">
        <v>2</v>
      </c>
      <c r="AF58" s="2">
        <v>9</v>
      </c>
      <c r="AG58">
        <v>8</v>
      </c>
      <c r="AH58">
        <v>1</v>
      </c>
      <c r="AI58">
        <v>8</v>
      </c>
      <c r="AJ58" s="2" t="str">
        <f>IF(A58 A58 &lt;= 25, "18-25", IF(A58 &lt;=35, "26-35", IF(A58 &lt;=45, "36-45", IF(Table3[[#This Row],[Age]] &lt;=55, "46-55", "56+"))))</f>
        <v>26-35</v>
      </c>
      <c r="AK58" t="str">
        <f t="shared" si="0"/>
        <v>Medium</v>
      </c>
      <c r="AL58" s="2" t="str">
        <f>IF(AF58 &lt; 3, "0-2 Years", IF(AF58 &lt;= 5, "3-5 Years", IF(AF58 &lt;= 10, "6-10 Years",IF(Table3[[#This Row],[Years At Company]]&lt;=20, "11-20 Years","20+ Years"))))</f>
        <v>6-10 Years</v>
      </c>
    </row>
    <row r="59" spans="1:38" x14ac:dyDescent="0.25">
      <c r="A59" s="2">
        <v>35</v>
      </c>
      <c r="B59" t="s">
        <v>43</v>
      </c>
      <c r="C59" t="s">
        <v>36</v>
      </c>
      <c r="D59" s="2">
        <v>1142</v>
      </c>
      <c r="E59" t="s">
        <v>45</v>
      </c>
      <c r="F59" s="2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 s="2">
        <v>4014</v>
      </c>
      <c r="T59">
        <v>16002</v>
      </c>
      <c r="U59">
        <v>3</v>
      </c>
      <c r="V59" t="s">
        <v>42</v>
      </c>
      <c r="W59" t="s">
        <v>35</v>
      </c>
      <c r="X59" s="2">
        <v>15</v>
      </c>
      <c r="Y59">
        <v>3</v>
      </c>
      <c r="Z59">
        <v>3</v>
      </c>
      <c r="AA59">
        <v>80</v>
      </c>
      <c r="AB59">
        <v>1</v>
      </c>
      <c r="AC59" s="2">
        <v>4</v>
      </c>
      <c r="AD59">
        <v>3</v>
      </c>
      <c r="AE59">
        <v>3</v>
      </c>
      <c r="AF59" s="2">
        <v>2</v>
      </c>
      <c r="AG59">
        <v>2</v>
      </c>
      <c r="AH59">
        <v>2</v>
      </c>
      <c r="AI59">
        <v>2</v>
      </c>
      <c r="AJ59" s="2" t="str">
        <f>IF(A59 A59 &lt;= 25, "18-25", IF(A59 &lt;=35, "26-35", IF(A59 &lt;=45, "36-45", IF(Table3[[#This Row],[Age]] &lt;=55, "46-55", "56+"))))</f>
        <v>26-35</v>
      </c>
      <c r="AK59" t="str">
        <f t="shared" si="0"/>
        <v>Low</v>
      </c>
      <c r="AL59" s="2" t="str">
        <f>IF(AF59 &lt; 3, "0-2 Years", IF(AF59 &lt;= 5, "3-5 Years", IF(AF59 &lt;= 10, "6-10 Years",IF(Table3[[#This Row],[Years At Company]]&lt;=20, "11-20 Years","20+ Years"))))</f>
        <v>0-2 Years</v>
      </c>
    </row>
    <row r="60" spans="1:38" x14ac:dyDescent="0.25">
      <c r="A60" s="2">
        <v>31</v>
      </c>
      <c r="B60" t="s">
        <v>43</v>
      </c>
      <c r="C60" t="s">
        <v>36</v>
      </c>
      <c r="D60" s="2">
        <v>655</v>
      </c>
      <c r="E60" t="s">
        <v>45</v>
      </c>
      <c r="F60" s="2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 s="2">
        <v>5915</v>
      </c>
      <c r="T60">
        <v>9528</v>
      </c>
      <c r="U60">
        <v>3</v>
      </c>
      <c r="V60" t="s">
        <v>42</v>
      </c>
      <c r="W60" t="s">
        <v>43</v>
      </c>
      <c r="X60" s="2">
        <v>22</v>
      </c>
      <c r="Y60">
        <v>4</v>
      </c>
      <c r="Z60">
        <v>4</v>
      </c>
      <c r="AA60">
        <v>80</v>
      </c>
      <c r="AB60">
        <v>1</v>
      </c>
      <c r="AC60" s="2">
        <v>10</v>
      </c>
      <c r="AD60">
        <v>3</v>
      </c>
      <c r="AE60">
        <v>2</v>
      </c>
      <c r="AF60" s="2">
        <v>7</v>
      </c>
      <c r="AG60">
        <v>7</v>
      </c>
      <c r="AH60">
        <v>1</v>
      </c>
      <c r="AI60">
        <v>7</v>
      </c>
      <c r="AJ60" s="2" t="str">
        <f>IF(A60 A60 &lt;= 25, "18-25", IF(A60 &lt;=35, "26-35", IF(A60 &lt;=45, "36-45", IF(Table3[[#This Row],[Age]] &lt;=55, "46-55", "56+"))))</f>
        <v>26-35</v>
      </c>
      <c r="AK60" t="str">
        <f t="shared" si="0"/>
        <v>Medium</v>
      </c>
      <c r="AL60" s="2" t="str">
        <f>IF(AF60 &lt; 3, "0-2 Years", IF(AF60 &lt;= 5, "3-5 Years", IF(AF60 &lt;= 10, "6-10 Years",IF(Table3[[#This Row],[Years At Company]]&lt;=20, "11-20 Years","20+ Years"))))</f>
        <v>6-10 Years</v>
      </c>
    </row>
    <row r="61" spans="1:38" x14ac:dyDescent="0.25">
      <c r="A61" s="2">
        <v>37</v>
      </c>
      <c r="B61" t="s">
        <v>43</v>
      </c>
      <c r="C61" t="s">
        <v>36</v>
      </c>
      <c r="D61" s="2">
        <v>1115</v>
      </c>
      <c r="E61" t="s">
        <v>45</v>
      </c>
      <c r="F61" s="2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 s="2">
        <v>5993</v>
      </c>
      <c r="T61">
        <v>2689</v>
      </c>
      <c r="U61">
        <v>1</v>
      </c>
      <c r="V61" t="s">
        <v>42</v>
      </c>
      <c r="W61" t="s">
        <v>43</v>
      </c>
      <c r="X61" s="2">
        <v>18</v>
      </c>
      <c r="Y61">
        <v>3</v>
      </c>
      <c r="Z61">
        <v>3</v>
      </c>
      <c r="AA61">
        <v>80</v>
      </c>
      <c r="AB61">
        <v>1</v>
      </c>
      <c r="AC61" s="2">
        <v>7</v>
      </c>
      <c r="AD61">
        <v>2</v>
      </c>
      <c r="AE61">
        <v>4</v>
      </c>
      <c r="AF61" s="2">
        <v>7</v>
      </c>
      <c r="AG61">
        <v>5</v>
      </c>
      <c r="AH61">
        <v>0</v>
      </c>
      <c r="AI61">
        <v>7</v>
      </c>
      <c r="AJ61" s="2" t="str">
        <f>IF(A61 A61 &lt;= 25, "18-25", IF(A61 &lt;=35, "26-35", IF(A61 &lt;=45, "36-45", IF(Table3[[#This Row],[Age]] &lt;=55, "46-55", "56+"))))</f>
        <v>36-45</v>
      </c>
      <c r="AK61" t="str">
        <f t="shared" si="0"/>
        <v>Medium</v>
      </c>
      <c r="AL61" s="2" t="str">
        <f>IF(AF61 &lt; 3, "0-2 Years", IF(AF61 &lt;= 5, "3-5 Years", IF(AF61 &lt;= 10, "6-10 Years",IF(Table3[[#This Row],[Years At Company]]&lt;=20, "11-20 Years","20+ Years"))))</f>
        <v>6-10 Years</v>
      </c>
    </row>
    <row r="62" spans="1:38" x14ac:dyDescent="0.25">
      <c r="A62" s="2">
        <v>32</v>
      </c>
      <c r="B62" t="s">
        <v>43</v>
      </c>
      <c r="C62" t="s">
        <v>36</v>
      </c>
      <c r="D62" s="2">
        <v>427</v>
      </c>
      <c r="E62" t="s">
        <v>45</v>
      </c>
      <c r="F62" s="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 s="2">
        <v>6162</v>
      </c>
      <c r="T62">
        <v>10877</v>
      </c>
      <c r="U62">
        <v>1</v>
      </c>
      <c r="V62" t="s">
        <v>42</v>
      </c>
      <c r="W62" t="s">
        <v>35</v>
      </c>
      <c r="X62" s="2">
        <v>22</v>
      </c>
      <c r="Y62">
        <v>4</v>
      </c>
      <c r="Z62">
        <v>2</v>
      </c>
      <c r="AA62">
        <v>80</v>
      </c>
      <c r="AB62">
        <v>1</v>
      </c>
      <c r="AC62" s="2">
        <v>9</v>
      </c>
      <c r="AD62">
        <v>3</v>
      </c>
      <c r="AE62">
        <v>3</v>
      </c>
      <c r="AF62" s="2">
        <v>9</v>
      </c>
      <c r="AG62">
        <v>8</v>
      </c>
      <c r="AH62">
        <v>7</v>
      </c>
      <c r="AI62">
        <v>8</v>
      </c>
      <c r="AJ62" s="2" t="str">
        <f>IF(A62 A62 &lt;= 25, "18-25", IF(A62 &lt;=35, "26-35", IF(A62 &lt;=45, "36-45", IF(Table3[[#This Row],[Age]] &lt;=55, "46-55", "56+"))))</f>
        <v>26-35</v>
      </c>
      <c r="AK62" t="str">
        <f t="shared" si="0"/>
        <v>Medium</v>
      </c>
      <c r="AL62" s="2" t="str">
        <f>IF(AF62 &lt; 3, "0-2 Years", IF(AF62 &lt;= 5, "3-5 Years", IF(AF62 &lt;= 10, "6-10 Years",IF(Table3[[#This Row],[Years At Company]]&lt;=20, "11-20 Years","20+ Years"))))</f>
        <v>6-10 Years</v>
      </c>
    </row>
    <row r="63" spans="1:38" x14ac:dyDescent="0.25">
      <c r="A63" s="2">
        <v>38</v>
      </c>
      <c r="B63" t="s">
        <v>43</v>
      </c>
      <c r="C63" t="s">
        <v>44</v>
      </c>
      <c r="D63" s="2">
        <v>653</v>
      </c>
      <c r="E63" t="s">
        <v>45</v>
      </c>
      <c r="F63" s="2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 s="2">
        <v>2406</v>
      </c>
      <c r="T63">
        <v>5456</v>
      </c>
      <c r="U63">
        <v>1</v>
      </c>
      <c r="V63" t="s">
        <v>42</v>
      </c>
      <c r="W63" t="s">
        <v>43</v>
      </c>
      <c r="X63" s="2">
        <v>11</v>
      </c>
      <c r="Y63">
        <v>3</v>
      </c>
      <c r="Z63">
        <v>4</v>
      </c>
      <c r="AA63">
        <v>80</v>
      </c>
      <c r="AB63">
        <v>0</v>
      </c>
      <c r="AC63" s="2">
        <v>10</v>
      </c>
      <c r="AD63">
        <v>2</v>
      </c>
      <c r="AE63">
        <v>3</v>
      </c>
      <c r="AF63" s="2">
        <v>10</v>
      </c>
      <c r="AG63">
        <v>3</v>
      </c>
      <c r="AH63">
        <v>9</v>
      </c>
      <c r="AI63">
        <v>9</v>
      </c>
      <c r="AJ63" s="2" t="str">
        <f>IF(A63 A63 &lt;= 25, "18-25", IF(A63 &lt;=35, "26-35", IF(A63 &lt;=45, "36-45", IF(Table3[[#This Row],[Age]] &lt;=55, "46-55", "56+"))))</f>
        <v>36-45</v>
      </c>
      <c r="AK63" t="str">
        <f t="shared" si="0"/>
        <v>Low</v>
      </c>
      <c r="AL63" s="2" t="str">
        <f>IF(AF63 &lt; 3, "0-2 Years", IF(AF63 &lt;= 5, "3-5 Years", IF(AF63 &lt;= 10, "6-10 Years",IF(Table3[[#This Row],[Years At Company]]&lt;=20, "11-20 Years","20+ Years"))))</f>
        <v>6-10 Years</v>
      </c>
    </row>
    <row r="64" spans="1:38" x14ac:dyDescent="0.25">
      <c r="A64" s="2">
        <v>50</v>
      </c>
      <c r="B64" t="s">
        <v>43</v>
      </c>
      <c r="C64" t="s">
        <v>36</v>
      </c>
      <c r="D64" s="2">
        <v>989</v>
      </c>
      <c r="E64" t="s">
        <v>45</v>
      </c>
      <c r="F64" s="2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 s="2">
        <v>18740</v>
      </c>
      <c r="T64">
        <v>16701</v>
      </c>
      <c r="U64">
        <v>5</v>
      </c>
      <c r="V64" t="s">
        <v>42</v>
      </c>
      <c r="W64" t="s">
        <v>35</v>
      </c>
      <c r="X64" s="2">
        <v>12</v>
      </c>
      <c r="Y64">
        <v>3</v>
      </c>
      <c r="Z64">
        <v>4</v>
      </c>
      <c r="AA64">
        <v>80</v>
      </c>
      <c r="AB64">
        <v>1</v>
      </c>
      <c r="AC64" s="2">
        <v>29</v>
      </c>
      <c r="AD64">
        <v>2</v>
      </c>
      <c r="AE64">
        <v>2</v>
      </c>
      <c r="AF64" s="2">
        <v>27</v>
      </c>
      <c r="AG64">
        <v>3</v>
      </c>
      <c r="AH64">
        <v>13</v>
      </c>
      <c r="AI64">
        <v>8</v>
      </c>
      <c r="AJ64" s="2" t="str">
        <f>IF(A64 A64 &lt;= 25, "18-25", IF(A64 &lt;=35, "26-35", IF(A64 &lt;=45, "36-45", IF(Table3[[#This Row],[Age]] &lt;=55, "46-55", "56+"))))</f>
        <v>46-55</v>
      </c>
      <c r="AK64" t="str">
        <f t="shared" si="0"/>
        <v>High</v>
      </c>
      <c r="AL64" s="2" t="str">
        <f>IF(AF64 &lt; 3, "0-2 Years", IF(AF64 &lt;= 5, "3-5 Years", IF(AF64 &lt;= 10, "6-10 Years",IF(Table3[[#This Row],[Years At Company]]&lt;=20, "11-20 Years","20+ Years"))))</f>
        <v>20+ Years</v>
      </c>
    </row>
    <row r="65" spans="1:38" x14ac:dyDescent="0.25">
      <c r="A65" s="2">
        <v>59</v>
      </c>
      <c r="B65" t="s">
        <v>43</v>
      </c>
      <c r="C65" t="s">
        <v>36</v>
      </c>
      <c r="D65" s="2">
        <v>1435</v>
      </c>
      <c r="E65" t="s">
        <v>37</v>
      </c>
      <c r="F65" s="2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 s="2">
        <v>7637</v>
      </c>
      <c r="T65">
        <v>2354</v>
      </c>
      <c r="U65">
        <v>7</v>
      </c>
      <c r="V65" t="s">
        <v>42</v>
      </c>
      <c r="W65" t="s">
        <v>43</v>
      </c>
      <c r="X65" s="2">
        <v>11</v>
      </c>
      <c r="Y65">
        <v>3</v>
      </c>
      <c r="Z65">
        <v>4</v>
      </c>
      <c r="AA65">
        <v>80</v>
      </c>
      <c r="AB65">
        <v>0</v>
      </c>
      <c r="AC65" s="2">
        <v>28</v>
      </c>
      <c r="AD65">
        <v>3</v>
      </c>
      <c r="AE65">
        <v>2</v>
      </c>
      <c r="AF65" s="2">
        <v>21</v>
      </c>
      <c r="AG65">
        <v>16</v>
      </c>
      <c r="AH65">
        <v>7</v>
      </c>
      <c r="AI65">
        <v>9</v>
      </c>
      <c r="AJ65" s="2" t="str">
        <f>IF(A65 A65 &lt;= 25, "18-25", IF(A65 &lt;=35, "26-35", IF(A65 &lt;=45, "36-45", IF(Table3[[#This Row],[Age]] &lt;=55, "46-55", "56+"))))</f>
        <v>56+</v>
      </c>
      <c r="AK65" t="str">
        <f t="shared" si="0"/>
        <v>Medium</v>
      </c>
      <c r="AL65" s="2" t="str">
        <f>IF(AF65 &lt; 3, "0-2 Years", IF(AF65 &lt;= 5, "3-5 Years", IF(AF65 &lt;= 10, "6-10 Years",IF(Table3[[#This Row],[Years At Company]]&lt;=20, "11-20 Years","20+ Years"))))</f>
        <v>20+ Years</v>
      </c>
    </row>
    <row r="66" spans="1:38" x14ac:dyDescent="0.25">
      <c r="A66" s="2">
        <v>36</v>
      </c>
      <c r="B66" t="s">
        <v>43</v>
      </c>
      <c r="C66" t="s">
        <v>36</v>
      </c>
      <c r="D66" s="2">
        <v>1223</v>
      </c>
      <c r="E66" t="s">
        <v>45</v>
      </c>
      <c r="F66" s="2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 s="2">
        <v>10096</v>
      </c>
      <c r="T66">
        <v>8202</v>
      </c>
      <c r="U66">
        <v>1</v>
      </c>
      <c r="V66" t="s">
        <v>42</v>
      </c>
      <c r="W66" t="s">
        <v>43</v>
      </c>
      <c r="X66" s="2">
        <v>13</v>
      </c>
      <c r="Y66">
        <v>3</v>
      </c>
      <c r="Z66">
        <v>2</v>
      </c>
      <c r="AA66">
        <v>80</v>
      </c>
      <c r="AB66">
        <v>3</v>
      </c>
      <c r="AC66" s="2">
        <v>17</v>
      </c>
      <c r="AD66">
        <v>2</v>
      </c>
      <c r="AE66">
        <v>3</v>
      </c>
      <c r="AF66" s="2">
        <v>17</v>
      </c>
      <c r="AG66">
        <v>14</v>
      </c>
      <c r="AH66">
        <v>12</v>
      </c>
      <c r="AI66">
        <v>8</v>
      </c>
      <c r="AJ66" s="2" t="str">
        <f>IF(A66 A66 &lt;= 25, "18-25", IF(A66 &lt;=35, "26-35", IF(A66 &lt;=45, "36-45", IF(Table3[[#This Row],[Age]] &lt;=55, "46-55", "56+"))))</f>
        <v>36-45</v>
      </c>
      <c r="AK66" t="str">
        <f t="shared" ref="AK66:AK129" si="1">IF(S66 &lt; 5000, "Low",IF(S66 &lt;=9999, "Medium", "High"))</f>
        <v>High</v>
      </c>
      <c r="AL66" s="2" t="str">
        <f>IF(AF66 &lt; 3, "0-2 Years", IF(AF66 &lt;= 5, "3-5 Years", IF(AF66 &lt;= 10, "6-10 Years",IF(Table3[[#This Row],[Years At Company]]&lt;=20, "11-20 Years","20+ Years"))))</f>
        <v>11-20 Years</v>
      </c>
    </row>
    <row r="67" spans="1:38" x14ac:dyDescent="0.25">
      <c r="A67" s="2">
        <v>55</v>
      </c>
      <c r="B67" t="s">
        <v>43</v>
      </c>
      <c r="C67" t="s">
        <v>36</v>
      </c>
      <c r="D67" s="2">
        <v>836</v>
      </c>
      <c r="E67" t="s">
        <v>45</v>
      </c>
      <c r="F67" s="2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 s="2">
        <v>14756</v>
      </c>
      <c r="T67">
        <v>19730</v>
      </c>
      <c r="U67">
        <v>2</v>
      </c>
      <c r="V67" t="s">
        <v>42</v>
      </c>
      <c r="W67" t="s">
        <v>35</v>
      </c>
      <c r="X67" s="2">
        <v>14</v>
      </c>
      <c r="Y67">
        <v>3</v>
      </c>
      <c r="Z67">
        <v>3</v>
      </c>
      <c r="AA67">
        <v>80</v>
      </c>
      <c r="AB67">
        <v>3</v>
      </c>
      <c r="AC67" s="2">
        <v>21</v>
      </c>
      <c r="AD67">
        <v>2</v>
      </c>
      <c r="AE67">
        <v>3</v>
      </c>
      <c r="AF67" s="2">
        <v>5</v>
      </c>
      <c r="AG67">
        <v>0</v>
      </c>
      <c r="AH67">
        <v>0</v>
      </c>
      <c r="AI67">
        <v>2</v>
      </c>
      <c r="AJ67" s="2" t="str">
        <f>IF(A67 A67 &lt;= 25, "18-25", IF(A67 &lt;=35, "26-35", IF(A67 &lt;=45, "36-45", IF(Table3[[#This Row],[Age]] &lt;=55, "46-55", "56+"))))</f>
        <v>46-55</v>
      </c>
      <c r="AK67" t="str">
        <f t="shared" si="1"/>
        <v>High</v>
      </c>
      <c r="AL67" s="2" t="str">
        <f>IF(AF67 &lt; 3, "0-2 Years", IF(AF67 &lt;= 5, "3-5 Years", IF(AF67 &lt;= 10, "6-10 Years",IF(Table3[[#This Row],[Years At Company]]&lt;=20, "11-20 Years","20+ Years"))))</f>
        <v>3-5 Years</v>
      </c>
    </row>
    <row r="68" spans="1:38" x14ac:dyDescent="0.25">
      <c r="A68" s="2">
        <v>36</v>
      </c>
      <c r="B68" t="s">
        <v>43</v>
      </c>
      <c r="C68" t="s">
        <v>44</v>
      </c>
      <c r="D68" s="2">
        <v>1195</v>
      </c>
      <c r="E68" t="s">
        <v>45</v>
      </c>
      <c r="F68" s="2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 s="2">
        <v>6499</v>
      </c>
      <c r="T68">
        <v>22656</v>
      </c>
      <c r="U68">
        <v>1</v>
      </c>
      <c r="V68" t="s">
        <v>42</v>
      </c>
      <c r="W68" t="s">
        <v>43</v>
      </c>
      <c r="X68" s="2">
        <v>13</v>
      </c>
      <c r="Y68">
        <v>3</v>
      </c>
      <c r="Z68">
        <v>3</v>
      </c>
      <c r="AA68">
        <v>80</v>
      </c>
      <c r="AB68">
        <v>0</v>
      </c>
      <c r="AC68" s="2">
        <v>6</v>
      </c>
      <c r="AD68">
        <v>3</v>
      </c>
      <c r="AE68">
        <v>3</v>
      </c>
      <c r="AF68" s="2">
        <v>6</v>
      </c>
      <c r="AG68">
        <v>5</v>
      </c>
      <c r="AH68">
        <v>0</v>
      </c>
      <c r="AI68">
        <v>3</v>
      </c>
      <c r="AJ68" s="2" t="str">
        <f>IF(A68 A68 &lt;= 25, "18-25", IF(A68 &lt;=35, "26-35", IF(A68 &lt;=45, "36-45", IF(Table3[[#This Row],[Age]] &lt;=55, "46-55", "56+"))))</f>
        <v>36-45</v>
      </c>
      <c r="AK68" t="str">
        <f t="shared" si="1"/>
        <v>Medium</v>
      </c>
      <c r="AL68" s="2" t="str">
        <f>IF(AF68 &lt; 3, "0-2 Years", IF(AF68 &lt;= 5, "3-5 Years", IF(AF68 &lt;= 10, "6-10 Years",IF(Table3[[#This Row],[Years At Company]]&lt;=20, "11-20 Years","20+ Years"))))</f>
        <v>6-10 Years</v>
      </c>
    </row>
    <row r="69" spans="1:38" x14ac:dyDescent="0.25">
      <c r="A69" s="2">
        <v>45</v>
      </c>
      <c r="B69" t="s">
        <v>43</v>
      </c>
      <c r="C69" t="s">
        <v>36</v>
      </c>
      <c r="D69" s="2">
        <v>1339</v>
      </c>
      <c r="E69" t="s">
        <v>45</v>
      </c>
      <c r="F69" s="2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 s="2">
        <v>9724</v>
      </c>
      <c r="T69">
        <v>18787</v>
      </c>
      <c r="U69">
        <v>2</v>
      </c>
      <c r="V69" t="s">
        <v>42</v>
      </c>
      <c r="W69" t="s">
        <v>43</v>
      </c>
      <c r="X69" s="2">
        <v>17</v>
      </c>
      <c r="Y69">
        <v>3</v>
      </c>
      <c r="Z69">
        <v>3</v>
      </c>
      <c r="AA69">
        <v>80</v>
      </c>
      <c r="AB69">
        <v>1</v>
      </c>
      <c r="AC69" s="2">
        <v>25</v>
      </c>
      <c r="AD69">
        <v>2</v>
      </c>
      <c r="AE69">
        <v>3</v>
      </c>
      <c r="AF69" s="2">
        <v>1</v>
      </c>
      <c r="AG69">
        <v>0</v>
      </c>
      <c r="AH69">
        <v>0</v>
      </c>
      <c r="AI69">
        <v>0</v>
      </c>
      <c r="AJ69" s="2" t="str">
        <f>IF(A69 A69 &lt;= 25, "18-25", IF(A69 &lt;=35, "26-35", IF(A69 &lt;=45, "36-45", IF(Table3[[#This Row],[Age]] &lt;=55, "46-55", "56+"))))</f>
        <v>36-45</v>
      </c>
      <c r="AK69" t="str">
        <f t="shared" si="1"/>
        <v>Medium</v>
      </c>
      <c r="AL69" s="2" t="str">
        <f>IF(AF69 &lt; 3, "0-2 Years", IF(AF69 &lt;= 5, "3-5 Years", IF(AF69 &lt;= 10, "6-10 Years",IF(Table3[[#This Row],[Years At Company]]&lt;=20, "11-20 Years","20+ Years"))))</f>
        <v>0-2 Years</v>
      </c>
    </row>
    <row r="70" spans="1:38" x14ac:dyDescent="0.25">
      <c r="A70" s="2">
        <v>35</v>
      </c>
      <c r="B70" t="s">
        <v>43</v>
      </c>
      <c r="C70" t="s">
        <v>44</v>
      </c>
      <c r="D70" s="2">
        <v>664</v>
      </c>
      <c r="E70" t="s">
        <v>45</v>
      </c>
      <c r="F70" s="2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 s="2">
        <v>2194</v>
      </c>
      <c r="T70">
        <v>5868</v>
      </c>
      <c r="U70">
        <v>4</v>
      </c>
      <c r="V70" t="s">
        <v>42</v>
      </c>
      <c r="W70" t="s">
        <v>43</v>
      </c>
      <c r="X70" s="2">
        <v>13</v>
      </c>
      <c r="Y70">
        <v>3</v>
      </c>
      <c r="Z70">
        <v>4</v>
      </c>
      <c r="AA70">
        <v>80</v>
      </c>
      <c r="AB70">
        <v>1</v>
      </c>
      <c r="AC70" s="2">
        <v>5</v>
      </c>
      <c r="AD70">
        <v>2</v>
      </c>
      <c r="AE70">
        <v>2</v>
      </c>
      <c r="AF70" s="2">
        <v>3</v>
      </c>
      <c r="AG70">
        <v>2</v>
      </c>
      <c r="AH70">
        <v>1</v>
      </c>
      <c r="AI70">
        <v>2</v>
      </c>
      <c r="AJ70" s="2" t="str">
        <f>IF(A70 A70 &lt;= 25, "18-25", IF(A70 &lt;=35, "26-35", IF(A70 &lt;=45, "36-45", IF(Table3[[#This Row],[Age]] &lt;=55, "46-55", "56+"))))</f>
        <v>26-35</v>
      </c>
      <c r="AK70" t="str">
        <f t="shared" si="1"/>
        <v>Low</v>
      </c>
      <c r="AL70" s="2" t="str">
        <f>IF(AF70 &lt; 3, "0-2 Years", IF(AF70 &lt;= 5, "3-5 Years", IF(AF70 &lt;= 10, "6-10 Years",IF(Table3[[#This Row],[Years At Company]]&lt;=20, "11-20 Years","20+ Years"))))</f>
        <v>3-5 Years</v>
      </c>
    </row>
    <row r="71" spans="1:38" x14ac:dyDescent="0.25">
      <c r="A71" s="2">
        <v>36</v>
      </c>
      <c r="B71" t="s">
        <v>35</v>
      </c>
      <c r="C71" t="s">
        <v>36</v>
      </c>
      <c r="D71" s="2">
        <v>318</v>
      </c>
      <c r="E71" t="s">
        <v>45</v>
      </c>
      <c r="F71" s="2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 s="2">
        <v>3388</v>
      </c>
      <c r="T71">
        <v>21777</v>
      </c>
      <c r="U71">
        <v>0</v>
      </c>
      <c r="V71" t="s">
        <v>42</v>
      </c>
      <c r="W71" t="s">
        <v>35</v>
      </c>
      <c r="X71" s="2">
        <v>17</v>
      </c>
      <c r="Y71">
        <v>3</v>
      </c>
      <c r="Z71">
        <v>1</v>
      </c>
      <c r="AA71">
        <v>80</v>
      </c>
      <c r="AB71">
        <v>1</v>
      </c>
      <c r="AC71" s="2">
        <v>2</v>
      </c>
      <c r="AD71">
        <v>0</v>
      </c>
      <c r="AE71">
        <v>2</v>
      </c>
      <c r="AF71" s="2">
        <v>1</v>
      </c>
      <c r="AG71">
        <v>0</v>
      </c>
      <c r="AH71">
        <v>0</v>
      </c>
      <c r="AI71">
        <v>0</v>
      </c>
      <c r="AJ71" s="2" t="str">
        <f>IF(A71 A71 &lt;= 25, "18-25", IF(A71 &lt;=35, "26-35", IF(A71 &lt;=45, "36-45", IF(Table3[[#This Row],[Age]] &lt;=55, "46-55", "56+"))))</f>
        <v>36-45</v>
      </c>
      <c r="AK71" t="str">
        <f t="shared" si="1"/>
        <v>Low</v>
      </c>
      <c r="AL71" s="2" t="str">
        <f>IF(AF71 &lt; 3, "0-2 Years", IF(AF71 &lt;= 5, "3-5 Years", IF(AF71 &lt;= 10, "6-10 Years",IF(Table3[[#This Row],[Years At Company]]&lt;=20, "11-20 Years","20+ Years"))))</f>
        <v>0-2 Years</v>
      </c>
    </row>
    <row r="72" spans="1:38" x14ac:dyDescent="0.25">
      <c r="A72" s="2">
        <v>59</v>
      </c>
      <c r="B72" t="s">
        <v>43</v>
      </c>
      <c r="C72" t="s">
        <v>44</v>
      </c>
      <c r="D72" s="2">
        <v>1225</v>
      </c>
      <c r="E72" t="s">
        <v>37</v>
      </c>
      <c r="F72" s="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 s="2">
        <v>5473</v>
      </c>
      <c r="T72">
        <v>24668</v>
      </c>
      <c r="U72">
        <v>7</v>
      </c>
      <c r="V72" t="s">
        <v>42</v>
      </c>
      <c r="W72" t="s">
        <v>43</v>
      </c>
      <c r="X72" s="2">
        <v>11</v>
      </c>
      <c r="Y72">
        <v>3</v>
      </c>
      <c r="Z72">
        <v>4</v>
      </c>
      <c r="AA72">
        <v>80</v>
      </c>
      <c r="AB72">
        <v>0</v>
      </c>
      <c r="AC72" s="2">
        <v>20</v>
      </c>
      <c r="AD72">
        <v>2</v>
      </c>
      <c r="AE72">
        <v>2</v>
      </c>
      <c r="AF72" s="2">
        <v>4</v>
      </c>
      <c r="AG72">
        <v>3</v>
      </c>
      <c r="AH72">
        <v>1</v>
      </c>
      <c r="AI72">
        <v>3</v>
      </c>
      <c r="AJ72" s="2" t="str">
        <f>IF(A72 A72 &lt;= 25, "18-25", IF(A72 &lt;=35, "26-35", IF(A72 &lt;=45, "36-45", IF(Table3[[#This Row],[Age]] &lt;=55, "46-55", "56+"))))</f>
        <v>56+</v>
      </c>
      <c r="AK72" t="str">
        <f t="shared" si="1"/>
        <v>Medium</v>
      </c>
      <c r="AL72" s="2" t="str">
        <f>IF(AF72 &lt; 3, "0-2 Years", IF(AF72 &lt;= 5, "3-5 Years", IF(AF72 &lt;= 10, "6-10 Years",IF(Table3[[#This Row],[Years At Company]]&lt;=20, "11-20 Years","20+ Years"))))</f>
        <v>3-5 Years</v>
      </c>
    </row>
    <row r="73" spans="1:38" x14ac:dyDescent="0.25">
      <c r="A73" s="2">
        <v>29</v>
      </c>
      <c r="B73" t="s">
        <v>43</v>
      </c>
      <c r="C73" t="s">
        <v>36</v>
      </c>
      <c r="D73" s="2">
        <v>1328</v>
      </c>
      <c r="E73" t="s">
        <v>45</v>
      </c>
      <c r="F73" s="2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 s="2">
        <v>2703</v>
      </c>
      <c r="T73">
        <v>4956</v>
      </c>
      <c r="U73">
        <v>0</v>
      </c>
      <c r="V73" t="s">
        <v>42</v>
      </c>
      <c r="W73" t="s">
        <v>43</v>
      </c>
      <c r="X73" s="2">
        <v>23</v>
      </c>
      <c r="Y73">
        <v>4</v>
      </c>
      <c r="Z73">
        <v>4</v>
      </c>
      <c r="AA73">
        <v>80</v>
      </c>
      <c r="AB73">
        <v>1</v>
      </c>
      <c r="AC73" s="2">
        <v>6</v>
      </c>
      <c r="AD73">
        <v>3</v>
      </c>
      <c r="AE73">
        <v>3</v>
      </c>
      <c r="AF73" s="2">
        <v>5</v>
      </c>
      <c r="AG73">
        <v>4</v>
      </c>
      <c r="AH73">
        <v>0</v>
      </c>
      <c r="AI73">
        <v>4</v>
      </c>
      <c r="AJ73" s="2" t="str">
        <f>IF(A73 A73 &lt;= 25, "18-25", IF(A73 &lt;=35, "26-35", IF(A73 &lt;=45, "36-45", IF(Table3[[#This Row],[Age]] &lt;=55, "46-55", "56+"))))</f>
        <v>26-35</v>
      </c>
      <c r="AK73" t="str">
        <f t="shared" si="1"/>
        <v>Low</v>
      </c>
      <c r="AL73" s="2" t="str">
        <f>IF(AF73 &lt; 3, "0-2 Years", IF(AF73 &lt;= 5, "3-5 Years", IF(AF73 &lt;= 10, "6-10 Years",IF(Table3[[#This Row],[Years At Company]]&lt;=20, "11-20 Years","20+ Years"))))</f>
        <v>3-5 Years</v>
      </c>
    </row>
    <row r="74" spans="1:38" x14ac:dyDescent="0.25">
      <c r="A74" s="2">
        <v>31</v>
      </c>
      <c r="B74" t="s">
        <v>43</v>
      </c>
      <c r="C74" t="s">
        <v>36</v>
      </c>
      <c r="D74" s="2">
        <v>1082</v>
      </c>
      <c r="E74" t="s">
        <v>45</v>
      </c>
      <c r="F74" s="2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 s="2">
        <v>2501</v>
      </c>
      <c r="T74">
        <v>18775</v>
      </c>
      <c r="U74">
        <v>1</v>
      </c>
      <c r="V74" t="s">
        <v>42</v>
      </c>
      <c r="W74" t="s">
        <v>43</v>
      </c>
      <c r="X74" s="2">
        <v>17</v>
      </c>
      <c r="Y74">
        <v>3</v>
      </c>
      <c r="Z74">
        <v>2</v>
      </c>
      <c r="AA74">
        <v>80</v>
      </c>
      <c r="AB74">
        <v>0</v>
      </c>
      <c r="AC74" s="2">
        <v>1</v>
      </c>
      <c r="AD74">
        <v>4</v>
      </c>
      <c r="AE74">
        <v>3</v>
      </c>
      <c r="AF74" s="2">
        <v>1</v>
      </c>
      <c r="AG74">
        <v>1</v>
      </c>
      <c r="AH74">
        <v>1</v>
      </c>
      <c r="AI74">
        <v>0</v>
      </c>
      <c r="AJ74" s="2" t="str">
        <f>IF(A74 A74 &lt;= 25, "18-25", IF(A74 &lt;=35, "26-35", IF(A74 &lt;=45, "36-45", IF(Table3[[#This Row],[Age]] &lt;=55, "46-55", "56+"))))</f>
        <v>26-35</v>
      </c>
      <c r="AK74" t="str">
        <f t="shared" si="1"/>
        <v>Low</v>
      </c>
      <c r="AL74" s="2" t="str">
        <f>IF(AF74 &lt; 3, "0-2 Years", IF(AF74 &lt;= 5, "3-5 Years", IF(AF74 &lt;= 10, "6-10 Years",IF(Table3[[#This Row],[Years At Company]]&lt;=20, "11-20 Years","20+ Years"))))</f>
        <v>0-2 Years</v>
      </c>
    </row>
    <row r="75" spans="1:38" x14ac:dyDescent="0.25">
      <c r="A75" s="2">
        <v>32</v>
      </c>
      <c r="B75" t="s">
        <v>43</v>
      </c>
      <c r="C75" t="s">
        <v>36</v>
      </c>
      <c r="D75" s="2">
        <v>548</v>
      </c>
      <c r="E75" t="s">
        <v>45</v>
      </c>
      <c r="F75" s="2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 s="2">
        <v>6220</v>
      </c>
      <c r="T75">
        <v>7346</v>
      </c>
      <c r="U75">
        <v>1</v>
      </c>
      <c r="V75" t="s">
        <v>42</v>
      </c>
      <c r="W75" t="s">
        <v>43</v>
      </c>
      <c r="X75" s="2">
        <v>17</v>
      </c>
      <c r="Y75">
        <v>3</v>
      </c>
      <c r="Z75">
        <v>2</v>
      </c>
      <c r="AA75">
        <v>80</v>
      </c>
      <c r="AB75">
        <v>2</v>
      </c>
      <c r="AC75" s="2">
        <v>10</v>
      </c>
      <c r="AD75">
        <v>3</v>
      </c>
      <c r="AE75">
        <v>3</v>
      </c>
      <c r="AF75" s="2">
        <v>10</v>
      </c>
      <c r="AG75">
        <v>4</v>
      </c>
      <c r="AH75">
        <v>0</v>
      </c>
      <c r="AI75">
        <v>9</v>
      </c>
      <c r="AJ75" s="2" t="str">
        <f>IF(A75 A75 &lt;= 25, "18-25", IF(A75 &lt;=35, "26-35", IF(A75 &lt;=45, "36-45", IF(Table3[[#This Row],[Age]] &lt;=55, "46-55", "56+"))))</f>
        <v>26-35</v>
      </c>
      <c r="AK75" t="str">
        <f t="shared" si="1"/>
        <v>Medium</v>
      </c>
      <c r="AL75" s="2" t="str">
        <f>IF(AF75 &lt; 3, "0-2 Years", IF(AF75 &lt;= 5, "3-5 Years", IF(AF75 &lt;= 10, "6-10 Years",IF(Table3[[#This Row],[Years At Company]]&lt;=20, "11-20 Years","20+ Years"))))</f>
        <v>6-10 Years</v>
      </c>
    </row>
    <row r="76" spans="1:38" x14ac:dyDescent="0.25">
      <c r="A76" s="2">
        <v>36</v>
      </c>
      <c r="B76" t="s">
        <v>43</v>
      </c>
      <c r="C76" t="s">
        <v>36</v>
      </c>
      <c r="D76" s="2">
        <v>132</v>
      </c>
      <c r="E76" t="s">
        <v>45</v>
      </c>
      <c r="F76" s="2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 s="2">
        <v>3038</v>
      </c>
      <c r="T76">
        <v>22002</v>
      </c>
      <c r="U76">
        <v>3</v>
      </c>
      <c r="V76" t="s">
        <v>42</v>
      </c>
      <c r="W76" t="s">
        <v>43</v>
      </c>
      <c r="X76" s="2">
        <v>12</v>
      </c>
      <c r="Y76">
        <v>3</v>
      </c>
      <c r="Z76">
        <v>2</v>
      </c>
      <c r="AA76">
        <v>80</v>
      </c>
      <c r="AB76">
        <v>0</v>
      </c>
      <c r="AC76" s="2">
        <v>5</v>
      </c>
      <c r="AD76">
        <v>3</v>
      </c>
      <c r="AE76">
        <v>3</v>
      </c>
      <c r="AF76" s="2">
        <v>1</v>
      </c>
      <c r="AG76">
        <v>0</v>
      </c>
      <c r="AH76">
        <v>0</v>
      </c>
      <c r="AI76">
        <v>0</v>
      </c>
      <c r="AJ76" s="2" t="str">
        <f>IF(A76 A76 &lt;= 25, "18-25", IF(A76 &lt;=35, "26-35", IF(A76 &lt;=45, "36-45", IF(Table3[[#This Row],[Age]] &lt;=55, "46-55", "56+"))))</f>
        <v>36-45</v>
      </c>
      <c r="AK76" t="str">
        <f t="shared" si="1"/>
        <v>Low</v>
      </c>
      <c r="AL76" s="2" t="str">
        <f>IF(AF76 &lt; 3, "0-2 Years", IF(AF76 &lt;= 5, "3-5 Years", IF(AF76 &lt;= 10, "6-10 Years",IF(Table3[[#This Row],[Years At Company]]&lt;=20, "11-20 Years","20+ Years"))))</f>
        <v>0-2 Years</v>
      </c>
    </row>
    <row r="77" spans="1:38" x14ac:dyDescent="0.25">
      <c r="A77" s="2">
        <v>31</v>
      </c>
      <c r="B77" t="s">
        <v>43</v>
      </c>
      <c r="C77" t="s">
        <v>36</v>
      </c>
      <c r="D77" s="2">
        <v>746</v>
      </c>
      <c r="E77" t="s">
        <v>45</v>
      </c>
      <c r="F77" s="2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 s="2">
        <v>4424</v>
      </c>
      <c r="T77">
        <v>20682</v>
      </c>
      <c r="U77">
        <v>1</v>
      </c>
      <c r="V77" t="s">
        <v>42</v>
      </c>
      <c r="W77" t="s">
        <v>43</v>
      </c>
      <c r="X77" s="2">
        <v>23</v>
      </c>
      <c r="Y77">
        <v>4</v>
      </c>
      <c r="Z77">
        <v>4</v>
      </c>
      <c r="AA77">
        <v>80</v>
      </c>
      <c r="AB77">
        <v>0</v>
      </c>
      <c r="AC77" s="2">
        <v>11</v>
      </c>
      <c r="AD77">
        <v>2</v>
      </c>
      <c r="AE77">
        <v>3</v>
      </c>
      <c r="AF77" s="2">
        <v>11</v>
      </c>
      <c r="AG77">
        <v>7</v>
      </c>
      <c r="AH77">
        <v>1</v>
      </c>
      <c r="AI77">
        <v>8</v>
      </c>
      <c r="AJ77" s="2" t="str">
        <f>IF(A77 A77 &lt;= 25, "18-25", IF(A77 &lt;=35, "26-35", IF(A77 &lt;=45, "36-45", IF(Table3[[#This Row],[Age]] &lt;=55, "46-55", "56+"))))</f>
        <v>26-35</v>
      </c>
      <c r="AK77" t="str">
        <f t="shared" si="1"/>
        <v>Low</v>
      </c>
      <c r="AL77" s="2" t="str">
        <f>IF(AF77 &lt; 3, "0-2 Years", IF(AF77 &lt;= 5, "3-5 Years", IF(AF77 &lt;= 10, "6-10 Years",IF(Table3[[#This Row],[Years At Company]]&lt;=20, "11-20 Years","20+ Years"))))</f>
        <v>11-20 Years</v>
      </c>
    </row>
    <row r="78" spans="1:38" x14ac:dyDescent="0.25">
      <c r="A78" s="2">
        <v>35</v>
      </c>
      <c r="B78" t="s">
        <v>43</v>
      </c>
      <c r="C78" t="s">
        <v>36</v>
      </c>
      <c r="D78" s="2">
        <v>776</v>
      </c>
      <c r="E78" t="s">
        <v>37</v>
      </c>
      <c r="F78" s="2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 s="2">
        <v>4312</v>
      </c>
      <c r="T78">
        <v>23016</v>
      </c>
      <c r="U78">
        <v>0</v>
      </c>
      <c r="V78" t="s">
        <v>42</v>
      </c>
      <c r="W78" t="s">
        <v>43</v>
      </c>
      <c r="X78" s="2">
        <v>14</v>
      </c>
      <c r="Y78">
        <v>3</v>
      </c>
      <c r="Z78">
        <v>2</v>
      </c>
      <c r="AA78">
        <v>80</v>
      </c>
      <c r="AB78">
        <v>0</v>
      </c>
      <c r="AC78" s="2">
        <v>16</v>
      </c>
      <c r="AD78">
        <v>2</v>
      </c>
      <c r="AE78">
        <v>3</v>
      </c>
      <c r="AF78" s="2">
        <v>15</v>
      </c>
      <c r="AG78">
        <v>13</v>
      </c>
      <c r="AH78">
        <v>2</v>
      </c>
      <c r="AI78">
        <v>8</v>
      </c>
      <c r="AJ78" s="2" t="str">
        <f>IF(A78 A78 &lt;= 25, "18-25", IF(A78 &lt;=35, "26-35", IF(A78 &lt;=45, "36-45", IF(Table3[[#This Row],[Age]] &lt;=55, "46-55", "56+"))))</f>
        <v>26-35</v>
      </c>
      <c r="AK78" t="str">
        <f t="shared" si="1"/>
        <v>Low</v>
      </c>
      <c r="AL78" s="2" t="str">
        <f>IF(AF78 &lt; 3, "0-2 Years", IF(AF78 &lt;= 5, "3-5 Years", IF(AF78 &lt;= 10, "6-10 Years",IF(Table3[[#This Row],[Years At Company]]&lt;=20, "11-20 Years","20+ Years"))))</f>
        <v>11-20 Years</v>
      </c>
    </row>
    <row r="79" spans="1:38" x14ac:dyDescent="0.25">
      <c r="A79" s="2">
        <v>45</v>
      </c>
      <c r="B79" t="s">
        <v>43</v>
      </c>
      <c r="C79" t="s">
        <v>36</v>
      </c>
      <c r="D79" s="2">
        <v>193</v>
      </c>
      <c r="E79" t="s">
        <v>45</v>
      </c>
      <c r="F79" s="2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 s="2">
        <v>13245</v>
      </c>
      <c r="T79">
        <v>15067</v>
      </c>
      <c r="U79">
        <v>4</v>
      </c>
      <c r="V79" t="s">
        <v>42</v>
      </c>
      <c r="W79" t="s">
        <v>35</v>
      </c>
      <c r="X79" s="2">
        <v>14</v>
      </c>
      <c r="Y79">
        <v>3</v>
      </c>
      <c r="Z79">
        <v>2</v>
      </c>
      <c r="AA79">
        <v>80</v>
      </c>
      <c r="AB79">
        <v>0</v>
      </c>
      <c r="AC79" s="2">
        <v>17</v>
      </c>
      <c r="AD79">
        <v>3</v>
      </c>
      <c r="AE79">
        <v>4</v>
      </c>
      <c r="AF79" s="2">
        <v>0</v>
      </c>
      <c r="AG79">
        <v>0</v>
      </c>
      <c r="AH79">
        <v>0</v>
      </c>
      <c r="AI79">
        <v>0</v>
      </c>
      <c r="AJ79" s="2" t="str">
        <f>IF(A79 A79 &lt;= 25, "18-25", IF(A79 &lt;=35, "26-35", IF(A79 &lt;=45, "36-45", IF(Table3[[#This Row],[Age]] &lt;=55, "46-55", "56+"))))</f>
        <v>36-45</v>
      </c>
      <c r="AK79" t="str">
        <f t="shared" si="1"/>
        <v>High</v>
      </c>
      <c r="AL79" s="2" t="str">
        <f>IF(AF79 &lt; 3, "0-2 Years", IF(AF79 &lt;= 5, "3-5 Years", IF(AF79 &lt;= 10, "6-10 Years",IF(Table3[[#This Row],[Years At Company]]&lt;=20, "11-20 Years","20+ Years"))))</f>
        <v>0-2 Years</v>
      </c>
    </row>
    <row r="80" spans="1:38" x14ac:dyDescent="0.25">
      <c r="A80" s="2">
        <v>37</v>
      </c>
      <c r="B80" t="s">
        <v>43</v>
      </c>
      <c r="C80" t="s">
        <v>36</v>
      </c>
      <c r="D80" s="2">
        <v>397</v>
      </c>
      <c r="E80" t="s">
        <v>45</v>
      </c>
      <c r="F80" s="2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 s="2">
        <v>13664</v>
      </c>
      <c r="T80">
        <v>25258</v>
      </c>
      <c r="U80">
        <v>4</v>
      </c>
      <c r="V80" t="s">
        <v>42</v>
      </c>
      <c r="W80" t="s">
        <v>43</v>
      </c>
      <c r="X80" s="2">
        <v>13</v>
      </c>
      <c r="Y80">
        <v>3</v>
      </c>
      <c r="Z80">
        <v>1</v>
      </c>
      <c r="AA80">
        <v>80</v>
      </c>
      <c r="AB80">
        <v>0</v>
      </c>
      <c r="AC80" s="2">
        <v>16</v>
      </c>
      <c r="AD80">
        <v>3</v>
      </c>
      <c r="AE80">
        <v>4</v>
      </c>
      <c r="AF80" s="2">
        <v>5</v>
      </c>
      <c r="AG80">
        <v>2</v>
      </c>
      <c r="AH80">
        <v>0</v>
      </c>
      <c r="AI80">
        <v>2</v>
      </c>
      <c r="AJ80" s="2" t="str">
        <f>IF(A80 A80 &lt;= 25, "18-25", IF(A80 &lt;=35, "26-35", IF(A80 &lt;=45, "36-45", IF(Table3[[#This Row],[Age]] &lt;=55, "46-55", "56+"))))</f>
        <v>36-45</v>
      </c>
      <c r="AK80" t="str">
        <f t="shared" si="1"/>
        <v>High</v>
      </c>
      <c r="AL80" s="2" t="str">
        <f>IF(AF80 &lt; 3, "0-2 Years", IF(AF80 &lt;= 5, "3-5 Years", IF(AF80 &lt;= 10, "6-10 Years",IF(Table3[[#This Row],[Years At Company]]&lt;=20, "11-20 Years","20+ Years"))))</f>
        <v>3-5 Years</v>
      </c>
    </row>
    <row r="81" spans="1:38" x14ac:dyDescent="0.25">
      <c r="A81" s="2">
        <v>46</v>
      </c>
      <c r="B81" t="s">
        <v>43</v>
      </c>
      <c r="C81" t="s">
        <v>36</v>
      </c>
      <c r="D81" s="2">
        <v>945</v>
      </c>
      <c r="E81" t="s">
        <v>61</v>
      </c>
      <c r="F81" s="2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 s="2">
        <v>5021</v>
      </c>
      <c r="T81">
        <v>10425</v>
      </c>
      <c r="U81">
        <v>8</v>
      </c>
      <c r="V81" t="s">
        <v>42</v>
      </c>
      <c r="W81" t="s">
        <v>35</v>
      </c>
      <c r="X81" s="2">
        <v>22</v>
      </c>
      <c r="Y81">
        <v>4</v>
      </c>
      <c r="Z81">
        <v>4</v>
      </c>
      <c r="AA81">
        <v>80</v>
      </c>
      <c r="AB81">
        <v>1</v>
      </c>
      <c r="AC81" s="2">
        <v>16</v>
      </c>
      <c r="AD81">
        <v>2</v>
      </c>
      <c r="AE81">
        <v>3</v>
      </c>
      <c r="AF81" s="2">
        <v>4</v>
      </c>
      <c r="AG81">
        <v>2</v>
      </c>
      <c r="AH81">
        <v>0</v>
      </c>
      <c r="AI81">
        <v>2</v>
      </c>
      <c r="AJ81" s="2" t="str">
        <f>IF(A81 A81 &lt;= 25, "18-25", IF(A81 &lt;=35, "26-35", IF(A81 &lt;=45, "36-45", IF(Table3[[#This Row],[Age]] &lt;=55, "46-55", "56+"))))</f>
        <v>46-55</v>
      </c>
      <c r="AK81" t="str">
        <f t="shared" si="1"/>
        <v>Medium</v>
      </c>
      <c r="AL81" s="2" t="str">
        <f>IF(AF81 &lt; 3, "0-2 Years", IF(AF81 &lt;= 5, "3-5 Years", IF(AF81 &lt;= 10, "6-10 Years",IF(Table3[[#This Row],[Years At Company]]&lt;=20, "11-20 Years","20+ Years"))))</f>
        <v>3-5 Years</v>
      </c>
    </row>
    <row r="82" spans="1:38" x14ac:dyDescent="0.25">
      <c r="A82" s="2">
        <v>30</v>
      </c>
      <c r="B82" t="s">
        <v>43</v>
      </c>
      <c r="C82" t="s">
        <v>36</v>
      </c>
      <c r="D82" s="2">
        <v>852</v>
      </c>
      <c r="E82" t="s">
        <v>45</v>
      </c>
      <c r="F82" s="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 s="2">
        <v>5126</v>
      </c>
      <c r="T82">
        <v>15998</v>
      </c>
      <c r="U82">
        <v>1</v>
      </c>
      <c r="V82" t="s">
        <v>42</v>
      </c>
      <c r="W82" t="s">
        <v>35</v>
      </c>
      <c r="X82" s="2">
        <v>12</v>
      </c>
      <c r="Y82">
        <v>3</v>
      </c>
      <c r="Z82">
        <v>3</v>
      </c>
      <c r="AA82">
        <v>80</v>
      </c>
      <c r="AB82">
        <v>2</v>
      </c>
      <c r="AC82" s="2">
        <v>10</v>
      </c>
      <c r="AD82">
        <v>1</v>
      </c>
      <c r="AE82">
        <v>2</v>
      </c>
      <c r="AF82" s="2">
        <v>10</v>
      </c>
      <c r="AG82">
        <v>8</v>
      </c>
      <c r="AH82">
        <v>3</v>
      </c>
      <c r="AI82">
        <v>0</v>
      </c>
      <c r="AJ82" s="2" t="str">
        <f>IF(A82 A82 &lt;= 25, "18-25", IF(A82 &lt;=35, "26-35", IF(A82 &lt;=45, "36-45", IF(Table3[[#This Row],[Age]] &lt;=55, "46-55", "56+"))))</f>
        <v>26-35</v>
      </c>
      <c r="AK82" t="str">
        <f t="shared" si="1"/>
        <v>Medium</v>
      </c>
      <c r="AL82" s="2" t="str">
        <f>IF(AF82 &lt; 3, "0-2 Years", IF(AF82 &lt;= 5, "3-5 Years", IF(AF82 &lt;= 10, "6-10 Years",IF(Table3[[#This Row],[Years At Company]]&lt;=20, "11-20 Years","20+ Years"))))</f>
        <v>6-10 Years</v>
      </c>
    </row>
    <row r="83" spans="1:38" x14ac:dyDescent="0.25">
      <c r="A83" s="2">
        <v>35</v>
      </c>
      <c r="B83" t="s">
        <v>43</v>
      </c>
      <c r="C83" t="s">
        <v>36</v>
      </c>
      <c r="D83" s="2">
        <v>1214</v>
      </c>
      <c r="E83" t="s">
        <v>45</v>
      </c>
      <c r="F83" s="2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 s="2">
        <v>2859</v>
      </c>
      <c r="T83">
        <v>26278</v>
      </c>
      <c r="U83">
        <v>1</v>
      </c>
      <c r="V83" t="s">
        <v>42</v>
      </c>
      <c r="W83" t="s">
        <v>43</v>
      </c>
      <c r="X83" s="2">
        <v>18</v>
      </c>
      <c r="Y83">
        <v>3</v>
      </c>
      <c r="Z83">
        <v>1</v>
      </c>
      <c r="AA83">
        <v>80</v>
      </c>
      <c r="AB83">
        <v>0</v>
      </c>
      <c r="AC83" s="2">
        <v>6</v>
      </c>
      <c r="AD83">
        <v>3</v>
      </c>
      <c r="AE83">
        <v>3</v>
      </c>
      <c r="AF83" s="2">
        <v>6</v>
      </c>
      <c r="AG83">
        <v>4</v>
      </c>
      <c r="AH83">
        <v>0</v>
      </c>
      <c r="AI83">
        <v>4</v>
      </c>
      <c r="AJ83" s="2" t="str">
        <f>IF(A83 A83 &lt;= 25, "18-25", IF(A83 &lt;=35, "26-35", IF(A83 &lt;=45, "36-45", IF(Table3[[#This Row],[Age]] &lt;=55, "46-55", "56+"))))</f>
        <v>26-35</v>
      </c>
      <c r="AK83" t="str">
        <f t="shared" si="1"/>
        <v>Low</v>
      </c>
      <c r="AL83" s="2" t="str">
        <f>IF(AF83 &lt; 3, "0-2 Years", IF(AF83 &lt;= 5, "3-5 Years", IF(AF83 &lt;= 10, "6-10 Years",IF(Table3[[#This Row],[Years At Company]]&lt;=20, "11-20 Years","20+ Years"))))</f>
        <v>6-10 Years</v>
      </c>
    </row>
    <row r="84" spans="1:38" x14ac:dyDescent="0.25">
      <c r="A84" s="2">
        <v>55</v>
      </c>
      <c r="B84" t="s">
        <v>43</v>
      </c>
      <c r="C84" t="s">
        <v>36</v>
      </c>
      <c r="D84" s="2">
        <v>111</v>
      </c>
      <c r="E84" t="s">
        <v>37</v>
      </c>
      <c r="F84" s="2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 s="2">
        <v>10239</v>
      </c>
      <c r="T84">
        <v>18092</v>
      </c>
      <c r="U84">
        <v>3</v>
      </c>
      <c r="V84" t="s">
        <v>42</v>
      </c>
      <c r="W84" t="s">
        <v>43</v>
      </c>
      <c r="X84" s="2">
        <v>14</v>
      </c>
      <c r="Y84">
        <v>3</v>
      </c>
      <c r="Z84">
        <v>4</v>
      </c>
      <c r="AA84">
        <v>80</v>
      </c>
      <c r="AB84">
        <v>1</v>
      </c>
      <c r="AC84" s="2">
        <v>24</v>
      </c>
      <c r="AD84">
        <v>4</v>
      </c>
      <c r="AE84">
        <v>3</v>
      </c>
      <c r="AF84" s="2">
        <v>1</v>
      </c>
      <c r="AG84">
        <v>0</v>
      </c>
      <c r="AH84">
        <v>1</v>
      </c>
      <c r="AI84">
        <v>0</v>
      </c>
      <c r="AJ84" s="2" t="str">
        <f>IF(A84 A84 &lt;= 25, "18-25", IF(A84 &lt;=35, "26-35", IF(A84 &lt;=45, "36-45", IF(Table3[[#This Row],[Age]] &lt;=55, "46-55", "56+"))))</f>
        <v>46-55</v>
      </c>
      <c r="AK84" t="str">
        <f t="shared" si="1"/>
        <v>High</v>
      </c>
      <c r="AL84" s="2" t="str">
        <f>IF(AF84 &lt; 3, "0-2 Years", IF(AF84 &lt;= 5, "3-5 Years", IF(AF84 &lt;= 10, "6-10 Years",IF(Table3[[#This Row],[Years At Company]]&lt;=20, "11-20 Years","20+ Years"))))</f>
        <v>0-2 Years</v>
      </c>
    </row>
    <row r="85" spans="1:38" x14ac:dyDescent="0.25">
      <c r="A85" s="2">
        <v>38</v>
      </c>
      <c r="B85" t="s">
        <v>43</v>
      </c>
      <c r="C85" t="s">
        <v>55</v>
      </c>
      <c r="D85" s="2">
        <v>573</v>
      </c>
      <c r="E85" t="s">
        <v>45</v>
      </c>
      <c r="F85" s="2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 s="2">
        <v>5329</v>
      </c>
      <c r="T85">
        <v>15717</v>
      </c>
      <c r="U85">
        <v>7</v>
      </c>
      <c r="V85" t="s">
        <v>42</v>
      </c>
      <c r="W85" t="s">
        <v>35</v>
      </c>
      <c r="X85" s="2">
        <v>12</v>
      </c>
      <c r="Y85">
        <v>3</v>
      </c>
      <c r="Z85">
        <v>4</v>
      </c>
      <c r="AA85">
        <v>80</v>
      </c>
      <c r="AB85">
        <v>3</v>
      </c>
      <c r="AC85" s="2">
        <v>17</v>
      </c>
      <c r="AD85">
        <v>3</v>
      </c>
      <c r="AE85">
        <v>3</v>
      </c>
      <c r="AF85" s="2">
        <v>13</v>
      </c>
      <c r="AG85">
        <v>11</v>
      </c>
      <c r="AH85">
        <v>1</v>
      </c>
      <c r="AI85">
        <v>9</v>
      </c>
      <c r="AJ85" s="2" t="str">
        <f>IF(A85 A85 &lt;= 25, "18-25", IF(A85 &lt;=35, "26-35", IF(A85 &lt;=45, "36-45", IF(Table3[[#This Row],[Age]] &lt;=55, "46-55", "56+"))))</f>
        <v>36-45</v>
      </c>
      <c r="AK85" t="str">
        <f t="shared" si="1"/>
        <v>Medium</v>
      </c>
      <c r="AL85" s="2" t="str">
        <f>IF(AF85 &lt; 3, "0-2 Years", IF(AF85 &lt;= 5, "3-5 Years", IF(AF85 &lt;= 10, "6-10 Years",IF(Table3[[#This Row],[Years At Company]]&lt;=20, "11-20 Years","20+ Years"))))</f>
        <v>11-20 Years</v>
      </c>
    </row>
    <row r="86" spans="1:38" x14ac:dyDescent="0.25">
      <c r="A86" s="2">
        <v>34</v>
      </c>
      <c r="B86" t="s">
        <v>43</v>
      </c>
      <c r="C86" t="s">
        <v>36</v>
      </c>
      <c r="D86" s="2">
        <v>1153</v>
      </c>
      <c r="E86" t="s">
        <v>45</v>
      </c>
      <c r="F86" s="2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 s="2">
        <v>4325</v>
      </c>
      <c r="T86">
        <v>17736</v>
      </c>
      <c r="U86">
        <v>1</v>
      </c>
      <c r="V86" t="s">
        <v>42</v>
      </c>
      <c r="W86" t="s">
        <v>43</v>
      </c>
      <c r="X86" s="2">
        <v>15</v>
      </c>
      <c r="Y86">
        <v>3</v>
      </c>
      <c r="Z86">
        <v>3</v>
      </c>
      <c r="AA86">
        <v>80</v>
      </c>
      <c r="AB86">
        <v>0</v>
      </c>
      <c r="AC86" s="2">
        <v>5</v>
      </c>
      <c r="AD86">
        <v>2</v>
      </c>
      <c r="AE86">
        <v>3</v>
      </c>
      <c r="AF86" s="2">
        <v>5</v>
      </c>
      <c r="AG86">
        <v>2</v>
      </c>
      <c r="AH86">
        <v>1</v>
      </c>
      <c r="AI86">
        <v>3</v>
      </c>
      <c r="AJ86" s="2" t="str">
        <f>IF(A86 A86 &lt;= 25, "18-25", IF(A86 &lt;=35, "26-35", IF(A86 &lt;=45, "36-45", IF(Table3[[#This Row],[Age]] &lt;=55, "46-55", "56+"))))</f>
        <v>26-35</v>
      </c>
      <c r="AK86" t="str">
        <f t="shared" si="1"/>
        <v>Low</v>
      </c>
      <c r="AL86" s="2" t="str">
        <f>IF(AF86 &lt; 3, "0-2 Years", IF(AF86 &lt;= 5, "3-5 Years", IF(AF86 &lt;= 10, "6-10 Years",IF(Table3[[#This Row],[Years At Company]]&lt;=20, "11-20 Years","20+ Years"))))</f>
        <v>3-5 Years</v>
      </c>
    </row>
    <row r="87" spans="1:38" x14ac:dyDescent="0.25">
      <c r="A87" s="2">
        <v>56</v>
      </c>
      <c r="B87" t="s">
        <v>43</v>
      </c>
      <c r="C87" t="s">
        <v>36</v>
      </c>
      <c r="D87" s="2">
        <v>1400</v>
      </c>
      <c r="E87" t="s">
        <v>45</v>
      </c>
      <c r="F87" s="2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 s="2">
        <v>7260</v>
      </c>
      <c r="T87">
        <v>21698</v>
      </c>
      <c r="U87">
        <v>4</v>
      </c>
      <c r="V87" t="s">
        <v>42</v>
      </c>
      <c r="W87" t="s">
        <v>43</v>
      </c>
      <c r="X87" s="2">
        <v>11</v>
      </c>
      <c r="Y87">
        <v>3</v>
      </c>
      <c r="Z87">
        <v>1</v>
      </c>
      <c r="AA87">
        <v>80</v>
      </c>
      <c r="AB87">
        <v>0</v>
      </c>
      <c r="AC87" s="2">
        <v>37</v>
      </c>
      <c r="AD87">
        <v>3</v>
      </c>
      <c r="AE87">
        <v>2</v>
      </c>
      <c r="AF87" s="2">
        <v>6</v>
      </c>
      <c r="AG87">
        <v>4</v>
      </c>
      <c r="AH87">
        <v>0</v>
      </c>
      <c r="AI87">
        <v>2</v>
      </c>
      <c r="AJ87" s="2" t="str">
        <f>IF(A87 A87 &lt;= 25, "18-25", IF(A87 &lt;=35, "26-35", IF(A87 &lt;=45, "36-45", IF(Table3[[#This Row],[Age]] &lt;=55, "46-55", "56+"))))</f>
        <v>56+</v>
      </c>
      <c r="AK87" t="str">
        <f t="shared" si="1"/>
        <v>Medium</v>
      </c>
      <c r="AL87" s="2" t="str">
        <f>IF(AF87 &lt; 3, "0-2 Years", IF(AF87 &lt;= 5, "3-5 Years", IF(AF87 &lt;= 10, "6-10 Years",IF(Table3[[#This Row],[Years At Company]]&lt;=20, "11-20 Years","20+ Years"))))</f>
        <v>6-10 Years</v>
      </c>
    </row>
    <row r="88" spans="1:38" x14ac:dyDescent="0.25">
      <c r="A88" s="2">
        <v>23</v>
      </c>
      <c r="B88" t="s">
        <v>43</v>
      </c>
      <c r="C88" t="s">
        <v>36</v>
      </c>
      <c r="D88" s="2">
        <v>541</v>
      </c>
      <c r="E88" t="s">
        <v>37</v>
      </c>
      <c r="F88" s="2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 s="2">
        <v>2322</v>
      </c>
      <c r="T88">
        <v>9518</v>
      </c>
      <c r="U88">
        <v>3</v>
      </c>
      <c r="V88" t="s">
        <v>42</v>
      </c>
      <c r="W88" t="s">
        <v>43</v>
      </c>
      <c r="X88" s="2">
        <v>13</v>
      </c>
      <c r="Y88">
        <v>3</v>
      </c>
      <c r="Z88">
        <v>3</v>
      </c>
      <c r="AA88">
        <v>80</v>
      </c>
      <c r="AB88">
        <v>1</v>
      </c>
      <c r="AC88" s="2">
        <v>3</v>
      </c>
      <c r="AD88">
        <v>3</v>
      </c>
      <c r="AE88">
        <v>3</v>
      </c>
      <c r="AF88" s="2">
        <v>0</v>
      </c>
      <c r="AG88">
        <v>0</v>
      </c>
      <c r="AH88">
        <v>0</v>
      </c>
      <c r="AI88">
        <v>0</v>
      </c>
      <c r="AJ88" s="2" t="str">
        <f>IF(A88 A88 &lt;= 25, "18-25", IF(A88 &lt;=35, "26-35", IF(A88 &lt;=45, "36-45", IF(Table3[[#This Row],[Age]] &lt;=55, "46-55", "56+"))))</f>
        <v>18-25</v>
      </c>
      <c r="AK88" t="str">
        <f t="shared" si="1"/>
        <v>Low</v>
      </c>
      <c r="AL88" s="2" t="str">
        <f>IF(AF88 &lt; 3, "0-2 Years", IF(AF88 &lt;= 5, "3-5 Years", IF(AF88 &lt;= 10, "6-10 Years",IF(Table3[[#This Row],[Years At Company]]&lt;=20, "11-20 Years","20+ Years"))))</f>
        <v>0-2 Years</v>
      </c>
    </row>
    <row r="89" spans="1:38" x14ac:dyDescent="0.25">
      <c r="A89" s="2">
        <v>51</v>
      </c>
      <c r="B89" t="s">
        <v>43</v>
      </c>
      <c r="C89" t="s">
        <v>36</v>
      </c>
      <c r="D89" s="2">
        <v>432</v>
      </c>
      <c r="E89" t="s">
        <v>45</v>
      </c>
      <c r="F89" s="2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 s="2">
        <v>2075</v>
      </c>
      <c r="T89">
        <v>18725</v>
      </c>
      <c r="U89">
        <v>3</v>
      </c>
      <c r="V89" t="s">
        <v>42</v>
      </c>
      <c r="W89" t="s">
        <v>43</v>
      </c>
      <c r="X89" s="2">
        <v>23</v>
      </c>
      <c r="Y89">
        <v>4</v>
      </c>
      <c r="Z89">
        <v>2</v>
      </c>
      <c r="AA89">
        <v>80</v>
      </c>
      <c r="AB89">
        <v>2</v>
      </c>
      <c r="AC89" s="2">
        <v>10</v>
      </c>
      <c r="AD89">
        <v>4</v>
      </c>
      <c r="AE89">
        <v>3</v>
      </c>
      <c r="AF89" s="2">
        <v>4</v>
      </c>
      <c r="AG89">
        <v>2</v>
      </c>
      <c r="AH89">
        <v>0</v>
      </c>
      <c r="AI89">
        <v>3</v>
      </c>
      <c r="AJ89" s="2" t="str">
        <f>IF(A89 A89 &lt;= 25, "18-25", IF(A89 &lt;=35, "26-35", IF(A89 &lt;=45, "36-45", IF(Table3[[#This Row],[Age]] &lt;=55, "46-55", "56+"))))</f>
        <v>46-55</v>
      </c>
      <c r="AK89" t="str">
        <f t="shared" si="1"/>
        <v>Low</v>
      </c>
      <c r="AL89" s="2" t="str">
        <f>IF(AF89 &lt; 3, "0-2 Years", IF(AF89 &lt;= 5, "3-5 Years", IF(AF89 &lt;= 10, "6-10 Years",IF(Table3[[#This Row],[Years At Company]]&lt;=20, "11-20 Years","20+ Years"))))</f>
        <v>3-5 Years</v>
      </c>
    </row>
    <row r="90" spans="1:38" x14ac:dyDescent="0.25">
      <c r="A90" s="2">
        <v>30</v>
      </c>
      <c r="B90" t="s">
        <v>43</v>
      </c>
      <c r="C90" t="s">
        <v>36</v>
      </c>
      <c r="D90" s="2">
        <v>288</v>
      </c>
      <c r="E90" t="s">
        <v>45</v>
      </c>
      <c r="F90" s="2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 s="2">
        <v>4152</v>
      </c>
      <c r="T90">
        <v>15830</v>
      </c>
      <c r="U90">
        <v>1</v>
      </c>
      <c r="V90" t="s">
        <v>42</v>
      </c>
      <c r="W90" t="s">
        <v>43</v>
      </c>
      <c r="X90" s="2">
        <v>19</v>
      </c>
      <c r="Y90">
        <v>3</v>
      </c>
      <c r="Z90">
        <v>1</v>
      </c>
      <c r="AA90">
        <v>80</v>
      </c>
      <c r="AB90">
        <v>3</v>
      </c>
      <c r="AC90" s="2">
        <v>11</v>
      </c>
      <c r="AD90">
        <v>3</v>
      </c>
      <c r="AE90">
        <v>3</v>
      </c>
      <c r="AF90" s="2">
        <v>11</v>
      </c>
      <c r="AG90">
        <v>10</v>
      </c>
      <c r="AH90">
        <v>10</v>
      </c>
      <c r="AI90">
        <v>8</v>
      </c>
      <c r="AJ90" s="2" t="str">
        <f>IF(A90 A90 &lt;= 25, "18-25", IF(A90 &lt;=35, "26-35", IF(A90 &lt;=45, "36-45", IF(Table3[[#This Row],[Age]] &lt;=55, "46-55", "56+"))))</f>
        <v>26-35</v>
      </c>
      <c r="AK90" t="str">
        <f t="shared" si="1"/>
        <v>Low</v>
      </c>
      <c r="AL90" s="2" t="str">
        <f>IF(AF90 &lt; 3, "0-2 Years", IF(AF90 &lt;= 5, "3-5 Years", IF(AF90 &lt;= 10, "6-10 Years",IF(Table3[[#This Row],[Years At Company]]&lt;=20, "11-20 Years","20+ Years"))))</f>
        <v>11-20 Years</v>
      </c>
    </row>
    <row r="91" spans="1:38" x14ac:dyDescent="0.25">
      <c r="A91" s="2">
        <v>46</v>
      </c>
      <c r="B91" t="s">
        <v>35</v>
      </c>
      <c r="C91" t="s">
        <v>36</v>
      </c>
      <c r="D91" s="2">
        <v>669</v>
      </c>
      <c r="E91" t="s">
        <v>37</v>
      </c>
      <c r="F91" s="2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 s="2">
        <v>9619</v>
      </c>
      <c r="T91">
        <v>13596</v>
      </c>
      <c r="U91">
        <v>1</v>
      </c>
      <c r="V91" t="s">
        <v>42</v>
      </c>
      <c r="W91" t="s">
        <v>43</v>
      </c>
      <c r="X91" s="2">
        <v>16</v>
      </c>
      <c r="Y91">
        <v>3</v>
      </c>
      <c r="Z91">
        <v>4</v>
      </c>
      <c r="AA91">
        <v>80</v>
      </c>
      <c r="AB91">
        <v>0</v>
      </c>
      <c r="AC91" s="2">
        <v>9</v>
      </c>
      <c r="AD91">
        <v>3</v>
      </c>
      <c r="AE91">
        <v>3</v>
      </c>
      <c r="AF91" s="2">
        <v>9</v>
      </c>
      <c r="AG91">
        <v>8</v>
      </c>
      <c r="AH91">
        <v>4</v>
      </c>
      <c r="AI91">
        <v>7</v>
      </c>
      <c r="AJ91" s="2" t="str">
        <f>IF(A91 A91 &lt;= 25, "18-25", IF(A91 &lt;=35, "26-35", IF(A91 &lt;=45, "36-45", IF(Table3[[#This Row],[Age]] &lt;=55, "46-55", "56+"))))</f>
        <v>46-55</v>
      </c>
      <c r="AK91" t="str">
        <f t="shared" si="1"/>
        <v>Medium</v>
      </c>
      <c r="AL91" s="2" t="str">
        <f>IF(AF91 &lt; 3, "0-2 Years", IF(AF91 &lt;= 5, "3-5 Years", IF(AF91 &lt;= 10, "6-10 Years",IF(Table3[[#This Row],[Years At Company]]&lt;=20, "11-20 Years","20+ Years"))))</f>
        <v>6-10 Years</v>
      </c>
    </row>
    <row r="92" spans="1:38" x14ac:dyDescent="0.25">
      <c r="A92" s="2">
        <v>40</v>
      </c>
      <c r="B92" t="s">
        <v>43</v>
      </c>
      <c r="C92" t="s">
        <v>44</v>
      </c>
      <c r="D92" s="2">
        <v>530</v>
      </c>
      <c r="E92" t="s">
        <v>45</v>
      </c>
      <c r="F92" s="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 s="2">
        <v>13503</v>
      </c>
      <c r="T92">
        <v>14115</v>
      </c>
      <c r="U92">
        <v>1</v>
      </c>
      <c r="V92" t="s">
        <v>42</v>
      </c>
      <c r="W92" t="s">
        <v>43</v>
      </c>
      <c r="X92" s="2">
        <v>22</v>
      </c>
      <c r="Y92">
        <v>4</v>
      </c>
      <c r="Z92">
        <v>4</v>
      </c>
      <c r="AA92">
        <v>80</v>
      </c>
      <c r="AB92">
        <v>1</v>
      </c>
      <c r="AC92" s="2">
        <v>22</v>
      </c>
      <c r="AD92">
        <v>3</v>
      </c>
      <c r="AE92">
        <v>2</v>
      </c>
      <c r="AF92" s="2">
        <v>22</v>
      </c>
      <c r="AG92">
        <v>3</v>
      </c>
      <c r="AH92">
        <v>11</v>
      </c>
      <c r="AI92">
        <v>11</v>
      </c>
      <c r="AJ92" s="2" t="str">
        <f>IF(A92 A92 &lt;= 25, "18-25", IF(A92 &lt;=35, "26-35", IF(A92 &lt;=45, "36-45", IF(Table3[[#This Row],[Age]] &lt;=55, "46-55", "56+"))))</f>
        <v>36-45</v>
      </c>
      <c r="AK92" t="str">
        <f t="shared" si="1"/>
        <v>High</v>
      </c>
      <c r="AL92" s="2" t="str">
        <f>IF(AF92 &lt; 3, "0-2 Years", IF(AF92 &lt;= 5, "3-5 Years", IF(AF92 &lt;= 10, "6-10 Years",IF(Table3[[#This Row],[Years At Company]]&lt;=20, "11-20 Years","20+ Years"))))</f>
        <v>20+ Years</v>
      </c>
    </row>
    <row r="93" spans="1:38" x14ac:dyDescent="0.25">
      <c r="A93" s="2">
        <v>51</v>
      </c>
      <c r="B93" t="s">
        <v>43</v>
      </c>
      <c r="C93" t="s">
        <v>36</v>
      </c>
      <c r="D93" s="2">
        <v>632</v>
      </c>
      <c r="E93" t="s">
        <v>37</v>
      </c>
      <c r="F93" s="2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 s="2">
        <v>5441</v>
      </c>
      <c r="T93">
        <v>8423</v>
      </c>
      <c r="U93">
        <v>0</v>
      </c>
      <c r="V93" t="s">
        <v>42</v>
      </c>
      <c r="W93" t="s">
        <v>35</v>
      </c>
      <c r="X93" s="2">
        <v>22</v>
      </c>
      <c r="Y93">
        <v>4</v>
      </c>
      <c r="Z93">
        <v>4</v>
      </c>
      <c r="AA93">
        <v>80</v>
      </c>
      <c r="AB93">
        <v>0</v>
      </c>
      <c r="AC93" s="2">
        <v>11</v>
      </c>
      <c r="AD93">
        <v>2</v>
      </c>
      <c r="AE93">
        <v>1</v>
      </c>
      <c r="AF93" s="2">
        <v>10</v>
      </c>
      <c r="AG93">
        <v>7</v>
      </c>
      <c r="AH93">
        <v>1</v>
      </c>
      <c r="AI93">
        <v>0</v>
      </c>
      <c r="AJ93" s="2" t="str">
        <f>IF(A93 A93 &lt;= 25, "18-25", IF(A93 &lt;=35, "26-35", IF(A93 &lt;=45, "36-45", IF(Table3[[#This Row],[Age]] &lt;=55, "46-55", "56+"))))</f>
        <v>46-55</v>
      </c>
      <c r="AK93" t="str">
        <f t="shared" si="1"/>
        <v>Medium</v>
      </c>
      <c r="AL93" s="2" t="str">
        <f>IF(AF93 &lt; 3, "0-2 Years", IF(AF93 &lt;= 5, "3-5 Years", IF(AF93 &lt;= 10, "6-10 Years",IF(Table3[[#This Row],[Years At Company]]&lt;=20, "11-20 Years","20+ Years"))))</f>
        <v>6-10 Years</v>
      </c>
    </row>
    <row r="94" spans="1:38" x14ac:dyDescent="0.25">
      <c r="A94" s="2">
        <v>30</v>
      </c>
      <c r="B94" t="s">
        <v>43</v>
      </c>
      <c r="C94" t="s">
        <v>36</v>
      </c>
      <c r="D94" s="2">
        <v>1334</v>
      </c>
      <c r="E94" t="s">
        <v>37</v>
      </c>
      <c r="F94" s="2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 s="2">
        <v>5209</v>
      </c>
      <c r="T94">
        <v>19760</v>
      </c>
      <c r="U94">
        <v>1</v>
      </c>
      <c r="V94" t="s">
        <v>42</v>
      </c>
      <c r="W94" t="s">
        <v>35</v>
      </c>
      <c r="X94" s="2">
        <v>12</v>
      </c>
      <c r="Y94">
        <v>3</v>
      </c>
      <c r="Z94">
        <v>2</v>
      </c>
      <c r="AA94">
        <v>80</v>
      </c>
      <c r="AB94">
        <v>3</v>
      </c>
      <c r="AC94" s="2">
        <v>11</v>
      </c>
      <c r="AD94">
        <v>4</v>
      </c>
      <c r="AE94">
        <v>2</v>
      </c>
      <c r="AF94" s="2">
        <v>11</v>
      </c>
      <c r="AG94">
        <v>8</v>
      </c>
      <c r="AH94">
        <v>2</v>
      </c>
      <c r="AI94">
        <v>7</v>
      </c>
      <c r="AJ94" s="2" t="str">
        <f>IF(A94 A94 &lt;= 25, "18-25", IF(A94 &lt;=35, "26-35", IF(A94 &lt;=45, "36-45", IF(Table3[[#This Row],[Age]] &lt;=55, "46-55", "56+"))))</f>
        <v>26-35</v>
      </c>
      <c r="AK94" t="str">
        <f t="shared" si="1"/>
        <v>Medium</v>
      </c>
      <c r="AL94" s="2" t="str">
        <f>IF(AF94 &lt; 3, "0-2 Years", IF(AF94 &lt;= 5, "3-5 Years", IF(AF94 &lt;= 10, "6-10 Years",IF(Table3[[#This Row],[Years At Company]]&lt;=20, "11-20 Years","20+ Years"))))</f>
        <v>11-20 Years</v>
      </c>
    </row>
    <row r="95" spans="1:38" x14ac:dyDescent="0.25">
      <c r="A95" s="2">
        <v>46</v>
      </c>
      <c r="B95" t="s">
        <v>43</v>
      </c>
      <c r="C95" t="s">
        <v>44</v>
      </c>
      <c r="D95" s="2">
        <v>638</v>
      </c>
      <c r="E95" t="s">
        <v>45</v>
      </c>
      <c r="F95" s="2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 s="2">
        <v>10673</v>
      </c>
      <c r="T95">
        <v>3142</v>
      </c>
      <c r="U95">
        <v>2</v>
      </c>
      <c r="V95" t="s">
        <v>42</v>
      </c>
      <c r="W95" t="s">
        <v>35</v>
      </c>
      <c r="X95" s="2">
        <v>13</v>
      </c>
      <c r="Y95">
        <v>3</v>
      </c>
      <c r="Z95">
        <v>3</v>
      </c>
      <c r="AA95">
        <v>80</v>
      </c>
      <c r="AB95">
        <v>1</v>
      </c>
      <c r="AC95" s="2">
        <v>21</v>
      </c>
      <c r="AD95">
        <v>5</v>
      </c>
      <c r="AE95">
        <v>2</v>
      </c>
      <c r="AF95" s="2">
        <v>10</v>
      </c>
      <c r="AG95">
        <v>9</v>
      </c>
      <c r="AH95">
        <v>9</v>
      </c>
      <c r="AI95">
        <v>5</v>
      </c>
      <c r="AJ95" s="2" t="str">
        <f>IF(A95 A95 &lt;= 25, "18-25", IF(A95 &lt;=35, "26-35", IF(A95 &lt;=45, "36-45", IF(Table3[[#This Row],[Age]] &lt;=55, "46-55", "56+"))))</f>
        <v>46-55</v>
      </c>
      <c r="AK95" t="str">
        <f t="shared" si="1"/>
        <v>High</v>
      </c>
      <c r="AL95" s="2" t="str">
        <f>IF(AF95 &lt; 3, "0-2 Years", IF(AF95 &lt;= 5, "3-5 Years", IF(AF95 &lt;= 10, "6-10 Years",IF(Table3[[#This Row],[Years At Company]]&lt;=20, "11-20 Years","20+ Years"))))</f>
        <v>6-10 Years</v>
      </c>
    </row>
    <row r="96" spans="1:38" x14ac:dyDescent="0.25">
      <c r="A96" s="2">
        <v>32</v>
      </c>
      <c r="B96" t="s">
        <v>43</v>
      </c>
      <c r="C96" t="s">
        <v>36</v>
      </c>
      <c r="D96" s="2">
        <v>1093</v>
      </c>
      <c r="E96" t="s">
        <v>37</v>
      </c>
      <c r="F96" s="2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 s="2">
        <v>5010</v>
      </c>
      <c r="T96">
        <v>24301</v>
      </c>
      <c r="U96">
        <v>1</v>
      </c>
      <c r="V96" t="s">
        <v>42</v>
      </c>
      <c r="W96" t="s">
        <v>43</v>
      </c>
      <c r="X96" s="2">
        <v>16</v>
      </c>
      <c r="Y96">
        <v>3</v>
      </c>
      <c r="Z96">
        <v>1</v>
      </c>
      <c r="AA96">
        <v>80</v>
      </c>
      <c r="AB96">
        <v>0</v>
      </c>
      <c r="AC96" s="2">
        <v>12</v>
      </c>
      <c r="AD96">
        <v>0</v>
      </c>
      <c r="AE96">
        <v>3</v>
      </c>
      <c r="AF96" s="2">
        <v>11</v>
      </c>
      <c r="AG96">
        <v>8</v>
      </c>
      <c r="AH96">
        <v>5</v>
      </c>
      <c r="AI96">
        <v>7</v>
      </c>
      <c r="AJ96" s="2" t="str">
        <f>IF(A96 A96 &lt;= 25, "18-25", IF(A96 &lt;=35, "26-35", IF(A96 &lt;=45, "36-45", IF(Table3[[#This Row],[Age]] &lt;=55, "46-55", "56+"))))</f>
        <v>26-35</v>
      </c>
      <c r="AK96" t="str">
        <f t="shared" si="1"/>
        <v>Medium</v>
      </c>
      <c r="AL96" s="2" t="str">
        <f>IF(AF96 &lt; 3, "0-2 Years", IF(AF96 &lt;= 5, "3-5 Years", IF(AF96 &lt;= 10, "6-10 Years",IF(Table3[[#This Row],[Years At Company]]&lt;=20, "11-20 Years","20+ Years"))))</f>
        <v>11-20 Years</v>
      </c>
    </row>
    <row r="97" spans="1:38" x14ac:dyDescent="0.25">
      <c r="A97" s="2">
        <v>54</v>
      </c>
      <c r="B97" t="s">
        <v>43</v>
      </c>
      <c r="C97" t="s">
        <v>36</v>
      </c>
      <c r="D97" s="2">
        <v>1217</v>
      </c>
      <c r="E97" t="s">
        <v>45</v>
      </c>
      <c r="F97" s="2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 s="2">
        <v>13549</v>
      </c>
      <c r="T97">
        <v>24001</v>
      </c>
      <c r="U97">
        <v>9</v>
      </c>
      <c r="V97" t="s">
        <v>42</v>
      </c>
      <c r="W97" t="s">
        <v>43</v>
      </c>
      <c r="X97" s="2">
        <v>12</v>
      </c>
      <c r="Y97">
        <v>3</v>
      </c>
      <c r="Z97">
        <v>1</v>
      </c>
      <c r="AA97">
        <v>80</v>
      </c>
      <c r="AB97">
        <v>1</v>
      </c>
      <c r="AC97" s="2">
        <v>16</v>
      </c>
      <c r="AD97">
        <v>5</v>
      </c>
      <c r="AE97">
        <v>1</v>
      </c>
      <c r="AF97" s="2">
        <v>4</v>
      </c>
      <c r="AG97">
        <v>3</v>
      </c>
      <c r="AH97">
        <v>0</v>
      </c>
      <c r="AI97">
        <v>3</v>
      </c>
      <c r="AJ97" s="2" t="str">
        <f>IF(A97 A97 &lt;= 25, "18-25", IF(A97 &lt;=35, "26-35", IF(A97 &lt;=45, "36-45", IF(Table3[[#This Row],[Age]] &lt;=55, "46-55", "56+"))))</f>
        <v>46-55</v>
      </c>
      <c r="AK97" t="str">
        <f t="shared" si="1"/>
        <v>High</v>
      </c>
      <c r="AL97" s="2" t="str">
        <f>IF(AF97 &lt; 3, "0-2 Years", IF(AF97 &lt;= 5, "3-5 Years", IF(AF97 &lt;= 10, "6-10 Years",IF(Table3[[#This Row],[Years At Company]]&lt;=20, "11-20 Years","20+ Years"))))</f>
        <v>3-5 Years</v>
      </c>
    </row>
    <row r="98" spans="1:38" x14ac:dyDescent="0.25">
      <c r="A98" s="2">
        <v>24</v>
      </c>
      <c r="B98" t="s">
        <v>43</v>
      </c>
      <c r="C98" t="s">
        <v>36</v>
      </c>
      <c r="D98" s="2">
        <v>1353</v>
      </c>
      <c r="E98" t="s">
        <v>37</v>
      </c>
      <c r="F98" s="2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 s="2">
        <v>4999</v>
      </c>
      <c r="T98">
        <v>17519</v>
      </c>
      <c r="U98">
        <v>0</v>
      </c>
      <c r="V98" t="s">
        <v>42</v>
      </c>
      <c r="W98" t="s">
        <v>43</v>
      </c>
      <c r="X98" s="2">
        <v>21</v>
      </c>
      <c r="Y98">
        <v>4</v>
      </c>
      <c r="Z98">
        <v>1</v>
      </c>
      <c r="AA98">
        <v>80</v>
      </c>
      <c r="AB98">
        <v>1</v>
      </c>
      <c r="AC98" s="2">
        <v>4</v>
      </c>
      <c r="AD98">
        <v>2</v>
      </c>
      <c r="AE98">
        <v>2</v>
      </c>
      <c r="AF98" s="2">
        <v>3</v>
      </c>
      <c r="AG98">
        <v>2</v>
      </c>
      <c r="AH98">
        <v>0</v>
      </c>
      <c r="AI98">
        <v>2</v>
      </c>
      <c r="AJ98" s="2" t="str">
        <f>IF(A98 A98 &lt;= 25, "18-25", IF(A98 &lt;=35, "26-35", IF(A98 &lt;=45, "36-45", IF(Table3[[#This Row],[Age]] &lt;=55, "46-55", "56+"))))</f>
        <v>18-25</v>
      </c>
      <c r="AK98" t="str">
        <f t="shared" si="1"/>
        <v>Low</v>
      </c>
      <c r="AL98" s="2" t="str">
        <f>IF(AF98 &lt; 3, "0-2 Years", IF(AF98 &lt;= 5, "3-5 Years", IF(AF98 &lt;= 10, "6-10 Years",IF(Table3[[#This Row],[Years At Company]]&lt;=20, "11-20 Years","20+ Years"))))</f>
        <v>3-5 Years</v>
      </c>
    </row>
    <row r="99" spans="1:38" x14ac:dyDescent="0.25">
      <c r="A99" s="2">
        <v>28</v>
      </c>
      <c r="B99" t="s">
        <v>43</v>
      </c>
      <c r="C99" t="s">
        <v>55</v>
      </c>
      <c r="D99" s="2">
        <v>120</v>
      </c>
      <c r="E99" t="s">
        <v>37</v>
      </c>
      <c r="F99" s="2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 s="2">
        <v>4221</v>
      </c>
      <c r="T99">
        <v>8863</v>
      </c>
      <c r="U99">
        <v>1</v>
      </c>
      <c r="V99" t="s">
        <v>42</v>
      </c>
      <c r="W99" t="s">
        <v>43</v>
      </c>
      <c r="X99" s="2">
        <v>15</v>
      </c>
      <c r="Y99">
        <v>3</v>
      </c>
      <c r="Z99">
        <v>2</v>
      </c>
      <c r="AA99">
        <v>80</v>
      </c>
      <c r="AB99">
        <v>0</v>
      </c>
      <c r="AC99" s="2">
        <v>5</v>
      </c>
      <c r="AD99">
        <v>3</v>
      </c>
      <c r="AE99">
        <v>4</v>
      </c>
      <c r="AF99" s="2">
        <v>5</v>
      </c>
      <c r="AG99">
        <v>4</v>
      </c>
      <c r="AH99">
        <v>0</v>
      </c>
      <c r="AI99">
        <v>4</v>
      </c>
      <c r="AJ99" s="2" t="str">
        <f>IF(A99 A99 &lt;= 25, "18-25", IF(A99 &lt;=35, "26-35", IF(A99 &lt;=45, "36-45", IF(Table3[[#This Row],[Age]] &lt;=55, "46-55", "56+"))))</f>
        <v>26-35</v>
      </c>
      <c r="AK99" t="str">
        <f t="shared" si="1"/>
        <v>Low</v>
      </c>
      <c r="AL99" s="2" t="str">
        <f>IF(AF99 &lt; 3, "0-2 Years", IF(AF99 &lt;= 5, "3-5 Years", IF(AF99 &lt;= 10, "6-10 Years",IF(Table3[[#This Row],[Years At Company]]&lt;=20, "11-20 Years","20+ Years"))))</f>
        <v>3-5 Years</v>
      </c>
    </row>
    <row r="100" spans="1:38" x14ac:dyDescent="0.25">
      <c r="A100" s="2">
        <v>58</v>
      </c>
      <c r="B100" t="s">
        <v>43</v>
      </c>
      <c r="C100" t="s">
        <v>36</v>
      </c>
      <c r="D100" s="2">
        <v>682</v>
      </c>
      <c r="E100" t="s">
        <v>37</v>
      </c>
      <c r="F100" s="2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 s="2">
        <v>13872</v>
      </c>
      <c r="T100">
        <v>24409</v>
      </c>
      <c r="U100">
        <v>0</v>
      </c>
      <c r="V100" t="s">
        <v>42</v>
      </c>
      <c r="W100" t="s">
        <v>43</v>
      </c>
      <c r="X100" s="2">
        <v>13</v>
      </c>
      <c r="Y100">
        <v>3</v>
      </c>
      <c r="Z100">
        <v>3</v>
      </c>
      <c r="AA100">
        <v>80</v>
      </c>
      <c r="AB100">
        <v>0</v>
      </c>
      <c r="AC100" s="2">
        <v>38</v>
      </c>
      <c r="AD100">
        <v>1</v>
      </c>
      <c r="AE100">
        <v>2</v>
      </c>
      <c r="AF100" s="2">
        <v>37</v>
      </c>
      <c r="AG100">
        <v>10</v>
      </c>
      <c r="AH100">
        <v>1</v>
      </c>
      <c r="AI100">
        <v>8</v>
      </c>
      <c r="AJ100" s="2" t="str">
        <f>IF(A100 A100 &lt;= 25, "18-25", IF(A100 &lt;=35, "26-35", IF(A100 &lt;=45, "36-45", IF(Table3[[#This Row],[Age]] &lt;=55, "46-55", "56+"))))</f>
        <v>56+</v>
      </c>
      <c r="AK100" t="str">
        <f t="shared" si="1"/>
        <v>High</v>
      </c>
      <c r="AL100" s="2" t="str">
        <f>IF(AF100 &lt; 3, "0-2 Years", IF(AF100 &lt;= 5, "3-5 Years", IF(AF100 &lt;= 10, "6-10 Years",IF(Table3[[#This Row],[Years At Company]]&lt;=20, "11-20 Years","20+ Years"))))</f>
        <v>20+ Years</v>
      </c>
    </row>
    <row r="101" spans="1:38" x14ac:dyDescent="0.25">
      <c r="A101" s="2">
        <v>44</v>
      </c>
      <c r="B101" t="s">
        <v>43</v>
      </c>
      <c r="C101" t="s">
        <v>55</v>
      </c>
      <c r="D101" s="2">
        <v>489</v>
      </c>
      <c r="E101" t="s">
        <v>45</v>
      </c>
      <c r="F101" s="2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 s="2">
        <v>2042</v>
      </c>
      <c r="T101">
        <v>25043</v>
      </c>
      <c r="U101">
        <v>4</v>
      </c>
      <c r="V101" t="s">
        <v>42</v>
      </c>
      <c r="W101" t="s">
        <v>43</v>
      </c>
      <c r="X101" s="2">
        <v>12</v>
      </c>
      <c r="Y101">
        <v>3</v>
      </c>
      <c r="Z101">
        <v>3</v>
      </c>
      <c r="AA101">
        <v>80</v>
      </c>
      <c r="AB101">
        <v>1</v>
      </c>
      <c r="AC101" s="2">
        <v>17</v>
      </c>
      <c r="AD101">
        <v>3</v>
      </c>
      <c r="AE101">
        <v>4</v>
      </c>
      <c r="AF101" s="2">
        <v>3</v>
      </c>
      <c r="AG101">
        <v>2</v>
      </c>
      <c r="AH101">
        <v>1</v>
      </c>
      <c r="AI101">
        <v>2</v>
      </c>
      <c r="AJ101" s="2" t="str">
        <f>IF(A101 A101 &lt;= 25, "18-25", IF(A101 &lt;=35, "26-35", IF(A101 &lt;=45, "36-45", IF(Table3[[#This Row],[Age]] &lt;=55, "46-55", "56+"))))</f>
        <v>36-45</v>
      </c>
      <c r="AK101" t="str">
        <f t="shared" si="1"/>
        <v>Low</v>
      </c>
      <c r="AL101" s="2" t="str">
        <f>IF(AF101 &lt; 3, "0-2 Years", IF(AF101 &lt;= 5, "3-5 Years", IF(AF101 &lt;= 10, "6-10 Years",IF(Table3[[#This Row],[Years At Company]]&lt;=20, "11-20 Years","20+ Years"))))</f>
        <v>3-5 Years</v>
      </c>
    </row>
    <row r="102" spans="1:38" x14ac:dyDescent="0.25">
      <c r="A102" s="2">
        <v>37</v>
      </c>
      <c r="B102" t="s">
        <v>35</v>
      </c>
      <c r="C102" t="s">
        <v>36</v>
      </c>
      <c r="D102" s="2">
        <v>807</v>
      </c>
      <c r="E102" t="s">
        <v>61</v>
      </c>
      <c r="F102" s="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 s="2">
        <v>2073</v>
      </c>
      <c r="T102">
        <v>23648</v>
      </c>
      <c r="U102">
        <v>4</v>
      </c>
      <c r="V102" t="s">
        <v>42</v>
      </c>
      <c r="W102" t="s">
        <v>35</v>
      </c>
      <c r="X102" s="2">
        <v>22</v>
      </c>
      <c r="Y102">
        <v>4</v>
      </c>
      <c r="Z102">
        <v>4</v>
      </c>
      <c r="AA102">
        <v>80</v>
      </c>
      <c r="AB102">
        <v>0</v>
      </c>
      <c r="AC102" s="2">
        <v>7</v>
      </c>
      <c r="AD102">
        <v>3</v>
      </c>
      <c r="AE102">
        <v>3</v>
      </c>
      <c r="AF102" s="2">
        <v>3</v>
      </c>
      <c r="AG102">
        <v>2</v>
      </c>
      <c r="AH102">
        <v>0</v>
      </c>
      <c r="AI102">
        <v>2</v>
      </c>
      <c r="AJ102" s="2" t="str">
        <f>IF(A102 A102 &lt;= 25, "18-25", IF(A102 &lt;=35, "26-35", IF(A102 &lt;=45, "36-45", IF(Table3[[#This Row],[Age]] &lt;=55, "46-55", "56+"))))</f>
        <v>36-45</v>
      </c>
      <c r="AK102" t="str">
        <f t="shared" si="1"/>
        <v>Low</v>
      </c>
      <c r="AL102" s="2" t="str">
        <f>IF(AF102 &lt; 3, "0-2 Years", IF(AF102 &lt;= 5, "3-5 Years", IF(AF102 &lt;= 10, "6-10 Years",IF(Table3[[#This Row],[Years At Company]]&lt;=20, "11-20 Years","20+ Years"))))</f>
        <v>3-5 Years</v>
      </c>
    </row>
    <row r="103" spans="1:38" x14ac:dyDescent="0.25">
      <c r="A103" s="2">
        <v>32</v>
      </c>
      <c r="B103" t="s">
        <v>43</v>
      </c>
      <c r="C103" t="s">
        <v>36</v>
      </c>
      <c r="D103" s="2">
        <v>827</v>
      </c>
      <c r="E103" t="s">
        <v>45</v>
      </c>
      <c r="F103" s="2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 s="2">
        <v>2956</v>
      </c>
      <c r="T103">
        <v>15178</v>
      </c>
      <c r="U103">
        <v>1</v>
      </c>
      <c r="V103" t="s">
        <v>42</v>
      </c>
      <c r="W103" t="s">
        <v>43</v>
      </c>
      <c r="X103" s="2">
        <v>13</v>
      </c>
      <c r="Y103">
        <v>3</v>
      </c>
      <c r="Z103">
        <v>4</v>
      </c>
      <c r="AA103">
        <v>80</v>
      </c>
      <c r="AB103">
        <v>0</v>
      </c>
      <c r="AC103" s="2">
        <v>1</v>
      </c>
      <c r="AD103">
        <v>2</v>
      </c>
      <c r="AE103">
        <v>3</v>
      </c>
      <c r="AF103" s="2">
        <v>1</v>
      </c>
      <c r="AG103">
        <v>0</v>
      </c>
      <c r="AH103">
        <v>0</v>
      </c>
      <c r="AI103">
        <v>0</v>
      </c>
      <c r="AJ103" s="2" t="str">
        <f>IF(A103 A103 &lt;= 25, "18-25", IF(A103 &lt;=35, "26-35", IF(A103 &lt;=45, "36-45", IF(Table3[[#This Row],[Age]] &lt;=55, "46-55", "56+"))))</f>
        <v>26-35</v>
      </c>
      <c r="AK103" t="str">
        <f t="shared" si="1"/>
        <v>Low</v>
      </c>
      <c r="AL103" s="2" t="str">
        <f>IF(AF103 &lt; 3, "0-2 Years", IF(AF103 &lt;= 5, "3-5 Years", IF(AF103 &lt;= 10, "6-10 Years",IF(Table3[[#This Row],[Years At Company]]&lt;=20, "11-20 Years","20+ Years"))))</f>
        <v>0-2 Years</v>
      </c>
    </row>
    <row r="104" spans="1:38" x14ac:dyDescent="0.25">
      <c r="A104" s="2">
        <v>20</v>
      </c>
      <c r="B104" t="s">
        <v>35</v>
      </c>
      <c r="C104" t="s">
        <v>44</v>
      </c>
      <c r="D104" s="2">
        <v>871</v>
      </c>
      <c r="E104" t="s">
        <v>45</v>
      </c>
      <c r="F104" s="2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 s="2">
        <v>2926</v>
      </c>
      <c r="T104">
        <v>19783</v>
      </c>
      <c r="U104">
        <v>1</v>
      </c>
      <c r="V104" t="s">
        <v>42</v>
      </c>
      <c r="W104" t="s">
        <v>35</v>
      </c>
      <c r="X104" s="2">
        <v>18</v>
      </c>
      <c r="Y104">
        <v>3</v>
      </c>
      <c r="Z104">
        <v>2</v>
      </c>
      <c r="AA104">
        <v>80</v>
      </c>
      <c r="AB104">
        <v>0</v>
      </c>
      <c r="AC104" s="2">
        <v>1</v>
      </c>
      <c r="AD104">
        <v>5</v>
      </c>
      <c r="AE104">
        <v>3</v>
      </c>
      <c r="AF104" s="2">
        <v>1</v>
      </c>
      <c r="AG104">
        <v>0</v>
      </c>
      <c r="AH104">
        <v>1</v>
      </c>
      <c r="AI104">
        <v>0</v>
      </c>
      <c r="AJ104" s="2" t="str">
        <f>IF(A104 A104 &lt;= 25, "18-25", IF(A104 &lt;=35, "26-35", IF(A104 &lt;=45, "36-45", IF(Table3[[#This Row],[Age]] &lt;=55, "46-55", "56+"))))</f>
        <v>18-25</v>
      </c>
      <c r="AK104" t="str">
        <f t="shared" si="1"/>
        <v>Low</v>
      </c>
      <c r="AL104" s="2" t="str">
        <f>IF(AF104 &lt; 3, "0-2 Years", IF(AF104 &lt;= 5, "3-5 Years", IF(AF104 &lt;= 10, "6-10 Years",IF(Table3[[#This Row],[Years At Company]]&lt;=20, "11-20 Years","20+ Years"))))</f>
        <v>0-2 Years</v>
      </c>
    </row>
    <row r="105" spans="1:38" x14ac:dyDescent="0.25">
      <c r="A105" s="2">
        <v>34</v>
      </c>
      <c r="B105" t="s">
        <v>43</v>
      </c>
      <c r="C105" t="s">
        <v>36</v>
      </c>
      <c r="D105" s="2">
        <v>665</v>
      </c>
      <c r="E105" t="s">
        <v>45</v>
      </c>
      <c r="F105" s="2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 s="2">
        <v>4809</v>
      </c>
      <c r="T105">
        <v>12482</v>
      </c>
      <c r="U105">
        <v>1</v>
      </c>
      <c r="V105" t="s">
        <v>42</v>
      </c>
      <c r="W105" t="s">
        <v>43</v>
      </c>
      <c r="X105" s="2">
        <v>14</v>
      </c>
      <c r="Y105">
        <v>3</v>
      </c>
      <c r="Z105">
        <v>3</v>
      </c>
      <c r="AA105">
        <v>80</v>
      </c>
      <c r="AB105">
        <v>0</v>
      </c>
      <c r="AC105" s="2">
        <v>16</v>
      </c>
      <c r="AD105">
        <v>3</v>
      </c>
      <c r="AE105">
        <v>3</v>
      </c>
      <c r="AF105" s="2">
        <v>16</v>
      </c>
      <c r="AG105">
        <v>13</v>
      </c>
      <c r="AH105">
        <v>2</v>
      </c>
      <c r="AI105">
        <v>10</v>
      </c>
      <c r="AJ105" s="2" t="str">
        <f>IF(A105 A105 &lt;= 25, "18-25", IF(A105 &lt;=35, "26-35", IF(A105 &lt;=45, "36-45", IF(Table3[[#This Row],[Age]] &lt;=55, "46-55", "56+"))))</f>
        <v>26-35</v>
      </c>
      <c r="AK105" t="str">
        <f t="shared" si="1"/>
        <v>Low</v>
      </c>
      <c r="AL105" s="2" t="str">
        <f>IF(AF105 &lt; 3, "0-2 Years", IF(AF105 &lt;= 5, "3-5 Years", IF(AF105 &lt;= 10, "6-10 Years",IF(Table3[[#This Row],[Years At Company]]&lt;=20, "11-20 Years","20+ Years"))))</f>
        <v>11-20 Years</v>
      </c>
    </row>
    <row r="106" spans="1:38" x14ac:dyDescent="0.25">
      <c r="A106" s="2">
        <v>37</v>
      </c>
      <c r="B106" t="s">
        <v>43</v>
      </c>
      <c r="C106" t="s">
        <v>55</v>
      </c>
      <c r="D106" s="2">
        <v>1040</v>
      </c>
      <c r="E106" t="s">
        <v>45</v>
      </c>
      <c r="F106" s="2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 s="2">
        <v>5163</v>
      </c>
      <c r="T106">
        <v>15850</v>
      </c>
      <c r="U106">
        <v>5</v>
      </c>
      <c r="V106" t="s">
        <v>42</v>
      </c>
      <c r="W106" t="s">
        <v>43</v>
      </c>
      <c r="X106" s="2">
        <v>14</v>
      </c>
      <c r="Y106">
        <v>3</v>
      </c>
      <c r="Z106">
        <v>4</v>
      </c>
      <c r="AA106">
        <v>80</v>
      </c>
      <c r="AB106">
        <v>1</v>
      </c>
      <c r="AC106" s="2">
        <v>17</v>
      </c>
      <c r="AD106">
        <v>2</v>
      </c>
      <c r="AE106">
        <v>4</v>
      </c>
      <c r="AF106" s="2">
        <v>1</v>
      </c>
      <c r="AG106">
        <v>0</v>
      </c>
      <c r="AH106">
        <v>0</v>
      </c>
      <c r="AI106">
        <v>0</v>
      </c>
      <c r="AJ106" s="2" t="str">
        <f>IF(A106 A106 &lt;= 25, "18-25", IF(A106 &lt;=35, "26-35", IF(A106 &lt;=45, "36-45", IF(Table3[[#This Row],[Age]] &lt;=55, "46-55", "56+"))))</f>
        <v>36-45</v>
      </c>
      <c r="AK106" t="str">
        <f t="shared" si="1"/>
        <v>Medium</v>
      </c>
      <c r="AL106" s="2" t="str">
        <f>IF(AF106 &lt; 3, "0-2 Years", IF(AF106 &lt;= 5, "3-5 Years", IF(AF106 &lt;= 10, "6-10 Years",IF(Table3[[#This Row],[Years At Company]]&lt;=20, "11-20 Years","20+ Years"))))</f>
        <v>0-2 Years</v>
      </c>
    </row>
    <row r="107" spans="1:38" x14ac:dyDescent="0.25">
      <c r="A107" s="2">
        <v>59</v>
      </c>
      <c r="B107" t="s">
        <v>43</v>
      </c>
      <c r="C107" t="s">
        <v>55</v>
      </c>
      <c r="D107" s="2">
        <v>1420</v>
      </c>
      <c r="E107" t="s">
        <v>61</v>
      </c>
      <c r="F107" s="2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 s="2">
        <v>18844</v>
      </c>
      <c r="T107">
        <v>21922</v>
      </c>
      <c r="U107">
        <v>9</v>
      </c>
      <c r="V107" t="s">
        <v>42</v>
      </c>
      <c r="W107" t="s">
        <v>43</v>
      </c>
      <c r="X107" s="2">
        <v>21</v>
      </c>
      <c r="Y107">
        <v>4</v>
      </c>
      <c r="Z107">
        <v>4</v>
      </c>
      <c r="AA107">
        <v>80</v>
      </c>
      <c r="AB107">
        <v>1</v>
      </c>
      <c r="AC107" s="2">
        <v>30</v>
      </c>
      <c r="AD107">
        <v>3</v>
      </c>
      <c r="AE107">
        <v>3</v>
      </c>
      <c r="AF107" s="2">
        <v>3</v>
      </c>
      <c r="AG107">
        <v>2</v>
      </c>
      <c r="AH107">
        <v>2</v>
      </c>
      <c r="AI107">
        <v>2</v>
      </c>
      <c r="AJ107" s="2" t="str">
        <f>IF(A107 A107 &lt;= 25, "18-25", IF(A107 &lt;=35, "26-35", IF(A107 &lt;=45, "36-45", IF(Table3[[#This Row],[Age]] &lt;=55, "46-55", "56+"))))</f>
        <v>56+</v>
      </c>
      <c r="AK107" t="str">
        <f t="shared" si="1"/>
        <v>High</v>
      </c>
      <c r="AL107" s="2" t="str">
        <f>IF(AF107 &lt; 3, "0-2 Years", IF(AF107 &lt;= 5, "3-5 Years", IF(AF107 &lt;= 10, "6-10 Years",IF(Table3[[#This Row],[Years At Company]]&lt;=20, "11-20 Years","20+ Years"))))</f>
        <v>3-5 Years</v>
      </c>
    </row>
    <row r="108" spans="1:38" x14ac:dyDescent="0.25">
      <c r="A108" s="2">
        <v>50</v>
      </c>
      <c r="B108" t="s">
        <v>43</v>
      </c>
      <c r="C108" t="s">
        <v>44</v>
      </c>
      <c r="D108" s="2">
        <v>1115</v>
      </c>
      <c r="E108" t="s">
        <v>45</v>
      </c>
      <c r="F108" s="2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 s="2">
        <v>18172</v>
      </c>
      <c r="T108">
        <v>9755</v>
      </c>
      <c r="U108">
        <v>3</v>
      </c>
      <c r="V108" t="s">
        <v>42</v>
      </c>
      <c r="W108" t="s">
        <v>35</v>
      </c>
      <c r="X108" s="2">
        <v>19</v>
      </c>
      <c r="Y108">
        <v>3</v>
      </c>
      <c r="Z108">
        <v>1</v>
      </c>
      <c r="AA108">
        <v>80</v>
      </c>
      <c r="AB108">
        <v>0</v>
      </c>
      <c r="AC108" s="2">
        <v>28</v>
      </c>
      <c r="AD108">
        <v>1</v>
      </c>
      <c r="AE108">
        <v>2</v>
      </c>
      <c r="AF108" s="2">
        <v>8</v>
      </c>
      <c r="AG108">
        <v>3</v>
      </c>
      <c r="AH108">
        <v>0</v>
      </c>
      <c r="AI108">
        <v>7</v>
      </c>
      <c r="AJ108" s="2" t="str">
        <f>IF(A108 A108 &lt;= 25, "18-25", IF(A108 &lt;=35, "26-35", IF(A108 &lt;=45, "36-45", IF(Table3[[#This Row],[Age]] &lt;=55, "46-55", "56+"))))</f>
        <v>46-55</v>
      </c>
      <c r="AK108" t="str">
        <f t="shared" si="1"/>
        <v>High</v>
      </c>
      <c r="AL108" s="2" t="str">
        <f>IF(AF108 &lt; 3, "0-2 Years", IF(AF108 &lt;= 5, "3-5 Years", IF(AF108 &lt;= 10, "6-10 Years",IF(Table3[[#This Row],[Years At Company]]&lt;=20, "11-20 Years","20+ Years"))))</f>
        <v>6-10 Years</v>
      </c>
    </row>
    <row r="109" spans="1:38" x14ac:dyDescent="0.25">
      <c r="A109" s="2">
        <v>25</v>
      </c>
      <c r="B109" t="s">
        <v>35</v>
      </c>
      <c r="C109" t="s">
        <v>36</v>
      </c>
      <c r="D109" s="2">
        <v>240</v>
      </c>
      <c r="E109" t="s">
        <v>37</v>
      </c>
      <c r="F109" s="2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 s="2">
        <v>5744</v>
      </c>
      <c r="T109">
        <v>26959</v>
      </c>
      <c r="U109">
        <v>1</v>
      </c>
      <c r="V109" t="s">
        <v>42</v>
      </c>
      <c r="W109" t="s">
        <v>35</v>
      </c>
      <c r="X109" s="2">
        <v>11</v>
      </c>
      <c r="Y109">
        <v>3</v>
      </c>
      <c r="Z109">
        <v>4</v>
      </c>
      <c r="AA109">
        <v>80</v>
      </c>
      <c r="AB109">
        <v>0</v>
      </c>
      <c r="AC109" s="2">
        <v>6</v>
      </c>
      <c r="AD109">
        <v>1</v>
      </c>
      <c r="AE109">
        <v>3</v>
      </c>
      <c r="AF109" s="2">
        <v>6</v>
      </c>
      <c r="AG109">
        <v>4</v>
      </c>
      <c r="AH109">
        <v>0</v>
      </c>
      <c r="AI109">
        <v>3</v>
      </c>
      <c r="AJ109" s="2" t="str">
        <f>IF(A109 A109 &lt;= 25, "18-25", IF(A109 &lt;=35, "26-35", IF(A109 &lt;=45, "36-45", IF(Table3[[#This Row],[Age]] &lt;=55, "46-55", "56+"))))</f>
        <v>18-25</v>
      </c>
      <c r="AK109" t="str">
        <f t="shared" si="1"/>
        <v>Medium</v>
      </c>
      <c r="AL109" s="2" t="str">
        <f>IF(AF109 &lt; 3, "0-2 Years", IF(AF109 &lt;= 5, "3-5 Years", IF(AF109 &lt;= 10, "6-10 Years",IF(Table3[[#This Row],[Years At Company]]&lt;=20, "11-20 Years","20+ Years"))))</f>
        <v>6-10 Years</v>
      </c>
    </row>
    <row r="110" spans="1:38" x14ac:dyDescent="0.25">
      <c r="A110" s="2">
        <v>25</v>
      </c>
      <c r="B110" t="s">
        <v>43</v>
      </c>
      <c r="C110" t="s">
        <v>36</v>
      </c>
      <c r="D110" s="2">
        <v>1280</v>
      </c>
      <c r="E110" t="s">
        <v>45</v>
      </c>
      <c r="F110" s="2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 s="2">
        <v>2889</v>
      </c>
      <c r="T110">
        <v>26897</v>
      </c>
      <c r="U110">
        <v>1</v>
      </c>
      <c r="V110" t="s">
        <v>42</v>
      </c>
      <c r="W110" t="s">
        <v>43</v>
      </c>
      <c r="X110" s="2">
        <v>11</v>
      </c>
      <c r="Y110">
        <v>3</v>
      </c>
      <c r="Z110">
        <v>3</v>
      </c>
      <c r="AA110">
        <v>80</v>
      </c>
      <c r="AB110">
        <v>2</v>
      </c>
      <c r="AC110" s="2">
        <v>2</v>
      </c>
      <c r="AD110">
        <v>2</v>
      </c>
      <c r="AE110">
        <v>3</v>
      </c>
      <c r="AF110" s="2">
        <v>2</v>
      </c>
      <c r="AG110">
        <v>2</v>
      </c>
      <c r="AH110">
        <v>2</v>
      </c>
      <c r="AI110">
        <v>1</v>
      </c>
      <c r="AJ110" s="2" t="str">
        <f>IF(A110 A110 &lt;= 25, "18-25", IF(A110 &lt;=35, "26-35", IF(A110 &lt;=45, "36-45", IF(Table3[[#This Row],[Age]] &lt;=55, "46-55", "56+"))))</f>
        <v>18-25</v>
      </c>
      <c r="AK110" t="str">
        <f t="shared" si="1"/>
        <v>Low</v>
      </c>
      <c r="AL110" s="2" t="str">
        <f>IF(AF110 &lt; 3, "0-2 Years", IF(AF110 &lt;= 5, "3-5 Years", IF(AF110 &lt;= 10, "6-10 Years",IF(Table3[[#This Row],[Years At Company]]&lt;=20, "11-20 Years","20+ Years"))))</f>
        <v>0-2 Years</v>
      </c>
    </row>
    <row r="111" spans="1:38" x14ac:dyDescent="0.25">
      <c r="A111" s="2">
        <v>22</v>
      </c>
      <c r="B111" t="s">
        <v>43</v>
      </c>
      <c r="C111" t="s">
        <v>36</v>
      </c>
      <c r="D111" s="2">
        <v>534</v>
      </c>
      <c r="E111" t="s">
        <v>45</v>
      </c>
      <c r="F111" s="2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 s="2">
        <v>2871</v>
      </c>
      <c r="T111">
        <v>23785</v>
      </c>
      <c r="U111">
        <v>1</v>
      </c>
      <c r="V111" t="s">
        <v>42</v>
      </c>
      <c r="W111" t="s">
        <v>43</v>
      </c>
      <c r="X111" s="2">
        <v>15</v>
      </c>
      <c r="Y111">
        <v>3</v>
      </c>
      <c r="Z111">
        <v>3</v>
      </c>
      <c r="AA111">
        <v>80</v>
      </c>
      <c r="AB111">
        <v>0</v>
      </c>
      <c r="AC111" s="2">
        <v>1</v>
      </c>
      <c r="AD111">
        <v>5</v>
      </c>
      <c r="AE111">
        <v>3</v>
      </c>
      <c r="AF111" s="2">
        <v>0</v>
      </c>
      <c r="AG111">
        <v>0</v>
      </c>
      <c r="AH111">
        <v>0</v>
      </c>
      <c r="AI111">
        <v>0</v>
      </c>
      <c r="AJ111" s="2" t="str">
        <f>IF(A111 A111 &lt;= 25, "18-25", IF(A111 &lt;=35, "26-35", IF(A111 &lt;=45, "36-45", IF(Table3[[#This Row],[Age]] &lt;=55, "46-55", "56+"))))</f>
        <v>18-25</v>
      </c>
      <c r="AK111" t="str">
        <f t="shared" si="1"/>
        <v>Low</v>
      </c>
      <c r="AL111" s="2" t="str">
        <f>IF(AF111 &lt; 3, "0-2 Years", IF(AF111 &lt;= 5, "3-5 Years", IF(AF111 &lt;= 10, "6-10 Years",IF(Table3[[#This Row],[Years At Company]]&lt;=20, "11-20 Years","20+ Years"))))</f>
        <v>0-2 Years</v>
      </c>
    </row>
    <row r="112" spans="1:38" x14ac:dyDescent="0.25">
      <c r="A112" s="2">
        <v>51</v>
      </c>
      <c r="B112" t="s">
        <v>43</v>
      </c>
      <c r="C112" t="s">
        <v>44</v>
      </c>
      <c r="D112" s="2">
        <v>1456</v>
      </c>
      <c r="E112" t="s">
        <v>45</v>
      </c>
      <c r="F112" s="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 s="2">
        <v>7484</v>
      </c>
      <c r="T112">
        <v>25796</v>
      </c>
      <c r="U112">
        <v>3</v>
      </c>
      <c r="V112" t="s">
        <v>42</v>
      </c>
      <c r="W112" t="s">
        <v>43</v>
      </c>
      <c r="X112" s="2">
        <v>20</v>
      </c>
      <c r="Y112">
        <v>4</v>
      </c>
      <c r="Z112">
        <v>3</v>
      </c>
      <c r="AA112">
        <v>80</v>
      </c>
      <c r="AB112">
        <v>0</v>
      </c>
      <c r="AC112" s="2">
        <v>23</v>
      </c>
      <c r="AD112">
        <v>1</v>
      </c>
      <c r="AE112">
        <v>2</v>
      </c>
      <c r="AF112" s="2">
        <v>13</v>
      </c>
      <c r="AG112">
        <v>12</v>
      </c>
      <c r="AH112">
        <v>12</v>
      </c>
      <c r="AI112">
        <v>8</v>
      </c>
      <c r="AJ112" s="2" t="str">
        <f>IF(A112 A112 &lt;= 25, "18-25", IF(A112 &lt;=35, "26-35", IF(A112 &lt;=45, "36-45", IF(Table3[[#This Row],[Age]] &lt;=55, "46-55", "56+"))))</f>
        <v>46-55</v>
      </c>
      <c r="AK112" t="str">
        <f t="shared" si="1"/>
        <v>Medium</v>
      </c>
      <c r="AL112" s="2" t="str">
        <f>IF(AF112 &lt; 3, "0-2 Years", IF(AF112 &lt;= 5, "3-5 Years", IF(AF112 &lt;= 10, "6-10 Years",IF(Table3[[#This Row],[Years At Company]]&lt;=20, "11-20 Years","20+ Years"))))</f>
        <v>11-20 Years</v>
      </c>
    </row>
    <row r="113" spans="1:38" x14ac:dyDescent="0.25">
      <c r="A113" s="2">
        <v>34</v>
      </c>
      <c r="B113" t="s">
        <v>35</v>
      </c>
      <c r="C113" t="s">
        <v>44</v>
      </c>
      <c r="D113" s="2">
        <v>658</v>
      </c>
      <c r="E113" t="s">
        <v>45</v>
      </c>
      <c r="F113" s="2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 s="2">
        <v>6074</v>
      </c>
      <c r="T113">
        <v>22887</v>
      </c>
      <c r="U113">
        <v>1</v>
      </c>
      <c r="V113" t="s">
        <v>42</v>
      </c>
      <c r="W113" t="s">
        <v>35</v>
      </c>
      <c r="X113" s="2">
        <v>24</v>
      </c>
      <c r="Y113">
        <v>4</v>
      </c>
      <c r="Z113">
        <v>4</v>
      </c>
      <c r="AA113">
        <v>80</v>
      </c>
      <c r="AB113">
        <v>0</v>
      </c>
      <c r="AC113" s="2">
        <v>9</v>
      </c>
      <c r="AD113">
        <v>3</v>
      </c>
      <c r="AE113">
        <v>3</v>
      </c>
      <c r="AF113" s="2">
        <v>9</v>
      </c>
      <c r="AG113">
        <v>7</v>
      </c>
      <c r="AH113">
        <v>0</v>
      </c>
      <c r="AI113">
        <v>6</v>
      </c>
      <c r="AJ113" s="2" t="str">
        <f>IF(A113 A113 &lt;= 25, "18-25", IF(A113 &lt;=35, "26-35", IF(A113 &lt;=45, "36-45", IF(Table3[[#This Row],[Age]] &lt;=55, "46-55", "56+"))))</f>
        <v>26-35</v>
      </c>
      <c r="AK113" t="str">
        <f t="shared" si="1"/>
        <v>Medium</v>
      </c>
      <c r="AL113" s="2" t="str">
        <f>IF(AF113 &lt; 3, "0-2 Years", IF(AF113 &lt;= 5, "3-5 Years", IF(AF113 &lt;= 10, "6-10 Years",IF(Table3[[#This Row],[Years At Company]]&lt;=20, "11-20 Years","20+ Years"))))</f>
        <v>6-10 Years</v>
      </c>
    </row>
    <row r="114" spans="1:38" x14ac:dyDescent="0.25">
      <c r="A114" s="2">
        <v>54</v>
      </c>
      <c r="B114" t="s">
        <v>43</v>
      </c>
      <c r="C114" t="s">
        <v>55</v>
      </c>
      <c r="D114" s="2">
        <v>142</v>
      </c>
      <c r="E114" t="s">
        <v>61</v>
      </c>
      <c r="F114" s="2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 s="2">
        <v>17328</v>
      </c>
      <c r="T114">
        <v>13871</v>
      </c>
      <c r="U114">
        <v>2</v>
      </c>
      <c r="V114" t="s">
        <v>42</v>
      </c>
      <c r="W114" t="s">
        <v>35</v>
      </c>
      <c r="X114" s="2">
        <v>12</v>
      </c>
      <c r="Y114">
        <v>3</v>
      </c>
      <c r="Z114">
        <v>3</v>
      </c>
      <c r="AA114">
        <v>80</v>
      </c>
      <c r="AB114">
        <v>0</v>
      </c>
      <c r="AC114" s="2">
        <v>23</v>
      </c>
      <c r="AD114">
        <v>3</v>
      </c>
      <c r="AE114">
        <v>3</v>
      </c>
      <c r="AF114" s="2">
        <v>5</v>
      </c>
      <c r="AG114">
        <v>3</v>
      </c>
      <c r="AH114">
        <v>4</v>
      </c>
      <c r="AI114">
        <v>4</v>
      </c>
      <c r="AJ114" s="2" t="str">
        <f>IF(A114 A114 &lt;= 25, "18-25", IF(A114 &lt;=35, "26-35", IF(A114 &lt;=45, "36-45", IF(Table3[[#This Row],[Age]] &lt;=55, "46-55", "56+"))))</f>
        <v>46-55</v>
      </c>
      <c r="AK114" t="str">
        <f t="shared" si="1"/>
        <v>High</v>
      </c>
      <c r="AL114" s="2" t="str">
        <f>IF(AF114 &lt; 3, "0-2 Years", IF(AF114 &lt;= 5, "3-5 Years", IF(AF114 &lt;= 10, "6-10 Years",IF(Table3[[#This Row],[Years At Company]]&lt;=20, "11-20 Years","20+ Years"))))</f>
        <v>3-5 Years</v>
      </c>
    </row>
    <row r="115" spans="1:38" x14ac:dyDescent="0.25">
      <c r="A115" s="2">
        <v>24</v>
      </c>
      <c r="B115" t="s">
        <v>43</v>
      </c>
      <c r="C115" t="s">
        <v>36</v>
      </c>
      <c r="D115" s="2">
        <v>1127</v>
      </c>
      <c r="E115" t="s">
        <v>45</v>
      </c>
      <c r="F115" s="2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 s="2">
        <v>2774</v>
      </c>
      <c r="T115">
        <v>13257</v>
      </c>
      <c r="U115">
        <v>0</v>
      </c>
      <c r="V115" t="s">
        <v>42</v>
      </c>
      <c r="W115" t="s">
        <v>43</v>
      </c>
      <c r="X115" s="2">
        <v>12</v>
      </c>
      <c r="Y115">
        <v>3</v>
      </c>
      <c r="Z115">
        <v>3</v>
      </c>
      <c r="AA115">
        <v>80</v>
      </c>
      <c r="AB115">
        <v>1</v>
      </c>
      <c r="AC115" s="2">
        <v>6</v>
      </c>
      <c r="AD115">
        <v>2</v>
      </c>
      <c r="AE115">
        <v>3</v>
      </c>
      <c r="AF115" s="2">
        <v>5</v>
      </c>
      <c r="AG115">
        <v>3</v>
      </c>
      <c r="AH115">
        <v>1</v>
      </c>
      <c r="AI115">
        <v>2</v>
      </c>
      <c r="AJ115" s="2" t="str">
        <f>IF(A115 A115 &lt;= 25, "18-25", IF(A115 &lt;=35, "26-35", IF(A115 &lt;=45, "36-45", IF(Table3[[#This Row],[Age]] &lt;=55, "46-55", "56+"))))</f>
        <v>18-25</v>
      </c>
      <c r="AK115" t="str">
        <f t="shared" si="1"/>
        <v>Low</v>
      </c>
      <c r="AL115" s="2" t="str">
        <f>IF(AF115 &lt; 3, "0-2 Years", IF(AF115 &lt;= 5, "3-5 Years", IF(AF115 &lt;= 10, "6-10 Years",IF(Table3[[#This Row],[Years At Company]]&lt;=20, "11-20 Years","20+ Years"))))</f>
        <v>3-5 Years</v>
      </c>
    </row>
    <row r="116" spans="1:38" x14ac:dyDescent="0.25">
      <c r="A116" s="2">
        <v>34</v>
      </c>
      <c r="B116" t="s">
        <v>43</v>
      </c>
      <c r="C116" t="s">
        <v>36</v>
      </c>
      <c r="D116" s="2">
        <v>1031</v>
      </c>
      <c r="E116" t="s">
        <v>45</v>
      </c>
      <c r="F116" s="2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 s="2">
        <v>4505</v>
      </c>
      <c r="T116">
        <v>15000</v>
      </c>
      <c r="U116">
        <v>6</v>
      </c>
      <c r="V116" t="s">
        <v>42</v>
      </c>
      <c r="W116" t="s">
        <v>43</v>
      </c>
      <c r="X116" s="2">
        <v>15</v>
      </c>
      <c r="Y116">
        <v>3</v>
      </c>
      <c r="Z116">
        <v>3</v>
      </c>
      <c r="AA116">
        <v>80</v>
      </c>
      <c r="AB116">
        <v>1</v>
      </c>
      <c r="AC116" s="2">
        <v>12</v>
      </c>
      <c r="AD116">
        <v>3</v>
      </c>
      <c r="AE116">
        <v>3</v>
      </c>
      <c r="AF116" s="2">
        <v>1</v>
      </c>
      <c r="AG116">
        <v>0</v>
      </c>
      <c r="AH116">
        <v>0</v>
      </c>
      <c r="AI116">
        <v>0</v>
      </c>
      <c r="AJ116" s="2" t="str">
        <f>IF(A116 A116 &lt;= 25, "18-25", IF(A116 &lt;=35, "26-35", IF(A116 &lt;=45, "36-45", IF(Table3[[#This Row],[Age]] &lt;=55, "46-55", "56+"))))</f>
        <v>26-35</v>
      </c>
      <c r="AK116" t="str">
        <f t="shared" si="1"/>
        <v>Low</v>
      </c>
      <c r="AL116" s="2" t="str">
        <f>IF(AF116 &lt; 3, "0-2 Years", IF(AF116 &lt;= 5, "3-5 Years", IF(AF116 &lt;= 10, "6-10 Years",IF(Table3[[#This Row],[Years At Company]]&lt;=20, "11-20 Years","20+ Years"))))</f>
        <v>0-2 Years</v>
      </c>
    </row>
    <row r="117" spans="1:38" x14ac:dyDescent="0.25">
      <c r="A117" s="2">
        <v>37</v>
      </c>
      <c r="B117" t="s">
        <v>43</v>
      </c>
      <c r="C117" t="s">
        <v>36</v>
      </c>
      <c r="D117" s="2">
        <v>1189</v>
      </c>
      <c r="E117" t="s">
        <v>37</v>
      </c>
      <c r="F117" s="2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 s="2">
        <v>7428</v>
      </c>
      <c r="T117">
        <v>14506</v>
      </c>
      <c r="U117">
        <v>2</v>
      </c>
      <c r="V117" t="s">
        <v>42</v>
      </c>
      <c r="W117" t="s">
        <v>43</v>
      </c>
      <c r="X117" s="2">
        <v>12</v>
      </c>
      <c r="Y117">
        <v>3</v>
      </c>
      <c r="Z117">
        <v>1</v>
      </c>
      <c r="AA117">
        <v>80</v>
      </c>
      <c r="AB117">
        <v>0</v>
      </c>
      <c r="AC117" s="2">
        <v>12</v>
      </c>
      <c r="AD117">
        <v>3</v>
      </c>
      <c r="AE117">
        <v>3</v>
      </c>
      <c r="AF117" s="2">
        <v>5</v>
      </c>
      <c r="AG117">
        <v>3</v>
      </c>
      <c r="AH117">
        <v>1</v>
      </c>
      <c r="AI117">
        <v>3</v>
      </c>
      <c r="AJ117" s="2" t="str">
        <f>IF(A117 A117 &lt;= 25, "18-25", IF(A117 &lt;=35, "26-35", IF(A117 &lt;=45, "36-45", IF(Table3[[#This Row],[Age]] &lt;=55, "46-55", "56+"))))</f>
        <v>36-45</v>
      </c>
      <c r="AK117" t="str">
        <f t="shared" si="1"/>
        <v>Medium</v>
      </c>
      <c r="AL117" s="2" t="str">
        <f>IF(AF117 &lt; 3, "0-2 Years", IF(AF117 &lt;= 5, "3-5 Years", IF(AF117 &lt;= 10, "6-10 Years",IF(Table3[[#This Row],[Years At Company]]&lt;=20, "11-20 Years","20+ Years"))))</f>
        <v>3-5 Years</v>
      </c>
    </row>
    <row r="118" spans="1:38" x14ac:dyDescent="0.25">
      <c r="A118" s="2">
        <v>34</v>
      </c>
      <c r="B118" t="s">
        <v>43</v>
      </c>
      <c r="C118" t="s">
        <v>36</v>
      </c>
      <c r="D118" s="2">
        <v>1354</v>
      </c>
      <c r="E118" t="s">
        <v>45</v>
      </c>
      <c r="F118" s="2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 s="2">
        <v>11631</v>
      </c>
      <c r="T118">
        <v>5615</v>
      </c>
      <c r="U118">
        <v>2</v>
      </c>
      <c r="V118" t="s">
        <v>42</v>
      </c>
      <c r="W118" t="s">
        <v>43</v>
      </c>
      <c r="X118" s="2">
        <v>12</v>
      </c>
      <c r="Y118">
        <v>3</v>
      </c>
      <c r="Z118">
        <v>4</v>
      </c>
      <c r="AA118">
        <v>80</v>
      </c>
      <c r="AB118">
        <v>0</v>
      </c>
      <c r="AC118" s="2">
        <v>14</v>
      </c>
      <c r="AD118">
        <v>6</v>
      </c>
      <c r="AE118">
        <v>3</v>
      </c>
      <c r="AF118" s="2">
        <v>11</v>
      </c>
      <c r="AG118">
        <v>10</v>
      </c>
      <c r="AH118">
        <v>5</v>
      </c>
      <c r="AI118">
        <v>8</v>
      </c>
      <c r="AJ118" s="2" t="str">
        <f>IF(A118 A118 &lt;= 25, "18-25", IF(A118 &lt;=35, "26-35", IF(A118 &lt;=45, "36-45", IF(Table3[[#This Row],[Age]] &lt;=55, "46-55", "56+"))))</f>
        <v>26-35</v>
      </c>
      <c r="AK118" t="str">
        <f t="shared" si="1"/>
        <v>High</v>
      </c>
      <c r="AL118" s="2" t="str">
        <f>IF(AF118 &lt; 3, "0-2 Years", IF(AF118 &lt;= 5, "3-5 Years", IF(AF118 &lt;= 10, "6-10 Years",IF(Table3[[#This Row],[Years At Company]]&lt;=20, "11-20 Years","20+ Years"))))</f>
        <v>11-20 Years</v>
      </c>
    </row>
    <row r="119" spans="1:38" x14ac:dyDescent="0.25">
      <c r="A119" s="2">
        <v>36</v>
      </c>
      <c r="B119" t="s">
        <v>43</v>
      </c>
      <c r="C119" t="s">
        <v>44</v>
      </c>
      <c r="D119" s="2">
        <v>1467</v>
      </c>
      <c r="E119" t="s">
        <v>37</v>
      </c>
      <c r="F119" s="2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 s="2">
        <v>9738</v>
      </c>
      <c r="T119">
        <v>22952</v>
      </c>
      <c r="U119">
        <v>0</v>
      </c>
      <c r="V119" t="s">
        <v>42</v>
      </c>
      <c r="W119" t="s">
        <v>43</v>
      </c>
      <c r="X119" s="2">
        <v>14</v>
      </c>
      <c r="Y119">
        <v>3</v>
      </c>
      <c r="Z119">
        <v>3</v>
      </c>
      <c r="AA119">
        <v>80</v>
      </c>
      <c r="AB119">
        <v>1</v>
      </c>
      <c r="AC119" s="2">
        <v>10</v>
      </c>
      <c r="AD119">
        <v>6</v>
      </c>
      <c r="AE119">
        <v>3</v>
      </c>
      <c r="AF119" s="2">
        <v>9</v>
      </c>
      <c r="AG119">
        <v>7</v>
      </c>
      <c r="AH119">
        <v>2</v>
      </c>
      <c r="AI119">
        <v>8</v>
      </c>
      <c r="AJ119" s="2" t="str">
        <f>IF(A119 A119 &lt;= 25, "18-25", IF(A119 &lt;=35, "26-35", IF(A119 &lt;=45, "36-45", IF(Table3[[#This Row],[Age]] &lt;=55, "46-55", "56+"))))</f>
        <v>36-45</v>
      </c>
      <c r="AK119" t="str">
        <f t="shared" si="1"/>
        <v>Medium</v>
      </c>
      <c r="AL119" s="2" t="str">
        <f>IF(AF119 &lt; 3, "0-2 Years", IF(AF119 &lt;= 5, "3-5 Years", IF(AF119 &lt;= 10, "6-10 Years",IF(Table3[[#This Row],[Years At Company]]&lt;=20, "11-20 Years","20+ Years"))))</f>
        <v>6-10 Years</v>
      </c>
    </row>
    <row r="120" spans="1:38" x14ac:dyDescent="0.25">
      <c r="A120" s="2">
        <v>36</v>
      </c>
      <c r="B120" t="s">
        <v>43</v>
      </c>
      <c r="C120" t="s">
        <v>36</v>
      </c>
      <c r="D120" s="2">
        <v>922</v>
      </c>
      <c r="E120" t="s">
        <v>45</v>
      </c>
      <c r="F120" s="2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 s="2">
        <v>2835</v>
      </c>
      <c r="T120">
        <v>2561</v>
      </c>
      <c r="U120">
        <v>5</v>
      </c>
      <c r="V120" t="s">
        <v>42</v>
      </c>
      <c r="W120" t="s">
        <v>43</v>
      </c>
      <c r="X120" s="2">
        <v>22</v>
      </c>
      <c r="Y120">
        <v>4</v>
      </c>
      <c r="Z120">
        <v>1</v>
      </c>
      <c r="AA120">
        <v>80</v>
      </c>
      <c r="AB120">
        <v>1</v>
      </c>
      <c r="AC120" s="2">
        <v>7</v>
      </c>
      <c r="AD120">
        <v>2</v>
      </c>
      <c r="AE120">
        <v>3</v>
      </c>
      <c r="AF120" s="2">
        <v>1</v>
      </c>
      <c r="AG120">
        <v>0</v>
      </c>
      <c r="AH120">
        <v>0</v>
      </c>
      <c r="AI120">
        <v>0</v>
      </c>
      <c r="AJ120" s="2" t="str">
        <f>IF(A120 A120 &lt;= 25, "18-25", IF(A120 &lt;=35, "26-35", IF(A120 &lt;=45, "36-45", IF(Table3[[#This Row],[Age]] &lt;=55, "46-55", "56+"))))</f>
        <v>36-45</v>
      </c>
      <c r="AK120" t="str">
        <f t="shared" si="1"/>
        <v>Low</v>
      </c>
      <c r="AL120" s="2" t="str">
        <f>IF(AF120 &lt; 3, "0-2 Years", IF(AF120 &lt;= 5, "3-5 Years", IF(AF120 &lt;= 10, "6-10 Years",IF(Table3[[#This Row],[Years At Company]]&lt;=20, "11-20 Years","20+ Years"))))</f>
        <v>0-2 Years</v>
      </c>
    </row>
    <row r="121" spans="1:38" x14ac:dyDescent="0.25">
      <c r="A121" s="2">
        <v>43</v>
      </c>
      <c r="B121" t="s">
        <v>43</v>
      </c>
      <c r="C121" t="s">
        <v>44</v>
      </c>
      <c r="D121" s="2">
        <v>394</v>
      </c>
      <c r="E121" t="s">
        <v>37</v>
      </c>
      <c r="F121" s="2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 s="2">
        <v>16959</v>
      </c>
      <c r="T121">
        <v>19494</v>
      </c>
      <c r="U121">
        <v>1</v>
      </c>
      <c r="V121" t="s">
        <v>42</v>
      </c>
      <c r="W121" t="s">
        <v>35</v>
      </c>
      <c r="X121" s="2">
        <v>12</v>
      </c>
      <c r="Y121">
        <v>3</v>
      </c>
      <c r="Z121">
        <v>4</v>
      </c>
      <c r="AA121">
        <v>80</v>
      </c>
      <c r="AB121">
        <v>2</v>
      </c>
      <c r="AC121" s="2">
        <v>25</v>
      </c>
      <c r="AD121">
        <v>3</v>
      </c>
      <c r="AE121">
        <v>4</v>
      </c>
      <c r="AF121" s="2">
        <v>25</v>
      </c>
      <c r="AG121">
        <v>12</v>
      </c>
      <c r="AH121">
        <v>4</v>
      </c>
      <c r="AI121">
        <v>12</v>
      </c>
      <c r="AJ121" s="2" t="str">
        <f>IF(A121 A121 &lt;= 25, "18-25", IF(A121 &lt;=35, "26-35", IF(A121 &lt;=45, "36-45", IF(Table3[[#This Row],[Age]] &lt;=55, "46-55", "56+"))))</f>
        <v>36-45</v>
      </c>
      <c r="AK121" t="str">
        <f t="shared" si="1"/>
        <v>High</v>
      </c>
      <c r="AL121" s="2" t="str">
        <f>IF(AF121 &lt; 3, "0-2 Years", IF(AF121 &lt;= 5, "3-5 Years", IF(AF121 &lt;= 10, "6-10 Years",IF(Table3[[#This Row],[Years At Company]]&lt;=20, "11-20 Years","20+ Years"))))</f>
        <v>20+ Years</v>
      </c>
    </row>
    <row r="122" spans="1:38" x14ac:dyDescent="0.25">
      <c r="A122" s="2">
        <v>30</v>
      </c>
      <c r="B122" t="s">
        <v>43</v>
      </c>
      <c r="C122" t="s">
        <v>44</v>
      </c>
      <c r="D122" s="2">
        <v>1312</v>
      </c>
      <c r="E122" t="s">
        <v>45</v>
      </c>
      <c r="F122" s="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 s="2">
        <v>2613</v>
      </c>
      <c r="T122">
        <v>22310</v>
      </c>
      <c r="U122">
        <v>1</v>
      </c>
      <c r="V122" t="s">
        <v>42</v>
      </c>
      <c r="W122" t="s">
        <v>43</v>
      </c>
      <c r="X122" s="2">
        <v>25</v>
      </c>
      <c r="Y122">
        <v>4</v>
      </c>
      <c r="Z122">
        <v>3</v>
      </c>
      <c r="AA122">
        <v>80</v>
      </c>
      <c r="AB122">
        <v>3</v>
      </c>
      <c r="AC122" s="2">
        <v>10</v>
      </c>
      <c r="AD122">
        <v>2</v>
      </c>
      <c r="AE122">
        <v>2</v>
      </c>
      <c r="AF122" s="2">
        <v>10</v>
      </c>
      <c r="AG122">
        <v>7</v>
      </c>
      <c r="AH122">
        <v>0</v>
      </c>
      <c r="AI122">
        <v>9</v>
      </c>
      <c r="AJ122" s="2" t="str">
        <f>IF(A122 A122 &lt;= 25, "18-25", IF(A122 &lt;=35, "26-35", IF(A122 &lt;=45, "36-45", IF(Table3[[#This Row],[Age]] &lt;=55, "46-55", "56+"))))</f>
        <v>26-35</v>
      </c>
      <c r="AK122" t="str">
        <f t="shared" si="1"/>
        <v>Low</v>
      </c>
      <c r="AL122" s="2" t="str">
        <f>IF(AF122 &lt; 3, "0-2 Years", IF(AF122 &lt;= 5, "3-5 Years", IF(AF122 &lt;= 10, "6-10 Years",IF(Table3[[#This Row],[Years At Company]]&lt;=20, "11-20 Years","20+ Years"))))</f>
        <v>6-10 Years</v>
      </c>
    </row>
    <row r="123" spans="1:38" x14ac:dyDescent="0.25">
      <c r="A123" s="2">
        <v>33</v>
      </c>
      <c r="B123" t="s">
        <v>43</v>
      </c>
      <c r="C123" t="s">
        <v>55</v>
      </c>
      <c r="D123" s="2">
        <v>750</v>
      </c>
      <c r="E123" t="s">
        <v>37</v>
      </c>
      <c r="F123" s="2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 s="2">
        <v>6146</v>
      </c>
      <c r="T123">
        <v>15480</v>
      </c>
      <c r="U123">
        <v>0</v>
      </c>
      <c r="V123" t="s">
        <v>42</v>
      </c>
      <c r="W123" t="s">
        <v>43</v>
      </c>
      <c r="X123" s="2">
        <v>13</v>
      </c>
      <c r="Y123">
        <v>3</v>
      </c>
      <c r="Z123">
        <v>1</v>
      </c>
      <c r="AA123">
        <v>80</v>
      </c>
      <c r="AB123">
        <v>1</v>
      </c>
      <c r="AC123" s="2">
        <v>8</v>
      </c>
      <c r="AD123">
        <v>2</v>
      </c>
      <c r="AE123">
        <v>4</v>
      </c>
      <c r="AF123" s="2">
        <v>7</v>
      </c>
      <c r="AG123">
        <v>7</v>
      </c>
      <c r="AH123">
        <v>0</v>
      </c>
      <c r="AI123">
        <v>7</v>
      </c>
      <c r="AJ123" s="2" t="str">
        <f>IF(A123 A123 &lt;= 25, "18-25", IF(A123 &lt;=35, "26-35", IF(A123 &lt;=45, "36-45", IF(Table3[[#This Row],[Age]] &lt;=55, "46-55", "56+"))))</f>
        <v>26-35</v>
      </c>
      <c r="AK123" t="str">
        <f t="shared" si="1"/>
        <v>Medium</v>
      </c>
      <c r="AL123" s="2" t="str">
        <f>IF(AF123 &lt; 3, "0-2 Years", IF(AF123 &lt;= 5, "3-5 Years", IF(AF123 &lt;= 10, "6-10 Years",IF(Table3[[#This Row],[Years At Company]]&lt;=20, "11-20 Years","20+ Years"))))</f>
        <v>6-10 Years</v>
      </c>
    </row>
    <row r="124" spans="1:38" x14ac:dyDescent="0.25">
      <c r="A124" s="2">
        <v>56</v>
      </c>
      <c r="B124" t="s">
        <v>35</v>
      </c>
      <c r="C124" t="s">
        <v>36</v>
      </c>
      <c r="D124" s="2">
        <v>441</v>
      </c>
      <c r="E124" t="s">
        <v>45</v>
      </c>
      <c r="F124" s="2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 s="2">
        <v>4963</v>
      </c>
      <c r="T124">
        <v>4510</v>
      </c>
      <c r="U124">
        <v>9</v>
      </c>
      <c r="V124" t="s">
        <v>42</v>
      </c>
      <c r="W124" t="s">
        <v>35</v>
      </c>
      <c r="X124" s="2">
        <v>18</v>
      </c>
      <c r="Y124">
        <v>3</v>
      </c>
      <c r="Z124">
        <v>1</v>
      </c>
      <c r="AA124">
        <v>80</v>
      </c>
      <c r="AB124">
        <v>3</v>
      </c>
      <c r="AC124" s="2">
        <v>7</v>
      </c>
      <c r="AD124">
        <v>2</v>
      </c>
      <c r="AE124">
        <v>3</v>
      </c>
      <c r="AF124" s="2">
        <v>5</v>
      </c>
      <c r="AG124">
        <v>4</v>
      </c>
      <c r="AH124">
        <v>4</v>
      </c>
      <c r="AI124">
        <v>3</v>
      </c>
      <c r="AJ124" s="2" t="str">
        <f>IF(A124 A124 &lt;= 25, "18-25", IF(A124 &lt;=35, "26-35", IF(A124 &lt;=45, "36-45", IF(Table3[[#This Row],[Age]] &lt;=55, "46-55", "56+"))))</f>
        <v>56+</v>
      </c>
      <c r="AK124" t="str">
        <f t="shared" si="1"/>
        <v>Low</v>
      </c>
      <c r="AL124" s="2" t="str">
        <f>IF(AF124 &lt; 3, "0-2 Years", IF(AF124 &lt;= 5, "3-5 Years", IF(AF124 &lt;= 10, "6-10 Years",IF(Table3[[#This Row],[Years At Company]]&lt;=20, "11-20 Years","20+ Years"))))</f>
        <v>3-5 Years</v>
      </c>
    </row>
    <row r="125" spans="1:38" x14ac:dyDescent="0.25">
      <c r="A125" s="2">
        <v>51</v>
      </c>
      <c r="B125" t="s">
        <v>43</v>
      </c>
      <c r="C125" t="s">
        <v>36</v>
      </c>
      <c r="D125" s="2">
        <v>684</v>
      </c>
      <c r="E125" t="s">
        <v>45</v>
      </c>
      <c r="F125" s="2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 s="2">
        <v>19537</v>
      </c>
      <c r="T125">
        <v>6462</v>
      </c>
      <c r="U125">
        <v>7</v>
      </c>
      <c r="V125" t="s">
        <v>42</v>
      </c>
      <c r="W125" t="s">
        <v>43</v>
      </c>
      <c r="X125" s="2">
        <v>13</v>
      </c>
      <c r="Y125">
        <v>3</v>
      </c>
      <c r="Z125">
        <v>3</v>
      </c>
      <c r="AA125">
        <v>80</v>
      </c>
      <c r="AB125">
        <v>0</v>
      </c>
      <c r="AC125" s="2">
        <v>23</v>
      </c>
      <c r="AD125">
        <v>5</v>
      </c>
      <c r="AE125">
        <v>3</v>
      </c>
      <c r="AF125" s="2">
        <v>20</v>
      </c>
      <c r="AG125">
        <v>18</v>
      </c>
      <c r="AH125">
        <v>15</v>
      </c>
      <c r="AI125">
        <v>15</v>
      </c>
      <c r="AJ125" s="2" t="str">
        <f>IF(A125 A125 &lt;= 25, "18-25", IF(A125 &lt;=35, "26-35", IF(A125 &lt;=45, "36-45", IF(Table3[[#This Row],[Age]] &lt;=55, "46-55", "56+"))))</f>
        <v>46-55</v>
      </c>
      <c r="AK125" t="str">
        <f t="shared" si="1"/>
        <v>High</v>
      </c>
      <c r="AL125" s="2" t="str">
        <f>IF(AF125 &lt; 3, "0-2 Years", IF(AF125 &lt;= 5, "3-5 Years", IF(AF125 &lt;= 10, "6-10 Years",IF(Table3[[#This Row],[Years At Company]]&lt;=20, "11-20 Years","20+ Years"))))</f>
        <v>11-20 Years</v>
      </c>
    </row>
    <row r="126" spans="1:38" x14ac:dyDescent="0.25">
      <c r="A126" s="2">
        <v>31</v>
      </c>
      <c r="B126" t="s">
        <v>35</v>
      </c>
      <c r="C126" t="s">
        <v>36</v>
      </c>
      <c r="D126" s="2">
        <v>249</v>
      </c>
      <c r="E126" t="s">
        <v>37</v>
      </c>
      <c r="F126" s="2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 s="2">
        <v>6172</v>
      </c>
      <c r="T126">
        <v>20739</v>
      </c>
      <c r="U126">
        <v>4</v>
      </c>
      <c r="V126" t="s">
        <v>42</v>
      </c>
      <c r="W126" t="s">
        <v>35</v>
      </c>
      <c r="X126" s="2">
        <v>18</v>
      </c>
      <c r="Y126">
        <v>3</v>
      </c>
      <c r="Z126">
        <v>2</v>
      </c>
      <c r="AA126">
        <v>80</v>
      </c>
      <c r="AB126">
        <v>0</v>
      </c>
      <c r="AC126" s="2">
        <v>12</v>
      </c>
      <c r="AD126">
        <v>3</v>
      </c>
      <c r="AE126">
        <v>2</v>
      </c>
      <c r="AF126" s="2">
        <v>7</v>
      </c>
      <c r="AG126">
        <v>7</v>
      </c>
      <c r="AH126">
        <v>7</v>
      </c>
      <c r="AI126">
        <v>7</v>
      </c>
      <c r="AJ126" s="2" t="str">
        <f>IF(A126 A126 &lt;= 25, "18-25", IF(A126 &lt;=35, "26-35", IF(A126 &lt;=45, "36-45", IF(Table3[[#This Row],[Age]] &lt;=55, "46-55", "56+"))))</f>
        <v>26-35</v>
      </c>
      <c r="AK126" t="str">
        <f t="shared" si="1"/>
        <v>Medium</v>
      </c>
      <c r="AL126" s="2" t="str">
        <f>IF(AF126 &lt; 3, "0-2 Years", IF(AF126 &lt;= 5, "3-5 Years", IF(AF126 &lt;= 10, "6-10 Years",IF(Table3[[#This Row],[Years At Company]]&lt;=20, "11-20 Years","20+ Years"))))</f>
        <v>6-10 Years</v>
      </c>
    </row>
    <row r="127" spans="1:38" x14ac:dyDescent="0.25">
      <c r="A127" s="2">
        <v>26</v>
      </c>
      <c r="B127" t="s">
        <v>43</v>
      </c>
      <c r="C127" t="s">
        <v>36</v>
      </c>
      <c r="D127" s="2">
        <v>841</v>
      </c>
      <c r="E127" t="s">
        <v>45</v>
      </c>
      <c r="F127" s="2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 s="2">
        <v>2368</v>
      </c>
      <c r="T127">
        <v>23300</v>
      </c>
      <c r="U127">
        <v>1</v>
      </c>
      <c r="V127" t="s">
        <v>42</v>
      </c>
      <c r="W127" t="s">
        <v>43</v>
      </c>
      <c r="X127" s="2">
        <v>19</v>
      </c>
      <c r="Y127">
        <v>3</v>
      </c>
      <c r="Z127">
        <v>3</v>
      </c>
      <c r="AA127">
        <v>80</v>
      </c>
      <c r="AB127">
        <v>0</v>
      </c>
      <c r="AC127" s="2">
        <v>5</v>
      </c>
      <c r="AD127">
        <v>3</v>
      </c>
      <c r="AE127">
        <v>2</v>
      </c>
      <c r="AF127" s="2">
        <v>5</v>
      </c>
      <c r="AG127">
        <v>4</v>
      </c>
      <c r="AH127">
        <v>4</v>
      </c>
      <c r="AI127">
        <v>3</v>
      </c>
      <c r="AJ127" s="2" t="str">
        <f>IF(A127 A127 &lt;= 25, "18-25", IF(A127 &lt;=35, "26-35", IF(A127 &lt;=45, "36-45", IF(Table3[[#This Row],[Age]] &lt;=55, "46-55", "56+"))))</f>
        <v>26-35</v>
      </c>
      <c r="AK127" t="str">
        <f t="shared" si="1"/>
        <v>Low</v>
      </c>
      <c r="AL127" s="2" t="str">
        <f>IF(AF127 &lt; 3, "0-2 Years", IF(AF127 &lt;= 5, "3-5 Years", IF(AF127 &lt;= 10, "6-10 Years",IF(Table3[[#This Row],[Years At Company]]&lt;=20, "11-20 Years","20+ Years"))))</f>
        <v>3-5 Years</v>
      </c>
    </row>
    <row r="128" spans="1:38" x14ac:dyDescent="0.25">
      <c r="A128" s="2">
        <v>58</v>
      </c>
      <c r="B128" t="s">
        <v>35</v>
      </c>
      <c r="C128" t="s">
        <v>36</v>
      </c>
      <c r="D128" s="2">
        <v>147</v>
      </c>
      <c r="E128" t="s">
        <v>45</v>
      </c>
      <c r="F128" s="2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 s="2">
        <v>10312</v>
      </c>
      <c r="T128">
        <v>3465</v>
      </c>
      <c r="U128">
        <v>1</v>
      </c>
      <c r="V128" t="s">
        <v>42</v>
      </c>
      <c r="W128" t="s">
        <v>43</v>
      </c>
      <c r="X128" s="2">
        <v>12</v>
      </c>
      <c r="Y128">
        <v>3</v>
      </c>
      <c r="Z128">
        <v>4</v>
      </c>
      <c r="AA128">
        <v>80</v>
      </c>
      <c r="AB128">
        <v>1</v>
      </c>
      <c r="AC128" s="2">
        <v>40</v>
      </c>
      <c r="AD128">
        <v>3</v>
      </c>
      <c r="AE128">
        <v>2</v>
      </c>
      <c r="AF128" s="2">
        <v>40</v>
      </c>
      <c r="AG128">
        <v>10</v>
      </c>
      <c r="AH128">
        <v>15</v>
      </c>
      <c r="AI128">
        <v>6</v>
      </c>
      <c r="AJ128" s="2" t="str">
        <f>IF(A128 A128 &lt;= 25, "18-25", IF(A128 &lt;=35, "26-35", IF(A128 &lt;=45, "36-45", IF(Table3[[#This Row],[Age]] &lt;=55, "46-55", "56+"))))</f>
        <v>56+</v>
      </c>
      <c r="AK128" t="str">
        <f t="shared" si="1"/>
        <v>High</v>
      </c>
      <c r="AL128" s="2" t="str">
        <f>IF(AF128 &lt; 3, "0-2 Years", IF(AF128 &lt;= 5, "3-5 Years", IF(AF128 &lt;= 10, "6-10 Years",IF(Table3[[#This Row],[Years At Company]]&lt;=20, "11-20 Years","20+ Years"))))</f>
        <v>20+ Years</v>
      </c>
    </row>
    <row r="129" spans="1:38" x14ac:dyDescent="0.25">
      <c r="A129" s="2">
        <v>19</v>
      </c>
      <c r="B129" t="s">
        <v>35</v>
      </c>
      <c r="C129" t="s">
        <v>36</v>
      </c>
      <c r="D129" s="2">
        <v>528</v>
      </c>
      <c r="E129" t="s">
        <v>37</v>
      </c>
      <c r="F129" s="2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 s="2">
        <v>1675</v>
      </c>
      <c r="T129">
        <v>26820</v>
      </c>
      <c r="U129">
        <v>1</v>
      </c>
      <c r="V129" t="s">
        <v>42</v>
      </c>
      <c r="W129" t="s">
        <v>35</v>
      </c>
      <c r="X129" s="2">
        <v>19</v>
      </c>
      <c r="Y129">
        <v>3</v>
      </c>
      <c r="Z129">
        <v>4</v>
      </c>
      <c r="AA129">
        <v>80</v>
      </c>
      <c r="AB129">
        <v>0</v>
      </c>
      <c r="AC129" s="2">
        <v>0</v>
      </c>
      <c r="AD129">
        <v>2</v>
      </c>
      <c r="AE129">
        <v>2</v>
      </c>
      <c r="AF129" s="2">
        <v>0</v>
      </c>
      <c r="AG129">
        <v>0</v>
      </c>
      <c r="AH129">
        <v>0</v>
      </c>
      <c r="AI129">
        <v>0</v>
      </c>
      <c r="AJ129" s="2" t="str">
        <f>IF(A129 A129 &lt;= 25, "18-25", IF(A129 &lt;=35, "26-35", IF(A129 &lt;=45, "36-45", IF(Table3[[#This Row],[Age]] &lt;=55, "46-55", "56+"))))</f>
        <v>18-25</v>
      </c>
      <c r="AK129" t="str">
        <f t="shared" si="1"/>
        <v>Low</v>
      </c>
      <c r="AL129" s="2" t="str">
        <f>IF(AF129 &lt; 3, "0-2 Years", IF(AF129 &lt;= 5, "3-5 Years", IF(AF129 &lt;= 10, "6-10 Years",IF(Table3[[#This Row],[Years At Company]]&lt;=20, "11-20 Years","20+ Years"))))</f>
        <v>0-2 Years</v>
      </c>
    </row>
    <row r="130" spans="1:38" x14ac:dyDescent="0.25">
      <c r="A130" s="2">
        <v>22</v>
      </c>
      <c r="B130" t="s">
        <v>43</v>
      </c>
      <c r="C130" t="s">
        <v>36</v>
      </c>
      <c r="D130" s="2">
        <v>594</v>
      </c>
      <c r="E130" t="s">
        <v>45</v>
      </c>
      <c r="F130" s="2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 s="2">
        <v>2523</v>
      </c>
      <c r="T130">
        <v>19299</v>
      </c>
      <c r="U130">
        <v>0</v>
      </c>
      <c r="V130" t="s">
        <v>42</v>
      </c>
      <c r="W130" t="s">
        <v>43</v>
      </c>
      <c r="X130" s="2">
        <v>14</v>
      </c>
      <c r="Y130">
        <v>3</v>
      </c>
      <c r="Z130">
        <v>3</v>
      </c>
      <c r="AA130">
        <v>80</v>
      </c>
      <c r="AB130">
        <v>1</v>
      </c>
      <c r="AC130" s="2">
        <v>3</v>
      </c>
      <c r="AD130">
        <v>2</v>
      </c>
      <c r="AE130">
        <v>3</v>
      </c>
      <c r="AF130" s="2">
        <v>2</v>
      </c>
      <c r="AG130">
        <v>1</v>
      </c>
      <c r="AH130">
        <v>2</v>
      </c>
      <c r="AI130">
        <v>1</v>
      </c>
      <c r="AJ130" s="2" t="str">
        <f>IF(A130 A130 &lt;= 25, "18-25", IF(A130 &lt;=35, "26-35", IF(A130 &lt;=45, "36-45", IF(Table3[[#This Row],[Age]] &lt;=55, "46-55", "56+"))))</f>
        <v>18-25</v>
      </c>
      <c r="AK130" t="str">
        <f t="shared" ref="AK130:AK193" si="2">IF(S130 &lt; 5000, "Low",IF(S130 &lt;=9999, "Medium", "High"))</f>
        <v>Low</v>
      </c>
      <c r="AL130" s="2" t="str">
        <f>IF(AF130 &lt; 3, "0-2 Years", IF(AF130 &lt;= 5, "3-5 Years", IF(AF130 &lt;= 10, "6-10 Years",IF(Table3[[#This Row],[Years At Company]]&lt;=20, "11-20 Years","20+ Years"))))</f>
        <v>0-2 Years</v>
      </c>
    </row>
    <row r="131" spans="1:38" x14ac:dyDescent="0.25">
      <c r="A131" s="2">
        <v>49</v>
      </c>
      <c r="B131" t="s">
        <v>43</v>
      </c>
      <c r="C131" t="s">
        <v>36</v>
      </c>
      <c r="D131" s="2">
        <v>470</v>
      </c>
      <c r="E131" t="s">
        <v>45</v>
      </c>
      <c r="F131" s="2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 s="2">
        <v>6567</v>
      </c>
      <c r="T131">
        <v>5549</v>
      </c>
      <c r="U131">
        <v>1</v>
      </c>
      <c r="V131" t="s">
        <v>42</v>
      </c>
      <c r="W131" t="s">
        <v>43</v>
      </c>
      <c r="X131" s="2">
        <v>14</v>
      </c>
      <c r="Y131">
        <v>3</v>
      </c>
      <c r="Z131">
        <v>3</v>
      </c>
      <c r="AA131">
        <v>80</v>
      </c>
      <c r="AB131">
        <v>0</v>
      </c>
      <c r="AC131" s="2">
        <v>16</v>
      </c>
      <c r="AD131">
        <v>2</v>
      </c>
      <c r="AE131">
        <v>2</v>
      </c>
      <c r="AF131" s="2">
        <v>15</v>
      </c>
      <c r="AG131">
        <v>11</v>
      </c>
      <c r="AH131">
        <v>5</v>
      </c>
      <c r="AI131">
        <v>11</v>
      </c>
      <c r="AJ131" s="2" t="str">
        <f>IF(A131 A131 &lt;= 25, "18-25", IF(A131 &lt;=35, "26-35", IF(A131 &lt;=45, "36-45", IF(Table3[[#This Row],[Age]] &lt;=55, "46-55", "56+"))))</f>
        <v>46-55</v>
      </c>
      <c r="AK131" t="str">
        <f t="shared" si="2"/>
        <v>Medium</v>
      </c>
      <c r="AL131" s="2" t="str">
        <f>IF(AF131 &lt; 3, "0-2 Years", IF(AF131 &lt;= 5, "3-5 Years", IF(AF131 &lt;= 10, "6-10 Years",IF(Table3[[#This Row],[Years At Company]]&lt;=20, "11-20 Years","20+ Years"))))</f>
        <v>11-20 Years</v>
      </c>
    </row>
    <row r="132" spans="1:38" x14ac:dyDescent="0.25">
      <c r="A132" s="2">
        <v>43</v>
      </c>
      <c r="B132" t="s">
        <v>43</v>
      </c>
      <c r="C132" t="s">
        <v>44</v>
      </c>
      <c r="D132" s="2">
        <v>957</v>
      </c>
      <c r="E132" t="s">
        <v>45</v>
      </c>
      <c r="F132" s="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 s="2">
        <v>4739</v>
      </c>
      <c r="T132">
        <v>16090</v>
      </c>
      <c r="U132">
        <v>4</v>
      </c>
      <c r="V132" t="s">
        <v>42</v>
      </c>
      <c r="W132" t="s">
        <v>43</v>
      </c>
      <c r="X132" s="2">
        <v>12</v>
      </c>
      <c r="Y132">
        <v>3</v>
      </c>
      <c r="Z132">
        <v>4</v>
      </c>
      <c r="AA132">
        <v>80</v>
      </c>
      <c r="AB132">
        <v>0</v>
      </c>
      <c r="AC132" s="2">
        <v>18</v>
      </c>
      <c r="AD132">
        <v>2</v>
      </c>
      <c r="AE132">
        <v>3</v>
      </c>
      <c r="AF132" s="2">
        <v>3</v>
      </c>
      <c r="AG132">
        <v>2</v>
      </c>
      <c r="AH132">
        <v>1</v>
      </c>
      <c r="AI132">
        <v>2</v>
      </c>
      <c r="AJ132" s="2" t="str">
        <f>IF(A132 A132 &lt;= 25, "18-25", IF(A132 &lt;=35, "26-35", IF(A132 &lt;=45, "36-45", IF(Table3[[#This Row],[Age]] &lt;=55, "46-55", "56+"))))</f>
        <v>36-45</v>
      </c>
      <c r="AK132" t="str">
        <f t="shared" si="2"/>
        <v>Low</v>
      </c>
      <c r="AL132" s="2" t="str">
        <f>IF(AF132 &lt; 3, "0-2 Years", IF(AF132 &lt;= 5, "3-5 Years", IF(AF132 &lt;= 10, "6-10 Years",IF(Table3[[#This Row],[Years At Company]]&lt;=20, "11-20 Years","20+ Years"))))</f>
        <v>3-5 Years</v>
      </c>
    </row>
    <row r="133" spans="1:38" x14ac:dyDescent="0.25">
      <c r="A133" s="2">
        <v>50</v>
      </c>
      <c r="B133" t="s">
        <v>43</v>
      </c>
      <c r="C133" t="s">
        <v>44</v>
      </c>
      <c r="D133" s="2">
        <v>809</v>
      </c>
      <c r="E133" t="s">
        <v>37</v>
      </c>
      <c r="F133" s="2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 s="2">
        <v>9208</v>
      </c>
      <c r="T133">
        <v>6645</v>
      </c>
      <c r="U133">
        <v>4</v>
      </c>
      <c r="V133" t="s">
        <v>42</v>
      </c>
      <c r="W133" t="s">
        <v>43</v>
      </c>
      <c r="X133" s="2">
        <v>11</v>
      </c>
      <c r="Y133">
        <v>3</v>
      </c>
      <c r="Z133">
        <v>4</v>
      </c>
      <c r="AA133">
        <v>80</v>
      </c>
      <c r="AB133">
        <v>0</v>
      </c>
      <c r="AC133" s="2">
        <v>16</v>
      </c>
      <c r="AD133">
        <v>3</v>
      </c>
      <c r="AE133">
        <v>3</v>
      </c>
      <c r="AF133" s="2">
        <v>2</v>
      </c>
      <c r="AG133">
        <v>2</v>
      </c>
      <c r="AH133">
        <v>2</v>
      </c>
      <c r="AI133">
        <v>1</v>
      </c>
      <c r="AJ133" s="2" t="str">
        <f>IF(A133 A133 &lt;= 25, "18-25", IF(A133 &lt;=35, "26-35", IF(A133 &lt;=45, "36-45", IF(Table3[[#This Row],[Age]] &lt;=55, "46-55", "56+"))))</f>
        <v>46-55</v>
      </c>
      <c r="AK133" t="str">
        <f t="shared" si="2"/>
        <v>Medium</v>
      </c>
      <c r="AL133" s="2" t="str">
        <f>IF(AF133 &lt; 3, "0-2 Years", IF(AF133 &lt;= 5, "3-5 Years", IF(AF133 &lt;= 10, "6-10 Years",IF(Table3[[#This Row],[Years At Company]]&lt;=20, "11-20 Years","20+ Years"))))</f>
        <v>0-2 Years</v>
      </c>
    </row>
    <row r="134" spans="1:38" x14ac:dyDescent="0.25">
      <c r="A134" s="2">
        <v>31</v>
      </c>
      <c r="B134" t="s">
        <v>35</v>
      </c>
      <c r="C134" t="s">
        <v>36</v>
      </c>
      <c r="D134" s="2">
        <v>542</v>
      </c>
      <c r="E134" t="s">
        <v>37</v>
      </c>
      <c r="F134" s="2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 s="2">
        <v>4559</v>
      </c>
      <c r="T134">
        <v>24788</v>
      </c>
      <c r="U134">
        <v>3</v>
      </c>
      <c r="V134" t="s">
        <v>42</v>
      </c>
      <c r="W134" t="s">
        <v>35</v>
      </c>
      <c r="X134" s="2">
        <v>11</v>
      </c>
      <c r="Y134">
        <v>3</v>
      </c>
      <c r="Z134">
        <v>3</v>
      </c>
      <c r="AA134">
        <v>80</v>
      </c>
      <c r="AB134">
        <v>1</v>
      </c>
      <c r="AC134" s="2">
        <v>4</v>
      </c>
      <c r="AD134">
        <v>2</v>
      </c>
      <c r="AE134">
        <v>3</v>
      </c>
      <c r="AF134" s="2">
        <v>2</v>
      </c>
      <c r="AG134">
        <v>2</v>
      </c>
      <c r="AH134">
        <v>2</v>
      </c>
      <c r="AI134">
        <v>2</v>
      </c>
      <c r="AJ134" s="2" t="str">
        <f>IF(A134 A134 &lt;= 25, "18-25", IF(A134 &lt;=35, "26-35", IF(A134 &lt;=45, "36-45", IF(Table3[[#This Row],[Age]] &lt;=55, "46-55", "56+"))))</f>
        <v>26-35</v>
      </c>
      <c r="AK134" t="str">
        <f t="shared" si="2"/>
        <v>Low</v>
      </c>
      <c r="AL134" s="2" t="str">
        <f>IF(AF134 &lt; 3, "0-2 Years", IF(AF134 &lt;= 5, "3-5 Years", IF(AF134 &lt;= 10, "6-10 Years",IF(Table3[[#This Row],[Years At Company]]&lt;=20, "11-20 Years","20+ Years"))))</f>
        <v>0-2 Years</v>
      </c>
    </row>
    <row r="135" spans="1:38" x14ac:dyDescent="0.25">
      <c r="A135" s="2">
        <v>41</v>
      </c>
      <c r="B135" t="s">
        <v>43</v>
      </c>
      <c r="C135" t="s">
        <v>36</v>
      </c>
      <c r="D135" s="2">
        <v>802</v>
      </c>
      <c r="E135" t="s">
        <v>37</v>
      </c>
      <c r="F135" s="2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 s="2">
        <v>8189</v>
      </c>
      <c r="T135">
        <v>21196</v>
      </c>
      <c r="U135">
        <v>3</v>
      </c>
      <c r="V135" t="s">
        <v>42</v>
      </c>
      <c r="W135" t="s">
        <v>35</v>
      </c>
      <c r="X135" s="2">
        <v>13</v>
      </c>
      <c r="Y135">
        <v>3</v>
      </c>
      <c r="Z135">
        <v>3</v>
      </c>
      <c r="AA135">
        <v>80</v>
      </c>
      <c r="AB135">
        <v>1</v>
      </c>
      <c r="AC135" s="2">
        <v>12</v>
      </c>
      <c r="AD135">
        <v>2</v>
      </c>
      <c r="AE135">
        <v>3</v>
      </c>
      <c r="AF135" s="2">
        <v>9</v>
      </c>
      <c r="AG135">
        <v>7</v>
      </c>
      <c r="AH135">
        <v>0</v>
      </c>
      <c r="AI135">
        <v>7</v>
      </c>
      <c r="AJ135" s="2" t="str">
        <f>IF(A135 A135 &lt;= 25, "18-25", IF(A135 &lt;=35, "26-35", IF(A135 &lt;=45, "36-45", IF(Table3[[#This Row],[Age]] &lt;=55, "46-55", "56+"))))</f>
        <v>36-45</v>
      </c>
      <c r="AK135" t="str">
        <f t="shared" si="2"/>
        <v>Medium</v>
      </c>
      <c r="AL135" s="2" t="str">
        <f>IF(AF135 &lt; 3, "0-2 Years", IF(AF135 &lt;= 5, "3-5 Years", IF(AF135 &lt;= 10, "6-10 Years",IF(Table3[[#This Row],[Years At Company]]&lt;=20, "11-20 Years","20+ Years"))))</f>
        <v>6-10 Years</v>
      </c>
    </row>
    <row r="136" spans="1:38" x14ac:dyDescent="0.25">
      <c r="A136" s="2">
        <v>26</v>
      </c>
      <c r="B136" t="s">
        <v>43</v>
      </c>
      <c r="C136" t="s">
        <v>36</v>
      </c>
      <c r="D136" s="2">
        <v>1355</v>
      </c>
      <c r="E136" t="s">
        <v>61</v>
      </c>
      <c r="F136" s="2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 s="2">
        <v>2942</v>
      </c>
      <c r="T136">
        <v>8916</v>
      </c>
      <c r="U136">
        <v>1</v>
      </c>
      <c r="V136" t="s">
        <v>42</v>
      </c>
      <c r="W136" t="s">
        <v>43</v>
      </c>
      <c r="X136" s="2">
        <v>23</v>
      </c>
      <c r="Y136">
        <v>4</v>
      </c>
      <c r="Z136">
        <v>4</v>
      </c>
      <c r="AA136">
        <v>80</v>
      </c>
      <c r="AB136">
        <v>1</v>
      </c>
      <c r="AC136" s="2">
        <v>8</v>
      </c>
      <c r="AD136">
        <v>3</v>
      </c>
      <c r="AE136">
        <v>3</v>
      </c>
      <c r="AF136" s="2">
        <v>8</v>
      </c>
      <c r="AG136">
        <v>7</v>
      </c>
      <c r="AH136">
        <v>5</v>
      </c>
      <c r="AI136">
        <v>7</v>
      </c>
      <c r="AJ136" s="2" t="str">
        <f>IF(A136 A136 &lt;= 25, "18-25", IF(A136 &lt;=35, "26-35", IF(A136 &lt;=45, "36-45", IF(Table3[[#This Row],[Age]] &lt;=55, "46-55", "56+"))))</f>
        <v>26-35</v>
      </c>
      <c r="AK136" t="str">
        <f t="shared" si="2"/>
        <v>Low</v>
      </c>
      <c r="AL136" s="2" t="str">
        <f>IF(AF136 &lt; 3, "0-2 Years", IF(AF136 &lt;= 5, "3-5 Years", IF(AF136 &lt;= 10, "6-10 Years",IF(Table3[[#This Row],[Years At Company]]&lt;=20, "11-20 Years","20+ Years"))))</f>
        <v>6-10 Years</v>
      </c>
    </row>
    <row r="137" spans="1:38" x14ac:dyDescent="0.25">
      <c r="A137" s="2">
        <v>36</v>
      </c>
      <c r="B137" t="s">
        <v>43</v>
      </c>
      <c r="C137" t="s">
        <v>36</v>
      </c>
      <c r="D137" s="2">
        <v>216</v>
      </c>
      <c r="E137" t="s">
        <v>45</v>
      </c>
      <c r="F137" s="2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 s="2">
        <v>4941</v>
      </c>
      <c r="T137">
        <v>2819</v>
      </c>
      <c r="U137">
        <v>6</v>
      </c>
      <c r="V137" t="s">
        <v>42</v>
      </c>
      <c r="W137" t="s">
        <v>43</v>
      </c>
      <c r="X137" s="2">
        <v>20</v>
      </c>
      <c r="Y137">
        <v>4</v>
      </c>
      <c r="Z137">
        <v>4</v>
      </c>
      <c r="AA137">
        <v>80</v>
      </c>
      <c r="AB137">
        <v>2</v>
      </c>
      <c r="AC137" s="2">
        <v>7</v>
      </c>
      <c r="AD137">
        <v>0</v>
      </c>
      <c r="AE137">
        <v>3</v>
      </c>
      <c r="AF137" s="2">
        <v>3</v>
      </c>
      <c r="AG137">
        <v>2</v>
      </c>
      <c r="AH137">
        <v>0</v>
      </c>
      <c r="AI137">
        <v>1</v>
      </c>
      <c r="AJ137" s="2" t="str">
        <f>IF(A137 A137 &lt;= 25, "18-25", IF(A137 &lt;=35, "26-35", IF(A137 &lt;=45, "36-45", IF(Table3[[#This Row],[Age]] &lt;=55, "46-55", "56+"))))</f>
        <v>36-45</v>
      </c>
      <c r="AK137" t="str">
        <f t="shared" si="2"/>
        <v>Low</v>
      </c>
      <c r="AL137" s="2" t="str">
        <f>IF(AF137 &lt; 3, "0-2 Years", IF(AF137 &lt;= 5, "3-5 Years", IF(AF137 &lt;= 10, "6-10 Years",IF(Table3[[#This Row],[Years At Company]]&lt;=20, "11-20 Years","20+ Years"))))</f>
        <v>3-5 Years</v>
      </c>
    </row>
    <row r="138" spans="1:38" x14ac:dyDescent="0.25">
      <c r="A138" s="2">
        <v>51</v>
      </c>
      <c r="B138" t="s">
        <v>35</v>
      </c>
      <c r="C138" t="s">
        <v>44</v>
      </c>
      <c r="D138" s="2">
        <v>1150</v>
      </c>
      <c r="E138" t="s">
        <v>45</v>
      </c>
      <c r="F138" s="2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 s="2">
        <v>10650</v>
      </c>
      <c r="T138">
        <v>25150</v>
      </c>
      <c r="U138">
        <v>2</v>
      </c>
      <c r="V138" t="s">
        <v>42</v>
      </c>
      <c r="W138" t="s">
        <v>43</v>
      </c>
      <c r="X138" s="2">
        <v>15</v>
      </c>
      <c r="Y138">
        <v>3</v>
      </c>
      <c r="Z138">
        <v>4</v>
      </c>
      <c r="AA138">
        <v>80</v>
      </c>
      <c r="AB138">
        <v>0</v>
      </c>
      <c r="AC138" s="2">
        <v>18</v>
      </c>
      <c r="AD138">
        <v>2</v>
      </c>
      <c r="AE138">
        <v>3</v>
      </c>
      <c r="AF138" s="2">
        <v>4</v>
      </c>
      <c r="AG138">
        <v>2</v>
      </c>
      <c r="AH138">
        <v>0</v>
      </c>
      <c r="AI138">
        <v>3</v>
      </c>
      <c r="AJ138" s="2" t="str">
        <f>IF(A138 A138 &lt;= 25, "18-25", IF(A138 &lt;=35, "26-35", IF(A138 &lt;=45, "36-45", IF(Table3[[#This Row],[Age]] &lt;=55, "46-55", "56+"))))</f>
        <v>46-55</v>
      </c>
      <c r="AK138" t="str">
        <f t="shared" si="2"/>
        <v>High</v>
      </c>
      <c r="AL138" s="2" t="str">
        <f>IF(AF138 &lt; 3, "0-2 Years", IF(AF138 &lt;= 5, "3-5 Years", IF(AF138 &lt;= 10, "6-10 Years",IF(Table3[[#This Row],[Years At Company]]&lt;=20, "11-20 Years","20+ Years"))))</f>
        <v>3-5 Years</v>
      </c>
    </row>
    <row r="139" spans="1:38" x14ac:dyDescent="0.25">
      <c r="A139" s="2">
        <v>39</v>
      </c>
      <c r="B139" t="s">
        <v>43</v>
      </c>
      <c r="C139" t="s">
        <v>36</v>
      </c>
      <c r="D139" s="2">
        <v>1329</v>
      </c>
      <c r="E139" t="s">
        <v>37</v>
      </c>
      <c r="F139" s="2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 s="2">
        <v>5902</v>
      </c>
      <c r="T139">
        <v>14590</v>
      </c>
      <c r="U139">
        <v>4</v>
      </c>
      <c r="V139" t="s">
        <v>42</v>
      </c>
      <c r="W139" t="s">
        <v>43</v>
      </c>
      <c r="X139" s="2">
        <v>14</v>
      </c>
      <c r="Y139">
        <v>3</v>
      </c>
      <c r="Z139">
        <v>3</v>
      </c>
      <c r="AA139">
        <v>80</v>
      </c>
      <c r="AB139">
        <v>1</v>
      </c>
      <c r="AC139" s="2">
        <v>17</v>
      </c>
      <c r="AD139">
        <v>1</v>
      </c>
      <c r="AE139">
        <v>4</v>
      </c>
      <c r="AF139" s="2">
        <v>15</v>
      </c>
      <c r="AG139">
        <v>11</v>
      </c>
      <c r="AH139">
        <v>5</v>
      </c>
      <c r="AI139">
        <v>9</v>
      </c>
      <c r="AJ139" s="2" t="str">
        <f>IF(A139 A139 &lt;= 25, "18-25", IF(A139 &lt;=35, "26-35", IF(A139 &lt;=45, "36-45", IF(Table3[[#This Row],[Age]] &lt;=55, "46-55", "56+"))))</f>
        <v>36-45</v>
      </c>
      <c r="AK139" t="str">
        <f t="shared" si="2"/>
        <v>Medium</v>
      </c>
      <c r="AL139" s="2" t="str">
        <f>IF(AF139 &lt; 3, "0-2 Years", IF(AF139 &lt;= 5, "3-5 Years", IF(AF139 &lt;= 10, "6-10 Years",IF(Table3[[#This Row],[Years At Company]]&lt;=20, "11-20 Years","20+ Years"))))</f>
        <v>11-20 Years</v>
      </c>
    </row>
    <row r="140" spans="1:38" x14ac:dyDescent="0.25">
      <c r="A140" s="2">
        <v>25</v>
      </c>
      <c r="B140" t="s">
        <v>43</v>
      </c>
      <c r="C140" t="s">
        <v>36</v>
      </c>
      <c r="D140" s="2">
        <v>959</v>
      </c>
      <c r="E140" t="s">
        <v>37</v>
      </c>
      <c r="F140" s="2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 s="2">
        <v>8639</v>
      </c>
      <c r="T140">
        <v>24835</v>
      </c>
      <c r="U140">
        <v>2</v>
      </c>
      <c r="V140" t="s">
        <v>42</v>
      </c>
      <c r="W140" t="s">
        <v>43</v>
      </c>
      <c r="X140" s="2">
        <v>18</v>
      </c>
      <c r="Y140">
        <v>3</v>
      </c>
      <c r="Z140">
        <v>4</v>
      </c>
      <c r="AA140">
        <v>80</v>
      </c>
      <c r="AB140">
        <v>0</v>
      </c>
      <c r="AC140" s="2">
        <v>6</v>
      </c>
      <c r="AD140">
        <v>3</v>
      </c>
      <c r="AE140">
        <v>3</v>
      </c>
      <c r="AF140" s="2">
        <v>2</v>
      </c>
      <c r="AG140">
        <v>2</v>
      </c>
      <c r="AH140">
        <v>2</v>
      </c>
      <c r="AI140">
        <v>2</v>
      </c>
      <c r="AJ140" s="2" t="str">
        <f>IF(A140 A140 &lt;= 25, "18-25", IF(A140 &lt;=35, "26-35", IF(A140 &lt;=45, "36-45", IF(Table3[[#This Row],[Age]] &lt;=55, "46-55", "56+"))))</f>
        <v>18-25</v>
      </c>
      <c r="AK140" t="str">
        <f t="shared" si="2"/>
        <v>Medium</v>
      </c>
      <c r="AL140" s="2" t="str">
        <f>IF(AF140 &lt; 3, "0-2 Years", IF(AF140 &lt;= 5, "3-5 Years", IF(AF140 &lt;= 10, "6-10 Years",IF(Table3[[#This Row],[Years At Company]]&lt;=20, "11-20 Years","20+ Years"))))</f>
        <v>0-2 Years</v>
      </c>
    </row>
    <row r="141" spans="1:38" x14ac:dyDescent="0.25">
      <c r="A141" s="2">
        <v>30</v>
      </c>
      <c r="B141" t="s">
        <v>43</v>
      </c>
      <c r="C141" t="s">
        <v>36</v>
      </c>
      <c r="D141" s="2">
        <v>1240</v>
      </c>
      <c r="E141" t="s">
        <v>61</v>
      </c>
      <c r="F141" s="2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 s="2">
        <v>6347</v>
      </c>
      <c r="T141">
        <v>13982</v>
      </c>
      <c r="U141">
        <v>0</v>
      </c>
      <c r="V141" t="s">
        <v>42</v>
      </c>
      <c r="W141" t="s">
        <v>35</v>
      </c>
      <c r="X141" s="2">
        <v>19</v>
      </c>
      <c r="Y141">
        <v>3</v>
      </c>
      <c r="Z141">
        <v>4</v>
      </c>
      <c r="AA141">
        <v>80</v>
      </c>
      <c r="AB141">
        <v>0</v>
      </c>
      <c r="AC141" s="2">
        <v>12</v>
      </c>
      <c r="AD141">
        <v>2</v>
      </c>
      <c r="AE141">
        <v>1</v>
      </c>
      <c r="AF141" s="2">
        <v>11</v>
      </c>
      <c r="AG141">
        <v>9</v>
      </c>
      <c r="AH141">
        <v>4</v>
      </c>
      <c r="AI141">
        <v>7</v>
      </c>
      <c r="AJ141" s="2" t="str">
        <f>IF(A141 A141 &lt;= 25, "18-25", IF(A141 &lt;=35, "26-35", IF(A141 &lt;=45, "36-45", IF(Table3[[#This Row],[Age]] &lt;=55, "46-55", "56+"))))</f>
        <v>26-35</v>
      </c>
      <c r="AK141" t="str">
        <f t="shared" si="2"/>
        <v>Medium</v>
      </c>
      <c r="AL141" s="2" t="str">
        <f>IF(AF141 &lt; 3, "0-2 Years", IF(AF141 &lt;= 5, "3-5 Years", IF(AF141 &lt;= 10, "6-10 Years",IF(Table3[[#This Row],[Years At Company]]&lt;=20, "11-20 Years","20+ Years"))))</f>
        <v>11-20 Years</v>
      </c>
    </row>
    <row r="142" spans="1:38" x14ac:dyDescent="0.25">
      <c r="A142" s="2">
        <v>32</v>
      </c>
      <c r="B142" t="s">
        <v>35</v>
      </c>
      <c r="C142" t="s">
        <v>36</v>
      </c>
      <c r="D142" s="2">
        <v>1033</v>
      </c>
      <c r="E142" t="s">
        <v>45</v>
      </c>
      <c r="F142" s="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 s="2">
        <v>4200</v>
      </c>
      <c r="T142">
        <v>10224</v>
      </c>
      <c r="U142">
        <v>7</v>
      </c>
      <c r="V142" t="s">
        <v>42</v>
      </c>
      <c r="W142" t="s">
        <v>43</v>
      </c>
      <c r="X142" s="2">
        <v>22</v>
      </c>
      <c r="Y142">
        <v>4</v>
      </c>
      <c r="Z142">
        <v>1</v>
      </c>
      <c r="AA142">
        <v>80</v>
      </c>
      <c r="AB142">
        <v>0</v>
      </c>
      <c r="AC142" s="2">
        <v>10</v>
      </c>
      <c r="AD142">
        <v>2</v>
      </c>
      <c r="AE142">
        <v>4</v>
      </c>
      <c r="AF142" s="2">
        <v>5</v>
      </c>
      <c r="AG142">
        <v>4</v>
      </c>
      <c r="AH142">
        <v>0</v>
      </c>
      <c r="AI142">
        <v>4</v>
      </c>
      <c r="AJ142" s="2" t="str">
        <f>IF(A142 A142 &lt;= 25, "18-25", IF(A142 &lt;=35, "26-35", IF(A142 &lt;=45, "36-45", IF(Table3[[#This Row],[Age]] &lt;=55, "46-55", "56+"))))</f>
        <v>26-35</v>
      </c>
      <c r="AK142" t="str">
        <f t="shared" si="2"/>
        <v>Low</v>
      </c>
      <c r="AL142" s="2" t="str">
        <f>IF(AF142 &lt; 3, "0-2 Years", IF(AF142 &lt;= 5, "3-5 Years", IF(AF142 &lt;= 10, "6-10 Years",IF(Table3[[#This Row],[Years At Company]]&lt;=20, "11-20 Years","20+ Years"))))</f>
        <v>3-5 Years</v>
      </c>
    </row>
    <row r="143" spans="1:38" x14ac:dyDescent="0.25">
      <c r="A143" s="2">
        <v>45</v>
      </c>
      <c r="B143" t="s">
        <v>43</v>
      </c>
      <c r="C143" t="s">
        <v>36</v>
      </c>
      <c r="D143" s="2">
        <v>1316</v>
      </c>
      <c r="E143" t="s">
        <v>45</v>
      </c>
      <c r="F143" s="2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 s="2">
        <v>3452</v>
      </c>
      <c r="T143">
        <v>9752</v>
      </c>
      <c r="U143">
        <v>5</v>
      </c>
      <c r="V143" t="s">
        <v>42</v>
      </c>
      <c r="W143" t="s">
        <v>43</v>
      </c>
      <c r="X143" s="2">
        <v>13</v>
      </c>
      <c r="Y143">
        <v>3</v>
      </c>
      <c r="Z143">
        <v>2</v>
      </c>
      <c r="AA143">
        <v>80</v>
      </c>
      <c r="AB143">
        <v>0</v>
      </c>
      <c r="AC143" s="2">
        <v>9</v>
      </c>
      <c r="AD143">
        <v>2</v>
      </c>
      <c r="AE143">
        <v>2</v>
      </c>
      <c r="AF143" s="2">
        <v>6</v>
      </c>
      <c r="AG143">
        <v>5</v>
      </c>
      <c r="AH143">
        <v>0</v>
      </c>
      <c r="AI143">
        <v>3</v>
      </c>
      <c r="AJ143" s="2" t="str">
        <f>IF(A143 A143 &lt;= 25, "18-25", IF(A143 &lt;=35, "26-35", IF(A143 &lt;=45, "36-45", IF(Table3[[#This Row],[Age]] &lt;=55, "46-55", "56+"))))</f>
        <v>36-45</v>
      </c>
      <c r="AK143" t="str">
        <f t="shared" si="2"/>
        <v>Low</v>
      </c>
      <c r="AL143" s="2" t="str">
        <f>IF(AF143 &lt; 3, "0-2 Years", IF(AF143 &lt;= 5, "3-5 Years", IF(AF143 &lt;= 10, "6-10 Years",IF(Table3[[#This Row],[Years At Company]]&lt;=20, "11-20 Years","20+ Years"))))</f>
        <v>6-10 Years</v>
      </c>
    </row>
    <row r="144" spans="1:38" x14ac:dyDescent="0.25">
      <c r="A144" s="2">
        <v>38</v>
      </c>
      <c r="B144" t="s">
        <v>43</v>
      </c>
      <c r="C144" t="s">
        <v>36</v>
      </c>
      <c r="D144" s="2">
        <v>364</v>
      </c>
      <c r="E144" t="s">
        <v>45</v>
      </c>
      <c r="F144" s="2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 s="2">
        <v>4317</v>
      </c>
      <c r="T144">
        <v>2302</v>
      </c>
      <c r="U144">
        <v>3</v>
      </c>
      <c r="V144" t="s">
        <v>42</v>
      </c>
      <c r="W144" t="s">
        <v>35</v>
      </c>
      <c r="X144" s="2">
        <v>20</v>
      </c>
      <c r="Y144">
        <v>4</v>
      </c>
      <c r="Z144">
        <v>2</v>
      </c>
      <c r="AA144">
        <v>80</v>
      </c>
      <c r="AB144">
        <v>0</v>
      </c>
      <c r="AC144" s="2">
        <v>19</v>
      </c>
      <c r="AD144">
        <v>2</v>
      </c>
      <c r="AE144">
        <v>3</v>
      </c>
      <c r="AF144" s="2">
        <v>3</v>
      </c>
      <c r="AG144">
        <v>2</v>
      </c>
      <c r="AH144">
        <v>2</v>
      </c>
      <c r="AI144">
        <v>2</v>
      </c>
      <c r="AJ144" s="2" t="str">
        <f>IF(A144 A144 &lt;= 25, "18-25", IF(A144 &lt;=35, "26-35", IF(A144 &lt;=45, "36-45", IF(Table3[[#This Row],[Age]] &lt;=55, "46-55", "56+"))))</f>
        <v>36-45</v>
      </c>
      <c r="AK144" t="str">
        <f t="shared" si="2"/>
        <v>Low</v>
      </c>
      <c r="AL144" s="2" t="str">
        <f>IF(AF144 &lt; 3, "0-2 Years", IF(AF144 &lt;= 5, "3-5 Years", IF(AF144 &lt;= 10, "6-10 Years",IF(Table3[[#This Row],[Years At Company]]&lt;=20, "11-20 Years","20+ Years"))))</f>
        <v>3-5 Years</v>
      </c>
    </row>
    <row r="145" spans="1:38" x14ac:dyDescent="0.25">
      <c r="A145" s="2">
        <v>30</v>
      </c>
      <c r="B145" t="s">
        <v>43</v>
      </c>
      <c r="C145" t="s">
        <v>36</v>
      </c>
      <c r="D145" s="2">
        <v>438</v>
      </c>
      <c r="E145" t="s">
        <v>45</v>
      </c>
      <c r="F145" s="2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 s="2">
        <v>2632</v>
      </c>
      <c r="T145">
        <v>23910</v>
      </c>
      <c r="U145">
        <v>1</v>
      </c>
      <c r="V145" t="s">
        <v>42</v>
      </c>
      <c r="W145" t="s">
        <v>43</v>
      </c>
      <c r="X145" s="2">
        <v>14</v>
      </c>
      <c r="Y145">
        <v>3</v>
      </c>
      <c r="Z145">
        <v>3</v>
      </c>
      <c r="AA145">
        <v>80</v>
      </c>
      <c r="AB145">
        <v>0</v>
      </c>
      <c r="AC145" s="2">
        <v>5</v>
      </c>
      <c r="AD145">
        <v>4</v>
      </c>
      <c r="AE145">
        <v>2</v>
      </c>
      <c r="AF145" s="2">
        <v>5</v>
      </c>
      <c r="AG145">
        <v>4</v>
      </c>
      <c r="AH145">
        <v>0</v>
      </c>
      <c r="AI145">
        <v>4</v>
      </c>
      <c r="AJ145" s="2" t="str">
        <f>IF(A145 A145 &lt;= 25, "18-25", IF(A145 &lt;=35, "26-35", IF(A145 &lt;=45, "36-45", IF(Table3[[#This Row],[Age]] &lt;=55, "46-55", "56+"))))</f>
        <v>26-35</v>
      </c>
      <c r="AK145" t="str">
        <f t="shared" si="2"/>
        <v>Low</v>
      </c>
      <c r="AL145" s="2" t="str">
        <f>IF(AF145 &lt; 3, "0-2 Years", IF(AF145 &lt;= 5, "3-5 Years", IF(AF145 &lt;= 10, "6-10 Years",IF(Table3[[#This Row],[Years At Company]]&lt;=20, "11-20 Years","20+ Years"))))</f>
        <v>3-5 Years</v>
      </c>
    </row>
    <row r="146" spans="1:38" x14ac:dyDescent="0.25">
      <c r="A146" s="2">
        <v>32</v>
      </c>
      <c r="B146" t="s">
        <v>43</v>
      </c>
      <c r="C146" t="s">
        <v>44</v>
      </c>
      <c r="D146" s="2">
        <v>689</v>
      </c>
      <c r="E146" t="s">
        <v>37</v>
      </c>
      <c r="F146" s="2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 s="2">
        <v>4668</v>
      </c>
      <c r="T146">
        <v>22812</v>
      </c>
      <c r="U146">
        <v>0</v>
      </c>
      <c r="V146" t="s">
        <v>42</v>
      </c>
      <c r="W146" t="s">
        <v>43</v>
      </c>
      <c r="X146" s="2">
        <v>17</v>
      </c>
      <c r="Y146">
        <v>3</v>
      </c>
      <c r="Z146">
        <v>4</v>
      </c>
      <c r="AA146">
        <v>80</v>
      </c>
      <c r="AB146">
        <v>3</v>
      </c>
      <c r="AC146" s="2">
        <v>9</v>
      </c>
      <c r="AD146">
        <v>2</v>
      </c>
      <c r="AE146">
        <v>4</v>
      </c>
      <c r="AF146" s="2">
        <v>8</v>
      </c>
      <c r="AG146">
        <v>7</v>
      </c>
      <c r="AH146">
        <v>0</v>
      </c>
      <c r="AI146">
        <v>7</v>
      </c>
      <c r="AJ146" s="2" t="str">
        <f>IF(A146 A146 &lt;= 25, "18-25", IF(A146 &lt;=35, "26-35", IF(A146 &lt;=45, "36-45", IF(Table3[[#This Row],[Age]] &lt;=55, "46-55", "56+"))))</f>
        <v>26-35</v>
      </c>
      <c r="AK146" t="str">
        <f t="shared" si="2"/>
        <v>Low</v>
      </c>
      <c r="AL146" s="2" t="str">
        <f>IF(AF146 &lt; 3, "0-2 Years", IF(AF146 &lt;= 5, "3-5 Years", IF(AF146 &lt;= 10, "6-10 Years",IF(Table3[[#This Row],[Years At Company]]&lt;=20, "11-20 Years","20+ Years"))))</f>
        <v>6-10 Years</v>
      </c>
    </row>
    <row r="147" spans="1:38" x14ac:dyDescent="0.25">
      <c r="A147" s="2">
        <v>30</v>
      </c>
      <c r="B147" t="s">
        <v>43</v>
      </c>
      <c r="C147" t="s">
        <v>36</v>
      </c>
      <c r="D147" s="2">
        <v>201</v>
      </c>
      <c r="E147" t="s">
        <v>45</v>
      </c>
      <c r="F147" s="2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 s="2">
        <v>3204</v>
      </c>
      <c r="T147">
        <v>10415</v>
      </c>
      <c r="U147">
        <v>5</v>
      </c>
      <c r="V147" t="s">
        <v>42</v>
      </c>
      <c r="W147" t="s">
        <v>43</v>
      </c>
      <c r="X147" s="2">
        <v>14</v>
      </c>
      <c r="Y147">
        <v>3</v>
      </c>
      <c r="Z147">
        <v>4</v>
      </c>
      <c r="AA147">
        <v>80</v>
      </c>
      <c r="AB147">
        <v>1</v>
      </c>
      <c r="AC147" s="2">
        <v>8</v>
      </c>
      <c r="AD147">
        <v>3</v>
      </c>
      <c r="AE147">
        <v>3</v>
      </c>
      <c r="AF147" s="2">
        <v>3</v>
      </c>
      <c r="AG147">
        <v>2</v>
      </c>
      <c r="AH147">
        <v>2</v>
      </c>
      <c r="AI147">
        <v>2</v>
      </c>
      <c r="AJ147" s="2" t="str">
        <f>IF(A147 A147 &lt;= 25, "18-25", IF(A147 &lt;=35, "26-35", IF(A147 &lt;=45, "36-45", IF(Table3[[#This Row],[Age]] &lt;=55, "46-55", "56+"))))</f>
        <v>26-35</v>
      </c>
      <c r="AK147" t="str">
        <f t="shared" si="2"/>
        <v>Low</v>
      </c>
      <c r="AL147" s="2" t="str">
        <f>IF(AF147 &lt; 3, "0-2 Years", IF(AF147 &lt;= 5, "3-5 Years", IF(AF147 &lt;= 10, "6-10 Years",IF(Table3[[#This Row],[Years At Company]]&lt;=20, "11-20 Years","20+ Years"))))</f>
        <v>3-5 Years</v>
      </c>
    </row>
    <row r="148" spans="1:38" x14ac:dyDescent="0.25">
      <c r="A148" s="2">
        <v>30</v>
      </c>
      <c r="B148" t="s">
        <v>43</v>
      </c>
      <c r="C148" t="s">
        <v>36</v>
      </c>
      <c r="D148" s="2">
        <v>1427</v>
      </c>
      <c r="E148" t="s">
        <v>45</v>
      </c>
      <c r="F148" s="2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 s="2">
        <v>2720</v>
      </c>
      <c r="T148">
        <v>11162</v>
      </c>
      <c r="U148">
        <v>0</v>
      </c>
      <c r="V148" t="s">
        <v>42</v>
      </c>
      <c r="W148" t="s">
        <v>43</v>
      </c>
      <c r="X148" s="2">
        <v>13</v>
      </c>
      <c r="Y148">
        <v>3</v>
      </c>
      <c r="Z148">
        <v>4</v>
      </c>
      <c r="AA148">
        <v>80</v>
      </c>
      <c r="AB148">
        <v>0</v>
      </c>
      <c r="AC148" s="2">
        <v>6</v>
      </c>
      <c r="AD148">
        <v>3</v>
      </c>
      <c r="AE148">
        <v>3</v>
      </c>
      <c r="AF148" s="2">
        <v>5</v>
      </c>
      <c r="AG148">
        <v>3</v>
      </c>
      <c r="AH148">
        <v>1</v>
      </c>
      <c r="AI148">
        <v>2</v>
      </c>
      <c r="AJ148" s="2" t="str">
        <f>IF(A148 A148 &lt;= 25, "18-25", IF(A148 &lt;=35, "26-35", IF(A148 &lt;=45, "36-45", IF(Table3[[#This Row],[Age]] &lt;=55, "46-55", "56+"))))</f>
        <v>26-35</v>
      </c>
      <c r="AK148" t="str">
        <f t="shared" si="2"/>
        <v>Low</v>
      </c>
      <c r="AL148" s="2" t="str">
        <f>IF(AF148 &lt; 3, "0-2 Years", IF(AF148 &lt;= 5, "3-5 Years", IF(AF148 &lt;= 10, "6-10 Years",IF(Table3[[#This Row],[Years At Company]]&lt;=20, "11-20 Years","20+ Years"))))</f>
        <v>3-5 Years</v>
      </c>
    </row>
    <row r="149" spans="1:38" x14ac:dyDescent="0.25">
      <c r="A149" s="2">
        <v>41</v>
      </c>
      <c r="B149" t="s">
        <v>43</v>
      </c>
      <c r="C149" t="s">
        <v>44</v>
      </c>
      <c r="D149" s="2">
        <v>857</v>
      </c>
      <c r="E149" t="s">
        <v>45</v>
      </c>
      <c r="F149" s="2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 s="2">
        <v>17181</v>
      </c>
      <c r="T149">
        <v>12888</v>
      </c>
      <c r="U149">
        <v>4</v>
      </c>
      <c r="V149" t="s">
        <v>42</v>
      </c>
      <c r="W149" t="s">
        <v>43</v>
      </c>
      <c r="X149" s="2">
        <v>13</v>
      </c>
      <c r="Y149">
        <v>3</v>
      </c>
      <c r="Z149">
        <v>2</v>
      </c>
      <c r="AA149">
        <v>80</v>
      </c>
      <c r="AB149">
        <v>1</v>
      </c>
      <c r="AC149" s="2">
        <v>21</v>
      </c>
      <c r="AD149">
        <v>2</v>
      </c>
      <c r="AE149">
        <v>2</v>
      </c>
      <c r="AF149" s="2">
        <v>7</v>
      </c>
      <c r="AG149">
        <v>6</v>
      </c>
      <c r="AH149">
        <v>7</v>
      </c>
      <c r="AI149">
        <v>7</v>
      </c>
      <c r="AJ149" s="2" t="str">
        <f>IF(A149 A149 &lt;= 25, "18-25", IF(A149 &lt;=35, "26-35", IF(A149 &lt;=45, "36-45", IF(Table3[[#This Row],[Age]] &lt;=55, "46-55", "56+"))))</f>
        <v>36-45</v>
      </c>
      <c r="AK149" t="str">
        <f t="shared" si="2"/>
        <v>High</v>
      </c>
      <c r="AL149" s="2" t="str">
        <f>IF(AF149 &lt; 3, "0-2 Years", IF(AF149 &lt;= 5, "3-5 Years", IF(AF149 &lt;= 10, "6-10 Years",IF(Table3[[#This Row],[Years At Company]]&lt;=20, "11-20 Years","20+ Years"))))</f>
        <v>6-10 Years</v>
      </c>
    </row>
    <row r="150" spans="1:38" x14ac:dyDescent="0.25">
      <c r="A150" s="2">
        <v>41</v>
      </c>
      <c r="B150" t="s">
        <v>43</v>
      </c>
      <c r="C150" t="s">
        <v>36</v>
      </c>
      <c r="D150" s="2">
        <v>933</v>
      </c>
      <c r="E150" t="s">
        <v>45</v>
      </c>
      <c r="F150" s="2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 s="2">
        <v>2238</v>
      </c>
      <c r="T150">
        <v>6961</v>
      </c>
      <c r="U150">
        <v>2</v>
      </c>
      <c r="V150" t="s">
        <v>42</v>
      </c>
      <c r="W150" t="s">
        <v>43</v>
      </c>
      <c r="X150" s="2">
        <v>21</v>
      </c>
      <c r="Y150">
        <v>4</v>
      </c>
      <c r="Z150">
        <v>4</v>
      </c>
      <c r="AA150">
        <v>80</v>
      </c>
      <c r="AB150">
        <v>1</v>
      </c>
      <c r="AC150" s="2">
        <v>7</v>
      </c>
      <c r="AD150">
        <v>2</v>
      </c>
      <c r="AE150">
        <v>3</v>
      </c>
      <c r="AF150" s="2">
        <v>5</v>
      </c>
      <c r="AG150">
        <v>0</v>
      </c>
      <c r="AH150">
        <v>1</v>
      </c>
      <c r="AI150">
        <v>4</v>
      </c>
      <c r="AJ150" s="2" t="str">
        <f>IF(A150 A150 &lt;= 25, "18-25", IF(A150 &lt;=35, "26-35", IF(A150 &lt;=45, "36-45", IF(Table3[[#This Row],[Age]] &lt;=55, "46-55", "56+"))))</f>
        <v>36-45</v>
      </c>
      <c r="AK150" t="str">
        <f t="shared" si="2"/>
        <v>Low</v>
      </c>
      <c r="AL150" s="2" t="str">
        <f>IF(AF150 &lt; 3, "0-2 Years", IF(AF150 &lt;= 5, "3-5 Years", IF(AF150 &lt;= 10, "6-10 Years",IF(Table3[[#This Row],[Years At Company]]&lt;=20, "11-20 Years","20+ Years"))))</f>
        <v>3-5 Years</v>
      </c>
    </row>
    <row r="151" spans="1:38" x14ac:dyDescent="0.25">
      <c r="A151" s="2">
        <v>19</v>
      </c>
      <c r="B151" t="s">
        <v>43</v>
      </c>
      <c r="C151" t="s">
        <v>36</v>
      </c>
      <c r="D151" s="2">
        <v>1181</v>
      </c>
      <c r="E151" t="s">
        <v>45</v>
      </c>
      <c r="F151" s="2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 s="2">
        <v>1483</v>
      </c>
      <c r="T151">
        <v>16102</v>
      </c>
      <c r="U151">
        <v>1</v>
      </c>
      <c r="V151" t="s">
        <v>42</v>
      </c>
      <c r="W151" t="s">
        <v>43</v>
      </c>
      <c r="X151" s="2">
        <v>14</v>
      </c>
      <c r="Y151">
        <v>3</v>
      </c>
      <c r="Z151">
        <v>4</v>
      </c>
      <c r="AA151">
        <v>80</v>
      </c>
      <c r="AB151">
        <v>0</v>
      </c>
      <c r="AC151" s="2">
        <v>1</v>
      </c>
      <c r="AD151">
        <v>3</v>
      </c>
      <c r="AE151">
        <v>3</v>
      </c>
      <c r="AF151" s="2">
        <v>1</v>
      </c>
      <c r="AG151">
        <v>0</v>
      </c>
      <c r="AH151">
        <v>0</v>
      </c>
      <c r="AI151">
        <v>0</v>
      </c>
      <c r="AJ151" s="2" t="str">
        <f>IF(A151 A151 &lt;= 25, "18-25", IF(A151 &lt;=35, "26-35", IF(A151 &lt;=45, "36-45", IF(Table3[[#This Row],[Age]] &lt;=55, "46-55", "56+"))))</f>
        <v>18-25</v>
      </c>
      <c r="AK151" t="str">
        <f t="shared" si="2"/>
        <v>Low</v>
      </c>
      <c r="AL151" s="2" t="str">
        <f>IF(AF151 &lt; 3, "0-2 Years", IF(AF151 &lt;= 5, "3-5 Years", IF(AF151 &lt;= 10, "6-10 Years",IF(Table3[[#This Row],[Years At Company]]&lt;=20, "11-20 Years","20+ Years"))))</f>
        <v>0-2 Years</v>
      </c>
    </row>
    <row r="152" spans="1:38" x14ac:dyDescent="0.25">
      <c r="A152" s="2">
        <v>40</v>
      </c>
      <c r="B152" t="s">
        <v>43</v>
      </c>
      <c r="C152" t="s">
        <v>44</v>
      </c>
      <c r="D152" s="2">
        <v>1395</v>
      </c>
      <c r="E152" t="s">
        <v>45</v>
      </c>
      <c r="F152" s="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 s="2">
        <v>5605</v>
      </c>
      <c r="T152">
        <v>8504</v>
      </c>
      <c r="U152">
        <v>1</v>
      </c>
      <c r="V152" t="s">
        <v>42</v>
      </c>
      <c r="W152" t="s">
        <v>43</v>
      </c>
      <c r="X152" s="2">
        <v>11</v>
      </c>
      <c r="Y152">
        <v>3</v>
      </c>
      <c r="Z152">
        <v>1</v>
      </c>
      <c r="AA152">
        <v>80</v>
      </c>
      <c r="AB152">
        <v>1</v>
      </c>
      <c r="AC152" s="2">
        <v>20</v>
      </c>
      <c r="AD152">
        <v>2</v>
      </c>
      <c r="AE152">
        <v>3</v>
      </c>
      <c r="AF152" s="2">
        <v>20</v>
      </c>
      <c r="AG152">
        <v>7</v>
      </c>
      <c r="AH152">
        <v>2</v>
      </c>
      <c r="AI152">
        <v>13</v>
      </c>
      <c r="AJ152" s="2" t="str">
        <f>IF(A152 A152 &lt;= 25, "18-25", IF(A152 &lt;=35, "26-35", IF(A152 &lt;=45, "36-45", IF(Table3[[#This Row],[Age]] &lt;=55, "46-55", "56+"))))</f>
        <v>36-45</v>
      </c>
      <c r="AK152" t="str">
        <f t="shared" si="2"/>
        <v>Medium</v>
      </c>
      <c r="AL152" s="2" t="str">
        <f>IF(AF152 &lt; 3, "0-2 Years", IF(AF152 &lt;= 5, "3-5 Years", IF(AF152 &lt;= 10, "6-10 Years",IF(Table3[[#This Row],[Years At Company]]&lt;=20, "11-20 Years","20+ Years"))))</f>
        <v>11-20 Years</v>
      </c>
    </row>
    <row r="153" spans="1:38" x14ac:dyDescent="0.25">
      <c r="A153" s="2">
        <v>35</v>
      </c>
      <c r="B153" t="s">
        <v>43</v>
      </c>
      <c r="C153" t="s">
        <v>36</v>
      </c>
      <c r="D153" s="2">
        <v>662</v>
      </c>
      <c r="E153" t="s">
        <v>37</v>
      </c>
      <c r="F153" s="2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 s="2">
        <v>7295</v>
      </c>
      <c r="T153">
        <v>11439</v>
      </c>
      <c r="U153">
        <v>1</v>
      </c>
      <c r="V153" t="s">
        <v>42</v>
      </c>
      <c r="W153" t="s">
        <v>43</v>
      </c>
      <c r="X153" s="2">
        <v>13</v>
      </c>
      <c r="Y153">
        <v>3</v>
      </c>
      <c r="Z153">
        <v>1</v>
      </c>
      <c r="AA153">
        <v>80</v>
      </c>
      <c r="AB153">
        <v>2</v>
      </c>
      <c r="AC153" s="2">
        <v>10</v>
      </c>
      <c r="AD153">
        <v>3</v>
      </c>
      <c r="AE153">
        <v>3</v>
      </c>
      <c r="AF153" s="2">
        <v>10</v>
      </c>
      <c r="AG153">
        <v>8</v>
      </c>
      <c r="AH153">
        <v>0</v>
      </c>
      <c r="AI153">
        <v>6</v>
      </c>
      <c r="AJ153" s="2" t="str">
        <f>IF(A153 A153 &lt;= 25, "18-25", IF(A153 &lt;=35, "26-35", IF(A153 &lt;=45, "36-45", IF(Table3[[#This Row],[Age]] &lt;=55, "46-55", "56+"))))</f>
        <v>26-35</v>
      </c>
      <c r="AK153" t="str">
        <f t="shared" si="2"/>
        <v>Medium</v>
      </c>
      <c r="AL153" s="2" t="str">
        <f>IF(AF153 &lt; 3, "0-2 Years", IF(AF153 &lt;= 5, "3-5 Years", IF(AF153 &lt;= 10, "6-10 Years",IF(Table3[[#This Row],[Years At Company]]&lt;=20, "11-20 Years","20+ Years"))))</f>
        <v>6-10 Years</v>
      </c>
    </row>
    <row r="154" spans="1:38" x14ac:dyDescent="0.25">
      <c r="A154" s="2">
        <v>53</v>
      </c>
      <c r="B154" t="s">
        <v>43</v>
      </c>
      <c r="C154" t="s">
        <v>36</v>
      </c>
      <c r="D154" s="2">
        <v>1436</v>
      </c>
      <c r="E154" t="s">
        <v>37</v>
      </c>
      <c r="F154" s="2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 s="2">
        <v>2306</v>
      </c>
      <c r="T154">
        <v>16047</v>
      </c>
      <c r="U154">
        <v>2</v>
      </c>
      <c r="V154" t="s">
        <v>42</v>
      </c>
      <c r="W154" t="s">
        <v>35</v>
      </c>
      <c r="X154" s="2">
        <v>20</v>
      </c>
      <c r="Y154">
        <v>4</v>
      </c>
      <c r="Z154">
        <v>4</v>
      </c>
      <c r="AA154">
        <v>80</v>
      </c>
      <c r="AB154">
        <v>1</v>
      </c>
      <c r="AC154" s="2">
        <v>13</v>
      </c>
      <c r="AD154">
        <v>3</v>
      </c>
      <c r="AE154">
        <v>1</v>
      </c>
      <c r="AF154" s="2">
        <v>7</v>
      </c>
      <c r="AG154">
        <v>7</v>
      </c>
      <c r="AH154">
        <v>4</v>
      </c>
      <c r="AI154">
        <v>5</v>
      </c>
      <c r="AJ154" s="2" t="str">
        <f>IF(A154 A154 &lt;= 25, "18-25", IF(A154 &lt;=35, "26-35", IF(A154 &lt;=45, "36-45", IF(Table3[[#This Row],[Age]] &lt;=55, "46-55", "56+"))))</f>
        <v>46-55</v>
      </c>
      <c r="AK154" t="str">
        <f t="shared" si="2"/>
        <v>Low</v>
      </c>
      <c r="AL154" s="2" t="str">
        <f>IF(AF154 &lt; 3, "0-2 Years", IF(AF154 &lt;= 5, "3-5 Years", IF(AF154 &lt;= 10, "6-10 Years",IF(Table3[[#This Row],[Years At Company]]&lt;=20, "11-20 Years","20+ Years"))))</f>
        <v>6-10 Years</v>
      </c>
    </row>
    <row r="155" spans="1:38" x14ac:dyDescent="0.25">
      <c r="A155" s="2">
        <v>45</v>
      </c>
      <c r="B155" t="s">
        <v>43</v>
      </c>
      <c r="C155" t="s">
        <v>36</v>
      </c>
      <c r="D155" s="2">
        <v>194</v>
      </c>
      <c r="E155" t="s">
        <v>45</v>
      </c>
      <c r="F155" s="2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 s="2">
        <v>2348</v>
      </c>
      <c r="T155">
        <v>10901</v>
      </c>
      <c r="U155">
        <v>8</v>
      </c>
      <c r="V155" t="s">
        <v>42</v>
      </c>
      <c r="W155" t="s">
        <v>43</v>
      </c>
      <c r="X155" s="2">
        <v>18</v>
      </c>
      <c r="Y155">
        <v>3</v>
      </c>
      <c r="Z155">
        <v>3</v>
      </c>
      <c r="AA155">
        <v>80</v>
      </c>
      <c r="AB155">
        <v>1</v>
      </c>
      <c r="AC155" s="2">
        <v>20</v>
      </c>
      <c r="AD155">
        <v>2</v>
      </c>
      <c r="AE155">
        <v>1</v>
      </c>
      <c r="AF155" s="2">
        <v>17</v>
      </c>
      <c r="AG155">
        <v>9</v>
      </c>
      <c r="AH155">
        <v>0</v>
      </c>
      <c r="AI155">
        <v>15</v>
      </c>
      <c r="AJ155" s="2" t="str">
        <f>IF(A155 A155 &lt;= 25, "18-25", IF(A155 &lt;=35, "26-35", IF(A155 &lt;=45, "36-45", IF(Table3[[#This Row],[Age]] &lt;=55, "46-55", "56+"))))</f>
        <v>36-45</v>
      </c>
      <c r="AK155" t="str">
        <f t="shared" si="2"/>
        <v>Low</v>
      </c>
      <c r="AL155" s="2" t="str">
        <f>IF(AF155 &lt; 3, "0-2 Years", IF(AF155 &lt;= 5, "3-5 Years", IF(AF155 &lt;= 10, "6-10 Years",IF(Table3[[#This Row],[Years At Company]]&lt;=20, "11-20 Years","20+ Years"))))</f>
        <v>11-20 Years</v>
      </c>
    </row>
    <row r="156" spans="1:38" x14ac:dyDescent="0.25">
      <c r="A156" s="2">
        <v>32</v>
      </c>
      <c r="B156" t="s">
        <v>43</v>
      </c>
      <c r="C156" t="s">
        <v>44</v>
      </c>
      <c r="D156" s="2">
        <v>967</v>
      </c>
      <c r="E156" t="s">
        <v>37</v>
      </c>
      <c r="F156" s="2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 s="2">
        <v>8998</v>
      </c>
      <c r="T156">
        <v>15589</v>
      </c>
      <c r="U156">
        <v>1</v>
      </c>
      <c r="V156" t="s">
        <v>42</v>
      </c>
      <c r="W156" t="s">
        <v>43</v>
      </c>
      <c r="X156" s="2">
        <v>14</v>
      </c>
      <c r="Y156">
        <v>3</v>
      </c>
      <c r="Z156">
        <v>4</v>
      </c>
      <c r="AA156">
        <v>80</v>
      </c>
      <c r="AB156">
        <v>0</v>
      </c>
      <c r="AC156" s="2">
        <v>9</v>
      </c>
      <c r="AD156">
        <v>2</v>
      </c>
      <c r="AE156">
        <v>3</v>
      </c>
      <c r="AF156" s="2">
        <v>9</v>
      </c>
      <c r="AG156">
        <v>8</v>
      </c>
      <c r="AH156">
        <v>3</v>
      </c>
      <c r="AI156">
        <v>7</v>
      </c>
      <c r="AJ156" s="2" t="str">
        <f>IF(A156 A156 &lt;= 25, "18-25", IF(A156 &lt;=35, "26-35", IF(A156 &lt;=45, "36-45", IF(Table3[[#This Row],[Age]] &lt;=55, "46-55", "56+"))))</f>
        <v>26-35</v>
      </c>
      <c r="AK156" t="str">
        <f t="shared" si="2"/>
        <v>Medium</v>
      </c>
      <c r="AL156" s="2" t="str">
        <f>IF(AF156 &lt; 3, "0-2 Years", IF(AF156 &lt;= 5, "3-5 Years", IF(AF156 &lt;= 10, "6-10 Years",IF(Table3[[#This Row],[Years At Company]]&lt;=20, "11-20 Years","20+ Years"))))</f>
        <v>6-10 Years</v>
      </c>
    </row>
    <row r="157" spans="1:38" x14ac:dyDescent="0.25">
      <c r="A157" s="2">
        <v>29</v>
      </c>
      <c r="B157" t="s">
        <v>43</v>
      </c>
      <c r="C157" t="s">
        <v>55</v>
      </c>
      <c r="D157" s="2">
        <v>1496</v>
      </c>
      <c r="E157" t="s">
        <v>45</v>
      </c>
      <c r="F157" s="2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 s="2">
        <v>4319</v>
      </c>
      <c r="T157">
        <v>26283</v>
      </c>
      <c r="U157">
        <v>1</v>
      </c>
      <c r="V157" t="s">
        <v>42</v>
      </c>
      <c r="W157" t="s">
        <v>43</v>
      </c>
      <c r="X157" s="2">
        <v>13</v>
      </c>
      <c r="Y157">
        <v>3</v>
      </c>
      <c r="Z157">
        <v>1</v>
      </c>
      <c r="AA157">
        <v>80</v>
      </c>
      <c r="AB157">
        <v>1</v>
      </c>
      <c r="AC157" s="2">
        <v>10</v>
      </c>
      <c r="AD157">
        <v>1</v>
      </c>
      <c r="AE157">
        <v>3</v>
      </c>
      <c r="AF157" s="2">
        <v>10</v>
      </c>
      <c r="AG157">
        <v>7</v>
      </c>
      <c r="AH157">
        <v>0</v>
      </c>
      <c r="AI157">
        <v>9</v>
      </c>
      <c r="AJ157" s="2" t="str">
        <f>IF(A157 A157 &lt;= 25, "18-25", IF(A157 &lt;=35, "26-35", IF(A157 &lt;=45, "36-45", IF(Table3[[#This Row],[Age]] &lt;=55, "46-55", "56+"))))</f>
        <v>26-35</v>
      </c>
      <c r="AK157" t="str">
        <f t="shared" si="2"/>
        <v>Low</v>
      </c>
      <c r="AL157" s="2" t="str">
        <f>IF(AF157 &lt; 3, "0-2 Years", IF(AF157 &lt;= 5, "3-5 Years", IF(AF157 &lt;= 10, "6-10 Years",IF(Table3[[#This Row],[Years At Company]]&lt;=20, "11-20 Years","20+ Years"))))</f>
        <v>6-10 Years</v>
      </c>
    </row>
    <row r="158" spans="1:38" x14ac:dyDescent="0.25">
      <c r="A158" s="2">
        <v>51</v>
      </c>
      <c r="B158" t="s">
        <v>43</v>
      </c>
      <c r="C158" t="s">
        <v>36</v>
      </c>
      <c r="D158" s="2">
        <v>1169</v>
      </c>
      <c r="E158" t="s">
        <v>45</v>
      </c>
      <c r="F158" s="2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 s="2">
        <v>6132</v>
      </c>
      <c r="T158">
        <v>13983</v>
      </c>
      <c r="U158">
        <v>2</v>
      </c>
      <c r="V158" t="s">
        <v>42</v>
      </c>
      <c r="W158" t="s">
        <v>43</v>
      </c>
      <c r="X158" s="2">
        <v>17</v>
      </c>
      <c r="Y158">
        <v>3</v>
      </c>
      <c r="Z158">
        <v>3</v>
      </c>
      <c r="AA158">
        <v>80</v>
      </c>
      <c r="AB158">
        <v>0</v>
      </c>
      <c r="AC158" s="2">
        <v>10</v>
      </c>
      <c r="AD158">
        <v>2</v>
      </c>
      <c r="AE158">
        <v>3</v>
      </c>
      <c r="AF158" s="2">
        <v>1</v>
      </c>
      <c r="AG158">
        <v>0</v>
      </c>
      <c r="AH158">
        <v>0</v>
      </c>
      <c r="AI158">
        <v>0</v>
      </c>
      <c r="AJ158" s="2" t="str">
        <f>IF(A158 A158 &lt;= 25, "18-25", IF(A158 &lt;=35, "26-35", IF(A158 &lt;=45, "36-45", IF(Table3[[#This Row],[Age]] &lt;=55, "46-55", "56+"))))</f>
        <v>46-55</v>
      </c>
      <c r="AK158" t="str">
        <f t="shared" si="2"/>
        <v>Medium</v>
      </c>
      <c r="AL158" s="2" t="str">
        <f>IF(AF158 &lt; 3, "0-2 Years", IF(AF158 &lt;= 5, "3-5 Years", IF(AF158 &lt;= 10, "6-10 Years",IF(Table3[[#This Row],[Years At Company]]&lt;=20, "11-20 Years","20+ Years"))))</f>
        <v>0-2 Years</v>
      </c>
    </row>
    <row r="159" spans="1:38" x14ac:dyDescent="0.25">
      <c r="A159" s="2">
        <v>58</v>
      </c>
      <c r="B159" t="s">
        <v>43</v>
      </c>
      <c r="C159" t="s">
        <v>36</v>
      </c>
      <c r="D159" s="2">
        <v>1145</v>
      </c>
      <c r="E159" t="s">
        <v>45</v>
      </c>
      <c r="F159" s="2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 s="2">
        <v>3346</v>
      </c>
      <c r="T159">
        <v>11873</v>
      </c>
      <c r="U159">
        <v>4</v>
      </c>
      <c r="V159" t="s">
        <v>42</v>
      </c>
      <c r="W159" t="s">
        <v>35</v>
      </c>
      <c r="X159" s="2">
        <v>20</v>
      </c>
      <c r="Y159">
        <v>4</v>
      </c>
      <c r="Z159">
        <v>2</v>
      </c>
      <c r="AA159">
        <v>80</v>
      </c>
      <c r="AB159">
        <v>1</v>
      </c>
      <c r="AC159" s="2">
        <v>9</v>
      </c>
      <c r="AD159">
        <v>3</v>
      </c>
      <c r="AE159">
        <v>2</v>
      </c>
      <c r="AF159" s="2">
        <v>1</v>
      </c>
      <c r="AG159">
        <v>0</v>
      </c>
      <c r="AH159">
        <v>0</v>
      </c>
      <c r="AI159">
        <v>0</v>
      </c>
      <c r="AJ159" s="2" t="str">
        <f>IF(A159 A159 &lt;= 25, "18-25", IF(A159 &lt;=35, "26-35", IF(A159 &lt;=45, "36-45", IF(Table3[[#This Row],[Age]] &lt;=55, "46-55", "56+"))))</f>
        <v>56+</v>
      </c>
      <c r="AK159" t="str">
        <f t="shared" si="2"/>
        <v>Low</v>
      </c>
      <c r="AL159" s="2" t="str">
        <f>IF(AF159 &lt; 3, "0-2 Years", IF(AF159 &lt;= 5, "3-5 Years", IF(AF159 &lt;= 10, "6-10 Years",IF(Table3[[#This Row],[Years At Company]]&lt;=20, "11-20 Years","20+ Years"))))</f>
        <v>0-2 Years</v>
      </c>
    </row>
    <row r="160" spans="1:38" x14ac:dyDescent="0.25">
      <c r="A160" s="2">
        <v>40</v>
      </c>
      <c r="B160" t="s">
        <v>43</v>
      </c>
      <c r="C160" t="s">
        <v>36</v>
      </c>
      <c r="D160" s="2">
        <v>630</v>
      </c>
      <c r="E160" t="s">
        <v>37</v>
      </c>
      <c r="F160" s="2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 s="2">
        <v>10855</v>
      </c>
      <c r="T160">
        <v>8552</v>
      </c>
      <c r="U160">
        <v>7</v>
      </c>
      <c r="V160" t="s">
        <v>42</v>
      </c>
      <c r="W160" t="s">
        <v>43</v>
      </c>
      <c r="X160" s="2">
        <v>11</v>
      </c>
      <c r="Y160">
        <v>3</v>
      </c>
      <c r="Z160">
        <v>1</v>
      </c>
      <c r="AA160">
        <v>80</v>
      </c>
      <c r="AB160">
        <v>1</v>
      </c>
      <c r="AC160" s="2">
        <v>15</v>
      </c>
      <c r="AD160">
        <v>2</v>
      </c>
      <c r="AE160">
        <v>2</v>
      </c>
      <c r="AF160" s="2">
        <v>12</v>
      </c>
      <c r="AG160">
        <v>11</v>
      </c>
      <c r="AH160">
        <v>2</v>
      </c>
      <c r="AI160">
        <v>11</v>
      </c>
      <c r="AJ160" s="2" t="str">
        <f>IF(A160 A160 &lt;= 25, "18-25", IF(A160 &lt;=35, "26-35", IF(A160 &lt;=45, "36-45", IF(Table3[[#This Row],[Age]] &lt;=55, "46-55", "56+"))))</f>
        <v>36-45</v>
      </c>
      <c r="AK160" t="str">
        <f t="shared" si="2"/>
        <v>High</v>
      </c>
      <c r="AL160" s="2" t="str">
        <f>IF(AF160 &lt; 3, "0-2 Years", IF(AF160 &lt;= 5, "3-5 Years", IF(AF160 &lt;= 10, "6-10 Years",IF(Table3[[#This Row],[Years At Company]]&lt;=20, "11-20 Years","20+ Years"))))</f>
        <v>11-20 Years</v>
      </c>
    </row>
    <row r="161" spans="1:38" x14ac:dyDescent="0.25">
      <c r="A161" s="2">
        <v>34</v>
      </c>
      <c r="B161" t="s">
        <v>43</v>
      </c>
      <c r="C161" t="s">
        <v>44</v>
      </c>
      <c r="D161" s="2">
        <v>303</v>
      </c>
      <c r="E161" t="s">
        <v>37</v>
      </c>
      <c r="F161" s="2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 s="2">
        <v>2231</v>
      </c>
      <c r="T161">
        <v>11314</v>
      </c>
      <c r="U161">
        <v>6</v>
      </c>
      <c r="V161" t="s">
        <v>42</v>
      </c>
      <c r="W161" t="s">
        <v>43</v>
      </c>
      <c r="X161" s="2">
        <v>18</v>
      </c>
      <c r="Y161">
        <v>3</v>
      </c>
      <c r="Z161">
        <v>4</v>
      </c>
      <c r="AA161">
        <v>80</v>
      </c>
      <c r="AB161">
        <v>1</v>
      </c>
      <c r="AC161" s="2">
        <v>6</v>
      </c>
      <c r="AD161">
        <v>3</v>
      </c>
      <c r="AE161">
        <v>3</v>
      </c>
      <c r="AF161" s="2">
        <v>4</v>
      </c>
      <c r="AG161">
        <v>3</v>
      </c>
      <c r="AH161">
        <v>1</v>
      </c>
      <c r="AI161">
        <v>2</v>
      </c>
      <c r="AJ161" s="2" t="str">
        <f>IF(A161 A161 &lt;= 25, "18-25", IF(A161 &lt;=35, "26-35", IF(A161 &lt;=45, "36-45", IF(Table3[[#This Row],[Age]] &lt;=55, "46-55", "56+"))))</f>
        <v>26-35</v>
      </c>
      <c r="AK161" t="str">
        <f t="shared" si="2"/>
        <v>Low</v>
      </c>
      <c r="AL161" s="2" t="str">
        <f>IF(AF161 &lt; 3, "0-2 Years", IF(AF161 &lt;= 5, "3-5 Years", IF(AF161 &lt;= 10, "6-10 Years",IF(Table3[[#This Row],[Years At Company]]&lt;=20, "11-20 Years","20+ Years"))))</f>
        <v>3-5 Years</v>
      </c>
    </row>
    <row r="162" spans="1:38" x14ac:dyDescent="0.25">
      <c r="A162" s="2">
        <v>22</v>
      </c>
      <c r="B162" t="s">
        <v>43</v>
      </c>
      <c r="C162" t="s">
        <v>36</v>
      </c>
      <c r="D162" s="2">
        <v>1256</v>
      </c>
      <c r="E162" t="s">
        <v>45</v>
      </c>
      <c r="F162" s="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 s="2">
        <v>2323</v>
      </c>
      <c r="T162">
        <v>11992</v>
      </c>
      <c r="U162">
        <v>1</v>
      </c>
      <c r="V162" t="s">
        <v>42</v>
      </c>
      <c r="W162" t="s">
        <v>43</v>
      </c>
      <c r="X162" s="2">
        <v>24</v>
      </c>
      <c r="Y162">
        <v>4</v>
      </c>
      <c r="Z162">
        <v>1</v>
      </c>
      <c r="AA162">
        <v>80</v>
      </c>
      <c r="AB162">
        <v>2</v>
      </c>
      <c r="AC162" s="2">
        <v>2</v>
      </c>
      <c r="AD162">
        <v>6</v>
      </c>
      <c r="AE162">
        <v>3</v>
      </c>
      <c r="AF162" s="2">
        <v>2</v>
      </c>
      <c r="AG162">
        <v>2</v>
      </c>
      <c r="AH162">
        <v>2</v>
      </c>
      <c r="AI162">
        <v>2</v>
      </c>
      <c r="AJ162" s="2" t="str">
        <f>IF(A162 A162 &lt;= 25, "18-25", IF(A162 &lt;=35, "26-35", IF(A162 &lt;=45, "36-45", IF(Table3[[#This Row],[Age]] &lt;=55, "46-55", "56+"))))</f>
        <v>18-25</v>
      </c>
      <c r="AK162" t="str">
        <f t="shared" si="2"/>
        <v>Low</v>
      </c>
      <c r="AL162" s="2" t="str">
        <f>IF(AF162 &lt; 3, "0-2 Years", IF(AF162 &lt;= 5, "3-5 Years", IF(AF162 &lt;= 10, "6-10 Years",IF(Table3[[#This Row],[Years At Company]]&lt;=20, "11-20 Years","20+ Years"))))</f>
        <v>0-2 Years</v>
      </c>
    </row>
    <row r="163" spans="1:38" x14ac:dyDescent="0.25">
      <c r="A163" s="2">
        <v>27</v>
      </c>
      <c r="B163" t="s">
        <v>43</v>
      </c>
      <c r="C163" t="s">
        <v>55</v>
      </c>
      <c r="D163" s="2">
        <v>691</v>
      </c>
      <c r="E163" t="s">
        <v>45</v>
      </c>
      <c r="F163" s="2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 s="2">
        <v>2024</v>
      </c>
      <c r="T163">
        <v>5970</v>
      </c>
      <c r="U163">
        <v>6</v>
      </c>
      <c r="V163" t="s">
        <v>42</v>
      </c>
      <c r="W163" t="s">
        <v>43</v>
      </c>
      <c r="X163" s="2">
        <v>18</v>
      </c>
      <c r="Y163">
        <v>3</v>
      </c>
      <c r="Z163">
        <v>4</v>
      </c>
      <c r="AA163">
        <v>80</v>
      </c>
      <c r="AB163">
        <v>1</v>
      </c>
      <c r="AC163" s="2">
        <v>6</v>
      </c>
      <c r="AD163">
        <v>1</v>
      </c>
      <c r="AE163">
        <v>1</v>
      </c>
      <c r="AF163" s="2">
        <v>2</v>
      </c>
      <c r="AG163">
        <v>2</v>
      </c>
      <c r="AH163">
        <v>2</v>
      </c>
      <c r="AI163">
        <v>2</v>
      </c>
      <c r="AJ163" s="2" t="str">
        <f>IF(A163 A163 &lt;= 25, "18-25", IF(A163 &lt;=35, "26-35", IF(A163 &lt;=45, "36-45", IF(Table3[[#This Row],[Age]] &lt;=55, "46-55", "56+"))))</f>
        <v>26-35</v>
      </c>
      <c r="AK163" t="str">
        <f t="shared" si="2"/>
        <v>Low</v>
      </c>
      <c r="AL163" s="2" t="str">
        <f>IF(AF163 &lt; 3, "0-2 Years", IF(AF163 &lt;= 5, "3-5 Years", IF(AF163 &lt;= 10, "6-10 Years",IF(Table3[[#This Row],[Years At Company]]&lt;=20, "11-20 Years","20+ Years"))))</f>
        <v>0-2 Years</v>
      </c>
    </row>
    <row r="164" spans="1:38" x14ac:dyDescent="0.25">
      <c r="A164" s="2">
        <v>28</v>
      </c>
      <c r="B164" t="s">
        <v>43</v>
      </c>
      <c r="C164" t="s">
        <v>36</v>
      </c>
      <c r="D164" s="2">
        <v>440</v>
      </c>
      <c r="E164" t="s">
        <v>45</v>
      </c>
      <c r="F164" s="2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 s="2">
        <v>2713</v>
      </c>
      <c r="T164">
        <v>6672</v>
      </c>
      <c r="U164">
        <v>1</v>
      </c>
      <c r="V164" t="s">
        <v>42</v>
      </c>
      <c r="W164" t="s">
        <v>43</v>
      </c>
      <c r="X164" s="2">
        <v>11</v>
      </c>
      <c r="Y164">
        <v>3</v>
      </c>
      <c r="Z164">
        <v>3</v>
      </c>
      <c r="AA164">
        <v>80</v>
      </c>
      <c r="AB164">
        <v>1</v>
      </c>
      <c r="AC164" s="2">
        <v>5</v>
      </c>
      <c r="AD164">
        <v>2</v>
      </c>
      <c r="AE164">
        <v>1</v>
      </c>
      <c r="AF164" s="2">
        <v>5</v>
      </c>
      <c r="AG164">
        <v>2</v>
      </c>
      <c r="AH164">
        <v>0</v>
      </c>
      <c r="AI164">
        <v>2</v>
      </c>
      <c r="AJ164" s="2" t="str">
        <f>IF(A164 A164 &lt;= 25, "18-25", IF(A164 &lt;=35, "26-35", IF(A164 &lt;=45, "36-45", IF(Table3[[#This Row],[Age]] &lt;=55, "46-55", "56+"))))</f>
        <v>26-35</v>
      </c>
      <c r="AK164" t="str">
        <f t="shared" si="2"/>
        <v>Low</v>
      </c>
      <c r="AL164" s="2" t="str">
        <f>IF(AF164 &lt; 3, "0-2 Years", IF(AF164 &lt;= 5, "3-5 Years", IF(AF164 &lt;= 10, "6-10 Years",IF(Table3[[#This Row],[Years At Company]]&lt;=20, "11-20 Years","20+ Years"))))</f>
        <v>3-5 Years</v>
      </c>
    </row>
    <row r="165" spans="1:38" x14ac:dyDescent="0.25">
      <c r="A165" s="2">
        <v>57</v>
      </c>
      <c r="B165" t="s">
        <v>43</v>
      </c>
      <c r="C165" t="s">
        <v>36</v>
      </c>
      <c r="D165" s="2">
        <v>334</v>
      </c>
      <c r="E165" t="s">
        <v>45</v>
      </c>
      <c r="F165" s="2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 s="2">
        <v>9439</v>
      </c>
      <c r="T165">
        <v>23402</v>
      </c>
      <c r="U165">
        <v>3</v>
      </c>
      <c r="V165" t="s">
        <v>42</v>
      </c>
      <c r="W165" t="s">
        <v>35</v>
      </c>
      <c r="X165" s="2">
        <v>16</v>
      </c>
      <c r="Y165">
        <v>3</v>
      </c>
      <c r="Z165">
        <v>2</v>
      </c>
      <c r="AA165">
        <v>80</v>
      </c>
      <c r="AB165">
        <v>1</v>
      </c>
      <c r="AC165" s="2">
        <v>12</v>
      </c>
      <c r="AD165">
        <v>2</v>
      </c>
      <c r="AE165">
        <v>1</v>
      </c>
      <c r="AF165" s="2">
        <v>5</v>
      </c>
      <c r="AG165">
        <v>3</v>
      </c>
      <c r="AH165">
        <v>1</v>
      </c>
      <c r="AI165">
        <v>4</v>
      </c>
      <c r="AJ165" s="2" t="str">
        <f>IF(A165 A165 &lt;= 25, "18-25", IF(A165 &lt;=35, "26-35", IF(A165 &lt;=45, "36-45", IF(Table3[[#This Row],[Age]] &lt;=55, "46-55", "56+"))))</f>
        <v>56+</v>
      </c>
      <c r="AK165" t="str">
        <f t="shared" si="2"/>
        <v>Medium</v>
      </c>
      <c r="AL165" s="2" t="str">
        <f>IF(AF165 &lt; 3, "0-2 Years", IF(AF165 &lt;= 5, "3-5 Years", IF(AF165 &lt;= 10, "6-10 Years",IF(Table3[[#This Row],[Years At Company]]&lt;=20, "11-20 Years","20+ Years"))))</f>
        <v>3-5 Years</v>
      </c>
    </row>
    <row r="166" spans="1:38" x14ac:dyDescent="0.25">
      <c r="A166" s="2">
        <v>27</v>
      </c>
      <c r="B166" t="s">
        <v>43</v>
      </c>
      <c r="C166" t="s">
        <v>55</v>
      </c>
      <c r="D166" s="2">
        <v>1450</v>
      </c>
      <c r="E166" t="s">
        <v>45</v>
      </c>
      <c r="F166" s="2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 s="2">
        <v>2566</v>
      </c>
      <c r="T166">
        <v>25326</v>
      </c>
      <c r="U166">
        <v>1</v>
      </c>
      <c r="V166" t="s">
        <v>42</v>
      </c>
      <c r="W166" t="s">
        <v>35</v>
      </c>
      <c r="X166" s="2">
        <v>15</v>
      </c>
      <c r="Y166">
        <v>3</v>
      </c>
      <c r="Z166">
        <v>4</v>
      </c>
      <c r="AA166">
        <v>80</v>
      </c>
      <c r="AB166">
        <v>1</v>
      </c>
      <c r="AC166" s="2">
        <v>1</v>
      </c>
      <c r="AD166">
        <v>2</v>
      </c>
      <c r="AE166">
        <v>2</v>
      </c>
      <c r="AF166" s="2">
        <v>1</v>
      </c>
      <c r="AG166">
        <v>1</v>
      </c>
      <c r="AH166">
        <v>0</v>
      </c>
      <c r="AI166">
        <v>1</v>
      </c>
      <c r="AJ166" s="2" t="str">
        <f>IF(A166 A166 &lt;= 25, "18-25", IF(A166 &lt;=35, "26-35", IF(A166 &lt;=45, "36-45", IF(Table3[[#This Row],[Age]] &lt;=55, "46-55", "56+"))))</f>
        <v>26-35</v>
      </c>
      <c r="AK166" t="str">
        <f t="shared" si="2"/>
        <v>Low</v>
      </c>
      <c r="AL166" s="2" t="str">
        <f>IF(AF166 &lt; 3, "0-2 Years", IF(AF166 &lt;= 5, "3-5 Years", IF(AF166 &lt;= 10, "6-10 Years",IF(Table3[[#This Row],[Years At Company]]&lt;=20, "11-20 Years","20+ Years"))))</f>
        <v>0-2 Years</v>
      </c>
    </row>
    <row r="167" spans="1:38" x14ac:dyDescent="0.25">
      <c r="A167" s="2">
        <v>50</v>
      </c>
      <c r="B167" t="s">
        <v>43</v>
      </c>
      <c r="C167" t="s">
        <v>36</v>
      </c>
      <c r="D167" s="2">
        <v>1452</v>
      </c>
      <c r="E167" t="s">
        <v>45</v>
      </c>
      <c r="F167" s="2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 s="2">
        <v>19926</v>
      </c>
      <c r="T167">
        <v>17053</v>
      </c>
      <c r="U167">
        <v>3</v>
      </c>
      <c r="V167" t="s">
        <v>42</v>
      </c>
      <c r="W167" t="s">
        <v>43</v>
      </c>
      <c r="X167" s="2">
        <v>15</v>
      </c>
      <c r="Y167">
        <v>3</v>
      </c>
      <c r="Z167">
        <v>2</v>
      </c>
      <c r="AA167">
        <v>80</v>
      </c>
      <c r="AB167">
        <v>0</v>
      </c>
      <c r="AC167" s="2">
        <v>21</v>
      </c>
      <c r="AD167">
        <v>5</v>
      </c>
      <c r="AE167">
        <v>3</v>
      </c>
      <c r="AF167" s="2">
        <v>5</v>
      </c>
      <c r="AG167">
        <v>4</v>
      </c>
      <c r="AH167">
        <v>4</v>
      </c>
      <c r="AI167">
        <v>4</v>
      </c>
      <c r="AJ167" s="2" t="str">
        <f>IF(A167 A167 &lt;= 25, "18-25", IF(A167 &lt;=35, "26-35", IF(A167 &lt;=45, "36-45", IF(Table3[[#This Row],[Age]] &lt;=55, "46-55", "56+"))))</f>
        <v>46-55</v>
      </c>
      <c r="AK167" t="str">
        <f t="shared" si="2"/>
        <v>High</v>
      </c>
      <c r="AL167" s="2" t="str">
        <f>IF(AF167 &lt; 3, "0-2 Years", IF(AF167 &lt;= 5, "3-5 Years", IF(AF167 &lt;= 10, "6-10 Years",IF(Table3[[#This Row],[Years At Company]]&lt;=20, "11-20 Years","20+ Years"))))</f>
        <v>3-5 Years</v>
      </c>
    </row>
    <row r="168" spans="1:38" x14ac:dyDescent="0.25">
      <c r="A168" s="2">
        <v>41</v>
      </c>
      <c r="B168" t="s">
        <v>43</v>
      </c>
      <c r="C168" t="s">
        <v>36</v>
      </c>
      <c r="D168" s="2">
        <v>465</v>
      </c>
      <c r="E168" t="s">
        <v>45</v>
      </c>
      <c r="F168" s="2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 s="2">
        <v>2451</v>
      </c>
      <c r="T168">
        <v>4609</v>
      </c>
      <c r="U168">
        <v>4</v>
      </c>
      <c r="V168" t="s">
        <v>42</v>
      </c>
      <c r="W168" t="s">
        <v>43</v>
      </c>
      <c r="X168" s="2">
        <v>12</v>
      </c>
      <c r="Y168">
        <v>3</v>
      </c>
      <c r="Z168">
        <v>1</v>
      </c>
      <c r="AA168">
        <v>80</v>
      </c>
      <c r="AB168">
        <v>1</v>
      </c>
      <c r="AC168" s="2">
        <v>13</v>
      </c>
      <c r="AD168">
        <v>2</v>
      </c>
      <c r="AE168">
        <v>3</v>
      </c>
      <c r="AF168" s="2">
        <v>9</v>
      </c>
      <c r="AG168">
        <v>8</v>
      </c>
      <c r="AH168">
        <v>1</v>
      </c>
      <c r="AI168">
        <v>8</v>
      </c>
      <c r="AJ168" s="2" t="str">
        <f>IF(A168 A168 &lt;= 25, "18-25", IF(A168 &lt;=35, "26-35", IF(A168 &lt;=45, "36-45", IF(Table3[[#This Row],[Age]] &lt;=55, "46-55", "56+"))))</f>
        <v>36-45</v>
      </c>
      <c r="AK168" t="str">
        <f t="shared" si="2"/>
        <v>Low</v>
      </c>
      <c r="AL168" s="2" t="str">
        <f>IF(AF168 &lt; 3, "0-2 Years", IF(AF168 &lt;= 5, "3-5 Years", IF(AF168 &lt;= 10, "6-10 Years",IF(Table3[[#This Row],[Years At Company]]&lt;=20, "11-20 Years","20+ Years"))))</f>
        <v>6-10 Years</v>
      </c>
    </row>
    <row r="169" spans="1:38" x14ac:dyDescent="0.25">
      <c r="A169" s="2">
        <v>30</v>
      </c>
      <c r="B169" t="s">
        <v>43</v>
      </c>
      <c r="C169" t="s">
        <v>36</v>
      </c>
      <c r="D169" s="2">
        <v>1339</v>
      </c>
      <c r="E169" t="s">
        <v>37</v>
      </c>
      <c r="F169" s="2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 s="2">
        <v>9419</v>
      </c>
      <c r="T169">
        <v>8053</v>
      </c>
      <c r="U169">
        <v>2</v>
      </c>
      <c r="V169" t="s">
        <v>42</v>
      </c>
      <c r="W169" t="s">
        <v>43</v>
      </c>
      <c r="X169" s="2">
        <v>12</v>
      </c>
      <c r="Y169">
        <v>3</v>
      </c>
      <c r="Z169">
        <v>3</v>
      </c>
      <c r="AA169">
        <v>80</v>
      </c>
      <c r="AB169">
        <v>1</v>
      </c>
      <c r="AC169" s="2">
        <v>12</v>
      </c>
      <c r="AD169">
        <v>2</v>
      </c>
      <c r="AE169">
        <v>3</v>
      </c>
      <c r="AF169" s="2">
        <v>10</v>
      </c>
      <c r="AG169">
        <v>9</v>
      </c>
      <c r="AH169">
        <v>7</v>
      </c>
      <c r="AI169">
        <v>4</v>
      </c>
      <c r="AJ169" s="2" t="str">
        <f>IF(A169 A169 &lt;= 25, "18-25", IF(A169 &lt;=35, "26-35", IF(A169 &lt;=45, "36-45", IF(Table3[[#This Row],[Age]] &lt;=55, "46-55", "56+"))))</f>
        <v>26-35</v>
      </c>
      <c r="AK169" t="str">
        <f t="shared" si="2"/>
        <v>Medium</v>
      </c>
      <c r="AL169" s="2" t="str">
        <f>IF(AF169 &lt; 3, "0-2 Years", IF(AF169 &lt;= 5, "3-5 Years", IF(AF169 &lt;= 10, "6-10 Years",IF(Table3[[#This Row],[Years At Company]]&lt;=20, "11-20 Years","20+ Years"))))</f>
        <v>6-10 Years</v>
      </c>
    </row>
    <row r="170" spans="1:38" x14ac:dyDescent="0.25">
      <c r="A170" s="2">
        <v>38</v>
      </c>
      <c r="B170" t="s">
        <v>43</v>
      </c>
      <c r="C170" t="s">
        <v>36</v>
      </c>
      <c r="D170" s="2">
        <v>702</v>
      </c>
      <c r="E170" t="s">
        <v>37</v>
      </c>
      <c r="F170" s="2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 s="2">
        <v>8686</v>
      </c>
      <c r="T170">
        <v>12930</v>
      </c>
      <c r="U170">
        <v>4</v>
      </c>
      <c r="V170" t="s">
        <v>42</v>
      </c>
      <c r="W170" t="s">
        <v>43</v>
      </c>
      <c r="X170" s="2">
        <v>22</v>
      </c>
      <c r="Y170">
        <v>4</v>
      </c>
      <c r="Z170">
        <v>3</v>
      </c>
      <c r="AA170">
        <v>80</v>
      </c>
      <c r="AB170">
        <v>0</v>
      </c>
      <c r="AC170" s="2">
        <v>12</v>
      </c>
      <c r="AD170">
        <v>2</v>
      </c>
      <c r="AE170">
        <v>4</v>
      </c>
      <c r="AF170" s="2">
        <v>8</v>
      </c>
      <c r="AG170">
        <v>3</v>
      </c>
      <c r="AH170">
        <v>0</v>
      </c>
      <c r="AI170">
        <v>7</v>
      </c>
      <c r="AJ170" s="2" t="str">
        <f>IF(A170 A170 &lt;= 25, "18-25", IF(A170 &lt;=35, "26-35", IF(A170 &lt;=45, "36-45", IF(Table3[[#This Row],[Age]] &lt;=55, "46-55", "56+"))))</f>
        <v>36-45</v>
      </c>
      <c r="AK170" t="str">
        <f t="shared" si="2"/>
        <v>Medium</v>
      </c>
      <c r="AL170" s="2" t="str">
        <f>IF(AF170 &lt; 3, "0-2 Years", IF(AF170 &lt;= 5, "3-5 Years", IF(AF170 &lt;= 10, "6-10 Years",IF(Table3[[#This Row],[Years At Company]]&lt;=20, "11-20 Years","20+ Years"))))</f>
        <v>6-10 Years</v>
      </c>
    </row>
    <row r="171" spans="1:38" x14ac:dyDescent="0.25">
      <c r="A171" s="2">
        <v>32</v>
      </c>
      <c r="B171" t="s">
        <v>43</v>
      </c>
      <c r="C171" t="s">
        <v>36</v>
      </c>
      <c r="D171" s="2">
        <v>120</v>
      </c>
      <c r="E171" t="s">
        <v>45</v>
      </c>
      <c r="F171" s="2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 s="2">
        <v>3038</v>
      </c>
      <c r="T171">
        <v>12430</v>
      </c>
      <c r="U171">
        <v>3</v>
      </c>
      <c r="V171" t="s">
        <v>42</v>
      </c>
      <c r="W171" t="s">
        <v>43</v>
      </c>
      <c r="X171" s="2">
        <v>20</v>
      </c>
      <c r="Y171">
        <v>4</v>
      </c>
      <c r="Z171">
        <v>1</v>
      </c>
      <c r="AA171">
        <v>80</v>
      </c>
      <c r="AB171">
        <v>0</v>
      </c>
      <c r="AC171" s="2">
        <v>8</v>
      </c>
      <c r="AD171">
        <v>2</v>
      </c>
      <c r="AE171">
        <v>3</v>
      </c>
      <c r="AF171" s="2">
        <v>5</v>
      </c>
      <c r="AG171">
        <v>4</v>
      </c>
      <c r="AH171">
        <v>1</v>
      </c>
      <c r="AI171">
        <v>4</v>
      </c>
      <c r="AJ171" s="2" t="str">
        <f>IF(A171 A171 &lt;= 25, "18-25", IF(A171 &lt;=35, "26-35", IF(A171 &lt;=45, "36-45", IF(Table3[[#This Row],[Age]] &lt;=55, "46-55", "56+"))))</f>
        <v>26-35</v>
      </c>
      <c r="AK171" t="str">
        <f t="shared" si="2"/>
        <v>Low</v>
      </c>
      <c r="AL171" s="2" t="str">
        <f>IF(AF171 &lt; 3, "0-2 Years", IF(AF171 &lt;= 5, "3-5 Years", IF(AF171 &lt;= 10, "6-10 Years",IF(Table3[[#This Row],[Years At Company]]&lt;=20, "11-20 Years","20+ Years"))))</f>
        <v>3-5 Years</v>
      </c>
    </row>
    <row r="172" spans="1:38" x14ac:dyDescent="0.25">
      <c r="A172" s="2">
        <v>27</v>
      </c>
      <c r="B172" t="s">
        <v>43</v>
      </c>
      <c r="C172" t="s">
        <v>36</v>
      </c>
      <c r="D172" s="2">
        <v>1157</v>
      </c>
      <c r="E172" t="s">
        <v>45</v>
      </c>
      <c r="F172" s="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 s="2">
        <v>3058</v>
      </c>
      <c r="T172">
        <v>13364</v>
      </c>
      <c r="U172">
        <v>0</v>
      </c>
      <c r="V172" t="s">
        <v>42</v>
      </c>
      <c r="W172" t="s">
        <v>35</v>
      </c>
      <c r="X172" s="2">
        <v>16</v>
      </c>
      <c r="Y172">
        <v>3</v>
      </c>
      <c r="Z172">
        <v>4</v>
      </c>
      <c r="AA172">
        <v>80</v>
      </c>
      <c r="AB172">
        <v>1</v>
      </c>
      <c r="AC172" s="2">
        <v>6</v>
      </c>
      <c r="AD172">
        <v>3</v>
      </c>
      <c r="AE172">
        <v>2</v>
      </c>
      <c r="AF172" s="2">
        <v>5</v>
      </c>
      <c r="AG172">
        <v>2</v>
      </c>
      <c r="AH172">
        <v>1</v>
      </c>
      <c r="AI172">
        <v>1</v>
      </c>
      <c r="AJ172" s="2" t="str">
        <f>IF(A172 A172 &lt;= 25, "18-25", IF(A172 &lt;=35, "26-35", IF(A172 &lt;=45, "36-45", IF(Table3[[#This Row],[Age]] &lt;=55, "46-55", "56+"))))</f>
        <v>26-35</v>
      </c>
      <c r="AK172" t="str">
        <f t="shared" si="2"/>
        <v>Low</v>
      </c>
      <c r="AL172" s="2" t="str">
        <f>IF(AF172 &lt; 3, "0-2 Years", IF(AF172 &lt;= 5, "3-5 Years", IF(AF172 &lt;= 10, "6-10 Years",IF(Table3[[#This Row],[Years At Company]]&lt;=20, "11-20 Years","20+ Years"))))</f>
        <v>3-5 Years</v>
      </c>
    </row>
    <row r="173" spans="1:38" x14ac:dyDescent="0.25">
      <c r="A173" s="2">
        <v>19</v>
      </c>
      <c r="B173" t="s">
        <v>35</v>
      </c>
      <c r="C173" t="s">
        <v>44</v>
      </c>
      <c r="D173" s="2">
        <v>602</v>
      </c>
      <c r="E173" t="s">
        <v>37</v>
      </c>
      <c r="F173" s="2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 s="2">
        <v>2325</v>
      </c>
      <c r="T173">
        <v>20989</v>
      </c>
      <c r="U173">
        <v>0</v>
      </c>
      <c r="V173" t="s">
        <v>42</v>
      </c>
      <c r="W173" t="s">
        <v>43</v>
      </c>
      <c r="X173" s="2">
        <v>21</v>
      </c>
      <c r="Y173">
        <v>4</v>
      </c>
      <c r="Z173">
        <v>1</v>
      </c>
      <c r="AA173">
        <v>80</v>
      </c>
      <c r="AB173">
        <v>0</v>
      </c>
      <c r="AC173" s="2">
        <v>1</v>
      </c>
      <c r="AD173">
        <v>5</v>
      </c>
      <c r="AE173">
        <v>4</v>
      </c>
      <c r="AF173" s="2">
        <v>0</v>
      </c>
      <c r="AG173">
        <v>0</v>
      </c>
      <c r="AH173">
        <v>0</v>
      </c>
      <c r="AI173">
        <v>0</v>
      </c>
      <c r="AJ173" s="2" t="str">
        <f>IF(A173 A173 &lt;= 25, "18-25", IF(A173 &lt;=35, "26-35", IF(A173 &lt;=45, "36-45", IF(Table3[[#This Row],[Age]] &lt;=55, "46-55", "56+"))))</f>
        <v>18-25</v>
      </c>
      <c r="AK173" t="str">
        <f t="shared" si="2"/>
        <v>Low</v>
      </c>
      <c r="AL173" s="2" t="str">
        <f>IF(AF173 &lt; 3, "0-2 Years", IF(AF173 &lt;= 5, "3-5 Years", IF(AF173 &lt;= 10, "6-10 Years",IF(Table3[[#This Row],[Years At Company]]&lt;=20, "11-20 Years","20+ Years"))))</f>
        <v>0-2 Years</v>
      </c>
    </row>
    <row r="174" spans="1:38" x14ac:dyDescent="0.25">
      <c r="A174" s="2">
        <v>36</v>
      </c>
      <c r="B174" t="s">
        <v>43</v>
      </c>
      <c r="C174" t="s">
        <v>44</v>
      </c>
      <c r="D174" s="2">
        <v>1480</v>
      </c>
      <c r="E174" t="s">
        <v>45</v>
      </c>
      <c r="F174" s="2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 s="2">
        <v>2088</v>
      </c>
      <c r="T174">
        <v>15062</v>
      </c>
      <c r="U174">
        <v>4</v>
      </c>
      <c r="V174" t="s">
        <v>42</v>
      </c>
      <c r="W174" t="s">
        <v>43</v>
      </c>
      <c r="X174" s="2">
        <v>12</v>
      </c>
      <c r="Y174">
        <v>3</v>
      </c>
      <c r="Z174">
        <v>3</v>
      </c>
      <c r="AA174">
        <v>80</v>
      </c>
      <c r="AB174">
        <v>0</v>
      </c>
      <c r="AC174" s="2">
        <v>13</v>
      </c>
      <c r="AD174">
        <v>3</v>
      </c>
      <c r="AE174">
        <v>2</v>
      </c>
      <c r="AF174" s="2">
        <v>8</v>
      </c>
      <c r="AG174">
        <v>7</v>
      </c>
      <c r="AH174">
        <v>7</v>
      </c>
      <c r="AI174">
        <v>2</v>
      </c>
      <c r="AJ174" s="2" t="str">
        <f>IF(A174 A174 &lt;= 25, "18-25", IF(A174 &lt;=35, "26-35", IF(A174 &lt;=45, "36-45", IF(Table3[[#This Row],[Age]] &lt;=55, "46-55", "56+"))))</f>
        <v>36-45</v>
      </c>
      <c r="AK174" t="str">
        <f t="shared" si="2"/>
        <v>Low</v>
      </c>
      <c r="AL174" s="2" t="str">
        <f>IF(AF174 &lt; 3, "0-2 Years", IF(AF174 &lt;= 5, "3-5 Years", IF(AF174 &lt;= 10, "6-10 Years",IF(Table3[[#This Row],[Years At Company]]&lt;=20, "11-20 Years","20+ Years"))))</f>
        <v>6-10 Years</v>
      </c>
    </row>
    <row r="175" spans="1:38" x14ac:dyDescent="0.25">
      <c r="A175" s="2">
        <v>30</v>
      </c>
      <c r="B175" t="s">
        <v>43</v>
      </c>
      <c r="C175" t="s">
        <v>55</v>
      </c>
      <c r="D175" s="2">
        <v>111</v>
      </c>
      <c r="E175" t="s">
        <v>45</v>
      </c>
      <c r="F175" s="2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 s="2">
        <v>3072</v>
      </c>
      <c r="T175">
        <v>11012</v>
      </c>
      <c r="U175">
        <v>1</v>
      </c>
      <c r="V175" t="s">
        <v>42</v>
      </c>
      <c r="W175" t="s">
        <v>43</v>
      </c>
      <c r="X175" s="2">
        <v>11</v>
      </c>
      <c r="Y175">
        <v>3</v>
      </c>
      <c r="Z175">
        <v>3</v>
      </c>
      <c r="AA175">
        <v>80</v>
      </c>
      <c r="AB175">
        <v>2</v>
      </c>
      <c r="AC175" s="2">
        <v>12</v>
      </c>
      <c r="AD175">
        <v>4</v>
      </c>
      <c r="AE175">
        <v>3</v>
      </c>
      <c r="AF175" s="2">
        <v>12</v>
      </c>
      <c r="AG175">
        <v>9</v>
      </c>
      <c r="AH175">
        <v>6</v>
      </c>
      <c r="AI175">
        <v>10</v>
      </c>
      <c r="AJ175" s="2" t="str">
        <f>IF(A175 A175 &lt;= 25, "18-25", IF(A175 &lt;=35, "26-35", IF(A175 &lt;=45, "36-45", IF(Table3[[#This Row],[Age]] &lt;=55, "46-55", "56+"))))</f>
        <v>26-35</v>
      </c>
      <c r="AK175" t="str">
        <f t="shared" si="2"/>
        <v>Low</v>
      </c>
      <c r="AL175" s="2" t="str">
        <f>IF(AF175 &lt; 3, "0-2 Years", IF(AF175 &lt;= 5, "3-5 Years", IF(AF175 &lt;= 10, "6-10 Years",IF(Table3[[#This Row],[Years At Company]]&lt;=20, "11-20 Years","20+ Years"))))</f>
        <v>11-20 Years</v>
      </c>
    </row>
    <row r="176" spans="1:38" x14ac:dyDescent="0.25">
      <c r="A176" s="2">
        <v>45</v>
      </c>
      <c r="B176" t="s">
        <v>43</v>
      </c>
      <c r="C176" t="s">
        <v>36</v>
      </c>
      <c r="D176" s="2">
        <v>1268</v>
      </c>
      <c r="E176" t="s">
        <v>37</v>
      </c>
      <c r="F176" s="2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 s="2">
        <v>5006</v>
      </c>
      <c r="T176">
        <v>6319</v>
      </c>
      <c r="U176">
        <v>4</v>
      </c>
      <c r="V176" t="s">
        <v>42</v>
      </c>
      <c r="W176" t="s">
        <v>35</v>
      </c>
      <c r="X176" s="2">
        <v>11</v>
      </c>
      <c r="Y176">
        <v>3</v>
      </c>
      <c r="Z176">
        <v>1</v>
      </c>
      <c r="AA176">
        <v>80</v>
      </c>
      <c r="AB176">
        <v>1</v>
      </c>
      <c r="AC176" s="2">
        <v>9</v>
      </c>
      <c r="AD176">
        <v>3</v>
      </c>
      <c r="AE176">
        <v>4</v>
      </c>
      <c r="AF176" s="2">
        <v>5</v>
      </c>
      <c r="AG176">
        <v>4</v>
      </c>
      <c r="AH176">
        <v>0</v>
      </c>
      <c r="AI176">
        <v>3</v>
      </c>
      <c r="AJ176" s="2" t="str">
        <f>IF(A176 A176 &lt;= 25, "18-25", IF(A176 &lt;=35, "26-35", IF(A176 &lt;=45, "36-45", IF(Table3[[#This Row],[Age]] &lt;=55, "46-55", "56+"))))</f>
        <v>36-45</v>
      </c>
      <c r="AK176" t="str">
        <f t="shared" si="2"/>
        <v>Medium</v>
      </c>
      <c r="AL176" s="2" t="str">
        <f>IF(AF176 &lt; 3, "0-2 Years", IF(AF176 &lt;= 5, "3-5 Years", IF(AF176 &lt;= 10, "6-10 Years",IF(Table3[[#This Row],[Years At Company]]&lt;=20, "11-20 Years","20+ Years"))))</f>
        <v>3-5 Years</v>
      </c>
    </row>
    <row r="177" spans="1:38" x14ac:dyDescent="0.25">
      <c r="A177" s="2">
        <v>56</v>
      </c>
      <c r="B177" t="s">
        <v>43</v>
      </c>
      <c r="C177" t="s">
        <v>36</v>
      </c>
      <c r="D177" s="2">
        <v>713</v>
      </c>
      <c r="E177" t="s">
        <v>45</v>
      </c>
      <c r="F177" s="2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 s="2">
        <v>4257</v>
      </c>
      <c r="T177">
        <v>13939</v>
      </c>
      <c r="U177">
        <v>4</v>
      </c>
      <c r="V177" t="s">
        <v>42</v>
      </c>
      <c r="W177" t="s">
        <v>35</v>
      </c>
      <c r="X177" s="2">
        <v>18</v>
      </c>
      <c r="Y177">
        <v>3</v>
      </c>
      <c r="Z177">
        <v>3</v>
      </c>
      <c r="AA177">
        <v>80</v>
      </c>
      <c r="AB177">
        <v>1</v>
      </c>
      <c r="AC177" s="2">
        <v>19</v>
      </c>
      <c r="AD177">
        <v>3</v>
      </c>
      <c r="AE177">
        <v>3</v>
      </c>
      <c r="AF177" s="2">
        <v>2</v>
      </c>
      <c r="AG177">
        <v>2</v>
      </c>
      <c r="AH177">
        <v>2</v>
      </c>
      <c r="AI177">
        <v>2</v>
      </c>
      <c r="AJ177" s="2" t="str">
        <f>IF(A177 A177 &lt;= 25, "18-25", IF(A177 &lt;=35, "26-35", IF(A177 &lt;=45, "36-45", IF(Table3[[#This Row],[Age]] &lt;=55, "46-55", "56+"))))</f>
        <v>56+</v>
      </c>
      <c r="AK177" t="str">
        <f t="shared" si="2"/>
        <v>Low</v>
      </c>
      <c r="AL177" s="2" t="str">
        <f>IF(AF177 &lt; 3, "0-2 Years", IF(AF177 &lt;= 5, "3-5 Years", IF(AF177 &lt;= 10, "6-10 Years",IF(Table3[[#This Row],[Years At Company]]&lt;=20, "11-20 Years","20+ Years"))))</f>
        <v>0-2 Years</v>
      </c>
    </row>
    <row r="178" spans="1:38" x14ac:dyDescent="0.25">
      <c r="A178" s="2">
        <v>33</v>
      </c>
      <c r="B178" t="s">
        <v>43</v>
      </c>
      <c r="C178" t="s">
        <v>36</v>
      </c>
      <c r="D178" s="2">
        <v>134</v>
      </c>
      <c r="E178" t="s">
        <v>45</v>
      </c>
      <c r="F178" s="2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 s="2">
        <v>2500</v>
      </c>
      <c r="T178">
        <v>10515</v>
      </c>
      <c r="U178">
        <v>0</v>
      </c>
      <c r="V178" t="s">
        <v>42</v>
      </c>
      <c r="W178" t="s">
        <v>43</v>
      </c>
      <c r="X178" s="2">
        <v>14</v>
      </c>
      <c r="Y178">
        <v>3</v>
      </c>
      <c r="Z178">
        <v>1</v>
      </c>
      <c r="AA178">
        <v>80</v>
      </c>
      <c r="AB178">
        <v>0</v>
      </c>
      <c r="AC178" s="2">
        <v>4</v>
      </c>
      <c r="AD178">
        <v>2</v>
      </c>
      <c r="AE178">
        <v>4</v>
      </c>
      <c r="AF178" s="2">
        <v>3</v>
      </c>
      <c r="AG178">
        <v>1</v>
      </c>
      <c r="AH178">
        <v>0</v>
      </c>
      <c r="AI178">
        <v>2</v>
      </c>
      <c r="AJ178" s="2" t="str">
        <f>IF(A178 A178 &lt;= 25, "18-25", IF(A178 &lt;=35, "26-35", IF(A178 &lt;=45, "36-45", IF(Table3[[#This Row],[Age]] &lt;=55, "46-55", "56+"))))</f>
        <v>26-35</v>
      </c>
      <c r="AK178" t="str">
        <f t="shared" si="2"/>
        <v>Low</v>
      </c>
      <c r="AL178" s="2" t="str">
        <f>IF(AF178 &lt; 3, "0-2 Years", IF(AF178 &lt;= 5, "3-5 Years", IF(AF178 &lt;= 10, "6-10 Years",IF(Table3[[#This Row],[Years At Company]]&lt;=20, "11-20 Years","20+ Years"))))</f>
        <v>3-5 Years</v>
      </c>
    </row>
    <row r="179" spans="1:38" x14ac:dyDescent="0.25">
      <c r="A179" s="2">
        <v>19</v>
      </c>
      <c r="B179" t="s">
        <v>35</v>
      </c>
      <c r="C179" t="s">
        <v>36</v>
      </c>
      <c r="D179" s="2">
        <v>303</v>
      </c>
      <c r="E179" t="s">
        <v>45</v>
      </c>
      <c r="F179" s="2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 s="2">
        <v>1102</v>
      </c>
      <c r="T179">
        <v>9241</v>
      </c>
      <c r="U179">
        <v>1</v>
      </c>
      <c r="V179" t="s">
        <v>42</v>
      </c>
      <c r="W179" t="s">
        <v>43</v>
      </c>
      <c r="X179" s="2">
        <v>22</v>
      </c>
      <c r="Y179">
        <v>4</v>
      </c>
      <c r="Z179">
        <v>3</v>
      </c>
      <c r="AA179">
        <v>80</v>
      </c>
      <c r="AB179">
        <v>0</v>
      </c>
      <c r="AC179" s="2">
        <v>1</v>
      </c>
      <c r="AD179">
        <v>3</v>
      </c>
      <c r="AE179">
        <v>2</v>
      </c>
      <c r="AF179" s="2">
        <v>1</v>
      </c>
      <c r="AG179">
        <v>0</v>
      </c>
      <c r="AH179">
        <v>1</v>
      </c>
      <c r="AI179">
        <v>0</v>
      </c>
      <c r="AJ179" s="2" t="str">
        <f>IF(A179 A179 &lt;= 25, "18-25", IF(A179 &lt;=35, "26-35", IF(A179 &lt;=45, "36-45", IF(Table3[[#This Row],[Age]] &lt;=55, "46-55", "56+"))))</f>
        <v>18-25</v>
      </c>
      <c r="AK179" t="str">
        <f t="shared" si="2"/>
        <v>Low</v>
      </c>
      <c r="AL179" s="2" t="str">
        <f>IF(AF179 &lt; 3, "0-2 Years", IF(AF179 &lt;= 5, "3-5 Years", IF(AF179 &lt;= 10, "6-10 Years",IF(Table3[[#This Row],[Years At Company]]&lt;=20, "11-20 Years","20+ Years"))))</f>
        <v>0-2 Years</v>
      </c>
    </row>
    <row r="180" spans="1:38" x14ac:dyDescent="0.25">
      <c r="A180" s="2">
        <v>46</v>
      </c>
      <c r="B180" t="s">
        <v>43</v>
      </c>
      <c r="C180" t="s">
        <v>36</v>
      </c>
      <c r="D180" s="2">
        <v>526</v>
      </c>
      <c r="E180" t="s">
        <v>37</v>
      </c>
      <c r="F180" s="2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 s="2">
        <v>10453</v>
      </c>
      <c r="T180">
        <v>2137</v>
      </c>
      <c r="U180">
        <v>1</v>
      </c>
      <c r="V180" t="s">
        <v>42</v>
      </c>
      <c r="W180" t="s">
        <v>43</v>
      </c>
      <c r="X180" s="2">
        <v>25</v>
      </c>
      <c r="Y180">
        <v>4</v>
      </c>
      <c r="Z180">
        <v>3</v>
      </c>
      <c r="AA180">
        <v>80</v>
      </c>
      <c r="AB180">
        <v>3</v>
      </c>
      <c r="AC180" s="2">
        <v>24</v>
      </c>
      <c r="AD180">
        <v>2</v>
      </c>
      <c r="AE180">
        <v>3</v>
      </c>
      <c r="AF180" s="2">
        <v>24</v>
      </c>
      <c r="AG180">
        <v>13</v>
      </c>
      <c r="AH180">
        <v>15</v>
      </c>
      <c r="AI180">
        <v>7</v>
      </c>
      <c r="AJ180" s="2" t="str">
        <f>IF(A180 A180 &lt;= 25, "18-25", IF(A180 &lt;=35, "26-35", IF(A180 &lt;=45, "36-45", IF(Table3[[#This Row],[Age]] &lt;=55, "46-55", "56+"))))</f>
        <v>46-55</v>
      </c>
      <c r="AK180" t="str">
        <f t="shared" si="2"/>
        <v>High</v>
      </c>
      <c r="AL180" s="2" t="str">
        <f>IF(AF180 &lt; 3, "0-2 Years", IF(AF180 &lt;= 5, "3-5 Years", IF(AF180 &lt;= 10, "6-10 Years",IF(Table3[[#This Row],[Years At Company]]&lt;=20, "11-20 Years","20+ Years"))))</f>
        <v>20+ Years</v>
      </c>
    </row>
    <row r="181" spans="1:38" x14ac:dyDescent="0.25">
      <c r="A181" s="2">
        <v>38</v>
      </c>
      <c r="B181" t="s">
        <v>43</v>
      </c>
      <c r="C181" t="s">
        <v>36</v>
      </c>
      <c r="D181" s="2">
        <v>1380</v>
      </c>
      <c r="E181" t="s">
        <v>45</v>
      </c>
      <c r="F181" s="2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 s="2">
        <v>2288</v>
      </c>
      <c r="T181">
        <v>6319</v>
      </c>
      <c r="U181">
        <v>1</v>
      </c>
      <c r="V181" t="s">
        <v>42</v>
      </c>
      <c r="W181" t="s">
        <v>43</v>
      </c>
      <c r="X181" s="2">
        <v>12</v>
      </c>
      <c r="Y181">
        <v>3</v>
      </c>
      <c r="Z181">
        <v>3</v>
      </c>
      <c r="AA181">
        <v>80</v>
      </c>
      <c r="AB181">
        <v>0</v>
      </c>
      <c r="AC181" s="2">
        <v>2</v>
      </c>
      <c r="AD181">
        <v>3</v>
      </c>
      <c r="AE181">
        <v>3</v>
      </c>
      <c r="AF181" s="2">
        <v>2</v>
      </c>
      <c r="AG181">
        <v>2</v>
      </c>
      <c r="AH181">
        <v>2</v>
      </c>
      <c r="AI181">
        <v>1</v>
      </c>
      <c r="AJ181" s="2" t="str">
        <f>IF(A181 A181 &lt;= 25, "18-25", IF(A181 &lt;=35, "26-35", IF(A181 &lt;=45, "36-45", IF(Table3[[#This Row],[Age]] &lt;=55, "46-55", "56+"))))</f>
        <v>36-45</v>
      </c>
      <c r="AK181" t="str">
        <f t="shared" si="2"/>
        <v>Low</v>
      </c>
      <c r="AL181" s="2" t="str">
        <f>IF(AF181 &lt; 3, "0-2 Years", IF(AF181 &lt;= 5, "3-5 Years", IF(AF181 &lt;= 10, "6-10 Years",IF(Table3[[#This Row],[Years At Company]]&lt;=20, "11-20 Years","20+ Years"))))</f>
        <v>0-2 Years</v>
      </c>
    </row>
    <row r="182" spans="1:38" x14ac:dyDescent="0.25">
      <c r="A182" s="2">
        <v>31</v>
      </c>
      <c r="B182" t="s">
        <v>43</v>
      </c>
      <c r="C182" t="s">
        <v>36</v>
      </c>
      <c r="D182" s="2">
        <v>140</v>
      </c>
      <c r="E182" t="s">
        <v>45</v>
      </c>
      <c r="F182" s="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 s="2">
        <v>3929</v>
      </c>
      <c r="T182">
        <v>6984</v>
      </c>
      <c r="U182">
        <v>8</v>
      </c>
      <c r="V182" t="s">
        <v>42</v>
      </c>
      <c r="W182" t="s">
        <v>35</v>
      </c>
      <c r="X182" s="2">
        <v>23</v>
      </c>
      <c r="Y182">
        <v>4</v>
      </c>
      <c r="Z182">
        <v>3</v>
      </c>
      <c r="AA182">
        <v>80</v>
      </c>
      <c r="AB182">
        <v>1</v>
      </c>
      <c r="AC182" s="2">
        <v>7</v>
      </c>
      <c r="AD182">
        <v>0</v>
      </c>
      <c r="AE182">
        <v>3</v>
      </c>
      <c r="AF182" s="2">
        <v>4</v>
      </c>
      <c r="AG182">
        <v>2</v>
      </c>
      <c r="AH182">
        <v>0</v>
      </c>
      <c r="AI182">
        <v>2</v>
      </c>
      <c r="AJ182" s="2" t="str">
        <f>IF(A182 A182 &lt;= 25, "18-25", IF(A182 &lt;=35, "26-35", IF(A182 &lt;=45, "36-45", IF(Table3[[#This Row],[Age]] &lt;=55, "46-55", "56+"))))</f>
        <v>26-35</v>
      </c>
      <c r="AK182" t="str">
        <f t="shared" si="2"/>
        <v>Low</v>
      </c>
      <c r="AL182" s="2" t="str">
        <f>IF(AF182 &lt; 3, "0-2 Years", IF(AF182 &lt;= 5, "3-5 Years", IF(AF182 &lt;= 10, "6-10 Years",IF(Table3[[#This Row],[Years At Company]]&lt;=20, "11-20 Years","20+ Years"))))</f>
        <v>3-5 Years</v>
      </c>
    </row>
    <row r="183" spans="1:38" x14ac:dyDescent="0.25">
      <c r="A183" s="2">
        <v>34</v>
      </c>
      <c r="B183" t="s">
        <v>43</v>
      </c>
      <c r="C183" t="s">
        <v>36</v>
      </c>
      <c r="D183" s="2">
        <v>629</v>
      </c>
      <c r="E183" t="s">
        <v>45</v>
      </c>
      <c r="F183" s="2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 s="2">
        <v>2311</v>
      </c>
      <c r="T183">
        <v>5711</v>
      </c>
      <c r="U183">
        <v>2</v>
      </c>
      <c r="V183" t="s">
        <v>42</v>
      </c>
      <c r="W183" t="s">
        <v>43</v>
      </c>
      <c r="X183" s="2">
        <v>15</v>
      </c>
      <c r="Y183">
        <v>3</v>
      </c>
      <c r="Z183">
        <v>4</v>
      </c>
      <c r="AA183">
        <v>80</v>
      </c>
      <c r="AB183">
        <v>0</v>
      </c>
      <c r="AC183" s="2">
        <v>9</v>
      </c>
      <c r="AD183">
        <v>3</v>
      </c>
      <c r="AE183">
        <v>3</v>
      </c>
      <c r="AF183" s="2">
        <v>3</v>
      </c>
      <c r="AG183">
        <v>2</v>
      </c>
      <c r="AH183">
        <v>1</v>
      </c>
      <c r="AI183">
        <v>2</v>
      </c>
      <c r="AJ183" s="2" t="str">
        <f>IF(A183 A183 &lt;= 25, "18-25", IF(A183 &lt;=35, "26-35", IF(A183 &lt;=45, "36-45", IF(Table3[[#This Row],[Age]] &lt;=55, "46-55", "56+"))))</f>
        <v>26-35</v>
      </c>
      <c r="AK183" t="str">
        <f t="shared" si="2"/>
        <v>Low</v>
      </c>
      <c r="AL183" s="2" t="str">
        <f>IF(AF183 &lt; 3, "0-2 Years", IF(AF183 &lt;= 5, "3-5 Years", IF(AF183 &lt;= 10, "6-10 Years",IF(Table3[[#This Row],[Years At Company]]&lt;=20, "11-20 Years","20+ Years"))))</f>
        <v>3-5 Years</v>
      </c>
    </row>
    <row r="184" spans="1:38" x14ac:dyDescent="0.25">
      <c r="A184" s="2">
        <v>41</v>
      </c>
      <c r="B184" t="s">
        <v>35</v>
      </c>
      <c r="C184" t="s">
        <v>36</v>
      </c>
      <c r="D184" s="2">
        <v>1356</v>
      </c>
      <c r="E184" t="s">
        <v>37</v>
      </c>
      <c r="F184" s="2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 s="2">
        <v>3140</v>
      </c>
      <c r="T184">
        <v>21728</v>
      </c>
      <c r="U184">
        <v>1</v>
      </c>
      <c r="V184" t="s">
        <v>42</v>
      </c>
      <c r="W184" t="s">
        <v>35</v>
      </c>
      <c r="X184" s="2">
        <v>22</v>
      </c>
      <c r="Y184">
        <v>4</v>
      </c>
      <c r="Z184">
        <v>4</v>
      </c>
      <c r="AA184">
        <v>80</v>
      </c>
      <c r="AB184">
        <v>0</v>
      </c>
      <c r="AC184" s="2">
        <v>4</v>
      </c>
      <c r="AD184">
        <v>5</v>
      </c>
      <c r="AE184">
        <v>2</v>
      </c>
      <c r="AF184" s="2">
        <v>4</v>
      </c>
      <c r="AG184">
        <v>3</v>
      </c>
      <c r="AH184">
        <v>0</v>
      </c>
      <c r="AI184">
        <v>2</v>
      </c>
      <c r="AJ184" s="2" t="str">
        <f>IF(A184 A184 &lt;= 25, "18-25", IF(A184 &lt;=35, "26-35", IF(A184 &lt;=45, "36-45", IF(Table3[[#This Row],[Age]] &lt;=55, "46-55", "56+"))))</f>
        <v>36-45</v>
      </c>
      <c r="AK184" t="str">
        <f t="shared" si="2"/>
        <v>Low</v>
      </c>
      <c r="AL184" s="2" t="str">
        <f>IF(AF184 &lt; 3, "0-2 Years", IF(AF184 &lt;= 5, "3-5 Years", IF(AF184 &lt;= 10, "6-10 Years",IF(Table3[[#This Row],[Years At Company]]&lt;=20, "11-20 Years","20+ Years"))))</f>
        <v>3-5 Years</v>
      </c>
    </row>
    <row r="185" spans="1:38" x14ac:dyDescent="0.25">
      <c r="A185" s="2">
        <v>50</v>
      </c>
      <c r="B185" t="s">
        <v>43</v>
      </c>
      <c r="C185" t="s">
        <v>36</v>
      </c>
      <c r="D185" s="2">
        <v>328</v>
      </c>
      <c r="E185" t="s">
        <v>45</v>
      </c>
      <c r="F185" s="2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 s="2">
        <v>3690</v>
      </c>
      <c r="T185">
        <v>3425</v>
      </c>
      <c r="U185">
        <v>2</v>
      </c>
      <c r="V185" t="s">
        <v>42</v>
      </c>
      <c r="W185" t="s">
        <v>43</v>
      </c>
      <c r="X185" s="2">
        <v>15</v>
      </c>
      <c r="Y185">
        <v>3</v>
      </c>
      <c r="Z185">
        <v>4</v>
      </c>
      <c r="AA185">
        <v>80</v>
      </c>
      <c r="AB185">
        <v>1</v>
      </c>
      <c r="AC185" s="2">
        <v>5</v>
      </c>
      <c r="AD185">
        <v>2</v>
      </c>
      <c r="AE185">
        <v>2</v>
      </c>
      <c r="AF185" s="2">
        <v>3</v>
      </c>
      <c r="AG185">
        <v>2</v>
      </c>
      <c r="AH185">
        <v>0</v>
      </c>
      <c r="AI185">
        <v>2</v>
      </c>
      <c r="AJ185" s="2" t="str">
        <f>IF(A185 A185 &lt;= 25, "18-25", IF(A185 &lt;=35, "26-35", IF(A185 &lt;=45, "36-45", IF(Table3[[#This Row],[Age]] &lt;=55, "46-55", "56+"))))</f>
        <v>46-55</v>
      </c>
      <c r="AK185" t="str">
        <f t="shared" si="2"/>
        <v>Low</v>
      </c>
      <c r="AL185" s="2" t="str">
        <f>IF(AF185 &lt; 3, "0-2 Years", IF(AF185 &lt;= 5, "3-5 Years", IF(AF185 &lt;= 10, "6-10 Years",IF(Table3[[#This Row],[Years At Company]]&lt;=20, "11-20 Years","20+ Years"))))</f>
        <v>3-5 Years</v>
      </c>
    </row>
    <row r="186" spans="1:38" x14ac:dyDescent="0.25">
      <c r="A186" s="2">
        <v>53</v>
      </c>
      <c r="B186" t="s">
        <v>43</v>
      </c>
      <c r="C186" t="s">
        <v>36</v>
      </c>
      <c r="D186" s="2">
        <v>1084</v>
      </c>
      <c r="E186" t="s">
        <v>45</v>
      </c>
      <c r="F186" s="2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 s="2">
        <v>4450</v>
      </c>
      <c r="T186">
        <v>26250</v>
      </c>
      <c r="U186">
        <v>1</v>
      </c>
      <c r="V186" t="s">
        <v>42</v>
      </c>
      <c r="W186" t="s">
        <v>43</v>
      </c>
      <c r="X186" s="2">
        <v>11</v>
      </c>
      <c r="Y186">
        <v>3</v>
      </c>
      <c r="Z186">
        <v>3</v>
      </c>
      <c r="AA186">
        <v>80</v>
      </c>
      <c r="AB186">
        <v>2</v>
      </c>
      <c r="AC186" s="2">
        <v>5</v>
      </c>
      <c r="AD186">
        <v>3</v>
      </c>
      <c r="AE186">
        <v>3</v>
      </c>
      <c r="AF186" s="2">
        <v>4</v>
      </c>
      <c r="AG186">
        <v>2</v>
      </c>
      <c r="AH186">
        <v>1</v>
      </c>
      <c r="AI186">
        <v>3</v>
      </c>
      <c r="AJ186" s="2" t="str">
        <f>IF(A186 A186 &lt;= 25, "18-25", IF(A186 &lt;=35, "26-35", IF(A186 &lt;=45, "36-45", IF(Table3[[#This Row],[Age]] &lt;=55, "46-55", "56+"))))</f>
        <v>46-55</v>
      </c>
      <c r="AK186" t="str">
        <f t="shared" si="2"/>
        <v>Low</v>
      </c>
      <c r="AL186" s="2" t="str">
        <f>IF(AF186 &lt; 3, "0-2 Years", IF(AF186 &lt;= 5, "3-5 Years", IF(AF186 &lt;= 10, "6-10 Years",IF(Table3[[#This Row],[Years At Company]]&lt;=20, "11-20 Years","20+ Years"))))</f>
        <v>3-5 Years</v>
      </c>
    </row>
    <row r="187" spans="1:38" x14ac:dyDescent="0.25">
      <c r="A187" s="2">
        <v>33</v>
      </c>
      <c r="B187" t="s">
        <v>43</v>
      </c>
      <c r="C187" t="s">
        <v>36</v>
      </c>
      <c r="D187" s="2">
        <v>931</v>
      </c>
      <c r="E187" t="s">
        <v>45</v>
      </c>
      <c r="F187" s="2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 s="2">
        <v>2756</v>
      </c>
      <c r="T187">
        <v>4673</v>
      </c>
      <c r="U187">
        <v>1</v>
      </c>
      <c r="V187" t="s">
        <v>42</v>
      </c>
      <c r="W187" t="s">
        <v>43</v>
      </c>
      <c r="X187" s="2">
        <v>13</v>
      </c>
      <c r="Y187">
        <v>3</v>
      </c>
      <c r="Z187">
        <v>4</v>
      </c>
      <c r="AA187">
        <v>80</v>
      </c>
      <c r="AB187">
        <v>1</v>
      </c>
      <c r="AC187" s="2">
        <v>8</v>
      </c>
      <c r="AD187">
        <v>5</v>
      </c>
      <c r="AE187">
        <v>3</v>
      </c>
      <c r="AF187" s="2">
        <v>8</v>
      </c>
      <c r="AG187">
        <v>7</v>
      </c>
      <c r="AH187">
        <v>1</v>
      </c>
      <c r="AI187">
        <v>6</v>
      </c>
      <c r="AJ187" s="2" t="str">
        <f>IF(A187 A187 &lt;= 25, "18-25", IF(A187 &lt;=35, "26-35", IF(A187 &lt;=45, "36-45", IF(Table3[[#This Row],[Age]] &lt;=55, "46-55", "56+"))))</f>
        <v>26-35</v>
      </c>
      <c r="AK187" t="str">
        <f t="shared" si="2"/>
        <v>Low</v>
      </c>
      <c r="AL187" s="2" t="str">
        <f>IF(AF187 &lt; 3, "0-2 Years", IF(AF187 &lt;= 5, "3-5 Years", IF(AF187 &lt;= 10, "6-10 Years",IF(Table3[[#This Row],[Years At Company]]&lt;=20, "11-20 Years","20+ Years"))))</f>
        <v>6-10 Years</v>
      </c>
    </row>
    <row r="188" spans="1:38" x14ac:dyDescent="0.25">
      <c r="A188" s="2">
        <v>40</v>
      </c>
      <c r="B188" t="s">
        <v>43</v>
      </c>
      <c r="C188" t="s">
        <v>36</v>
      </c>
      <c r="D188" s="2">
        <v>989</v>
      </c>
      <c r="E188" t="s">
        <v>45</v>
      </c>
      <c r="F188" s="2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 s="2">
        <v>19033</v>
      </c>
      <c r="T188">
        <v>6499</v>
      </c>
      <c r="U188">
        <v>1</v>
      </c>
      <c r="V188" t="s">
        <v>42</v>
      </c>
      <c r="W188" t="s">
        <v>43</v>
      </c>
      <c r="X188" s="2">
        <v>14</v>
      </c>
      <c r="Y188">
        <v>3</v>
      </c>
      <c r="Z188">
        <v>2</v>
      </c>
      <c r="AA188">
        <v>80</v>
      </c>
      <c r="AB188">
        <v>1</v>
      </c>
      <c r="AC188" s="2">
        <v>21</v>
      </c>
      <c r="AD188">
        <v>2</v>
      </c>
      <c r="AE188">
        <v>3</v>
      </c>
      <c r="AF188" s="2">
        <v>20</v>
      </c>
      <c r="AG188">
        <v>8</v>
      </c>
      <c r="AH188">
        <v>9</v>
      </c>
      <c r="AI188">
        <v>9</v>
      </c>
      <c r="AJ188" s="2" t="str">
        <f>IF(A188 A188 &lt;= 25, "18-25", IF(A188 &lt;=35, "26-35", IF(A188 &lt;=45, "36-45", IF(Table3[[#This Row],[Age]] &lt;=55, "46-55", "56+"))))</f>
        <v>36-45</v>
      </c>
      <c r="AK188" t="str">
        <f t="shared" si="2"/>
        <v>High</v>
      </c>
      <c r="AL188" s="2" t="str">
        <f>IF(AF188 &lt; 3, "0-2 Years", IF(AF188 &lt;= 5, "3-5 Years", IF(AF188 &lt;= 10, "6-10 Years",IF(Table3[[#This Row],[Years At Company]]&lt;=20, "11-20 Years","20+ Years"))))</f>
        <v>11-20 Years</v>
      </c>
    </row>
    <row r="189" spans="1:38" x14ac:dyDescent="0.25">
      <c r="A189" s="2">
        <v>55</v>
      </c>
      <c r="B189" t="s">
        <v>43</v>
      </c>
      <c r="C189" t="s">
        <v>36</v>
      </c>
      <c r="D189" s="2">
        <v>692</v>
      </c>
      <c r="E189" t="s">
        <v>45</v>
      </c>
      <c r="F189" s="2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 s="2">
        <v>18722</v>
      </c>
      <c r="T189">
        <v>13339</v>
      </c>
      <c r="U189">
        <v>8</v>
      </c>
      <c r="V189" t="s">
        <v>42</v>
      </c>
      <c r="W189" t="s">
        <v>43</v>
      </c>
      <c r="X189" s="2">
        <v>11</v>
      </c>
      <c r="Y189">
        <v>3</v>
      </c>
      <c r="Z189">
        <v>4</v>
      </c>
      <c r="AA189">
        <v>80</v>
      </c>
      <c r="AB189">
        <v>0</v>
      </c>
      <c r="AC189" s="2">
        <v>36</v>
      </c>
      <c r="AD189">
        <v>3</v>
      </c>
      <c r="AE189">
        <v>3</v>
      </c>
      <c r="AF189" s="2">
        <v>24</v>
      </c>
      <c r="AG189">
        <v>15</v>
      </c>
      <c r="AH189">
        <v>2</v>
      </c>
      <c r="AI189">
        <v>15</v>
      </c>
      <c r="AJ189" s="2" t="str">
        <f>IF(A189 A189 &lt;= 25, "18-25", IF(A189 &lt;=35, "26-35", IF(A189 &lt;=45, "36-45", IF(Table3[[#This Row],[Age]] &lt;=55, "46-55", "56+"))))</f>
        <v>46-55</v>
      </c>
      <c r="AK189" t="str">
        <f t="shared" si="2"/>
        <v>High</v>
      </c>
      <c r="AL189" s="2" t="str">
        <f>IF(AF189 &lt; 3, "0-2 Years", IF(AF189 &lt;= 5, "3-5 Years", IF(AF189 &lt;= 10, "6-10 Years",IF(Table3[[#This Row],[Years At Company]]&lt;=20, "11-20 Years","20+ Years"))))</f>
        <v>20+ Years</v>
      </c>
    </row>
    <row r="190" spans="1:38" x14ac:dyDescent="0.25">
      <c r="A190" s="2">
        <v>34</v>
      </c>
      <c r="B190" t="s">
        <v>43</v>
      </c>
      <c r="C190" t="s">
        <v>44</v>
      </c>
      <c r="D190" s="2">
        <v>1069</v>
      </c>
      <c r="E190" t="s">
        <v>45</v>
      </c>
      <c r="F190" s="2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 s="2">
        <v>9547</v>
      </c>
      <c r="T190">
        <v>14074</v>
      </c>
      <c r="U190">
        <v>1</v>
      </c>
      <c r="V190" t="s">
        <v>42</v>
      </c>
      <c r="W190" t="s">
        <v>43</v>
      </c>
      <c r="X190" s="2">
        <v>17</v>
      </c>
      <c r="Y190">
        <v>3</v>
      </c>
      <c r="Z190">
        <v>3</v>
      </c>
      <c r="AA190">
        <v>80</v>
      </c>
      <c r="AB190">
        <v>0</v>
      </c>
      <c r="AC190" s="2">
        <v>10</v>
      </c>
      <c r="AD190">
        <v>2</v>
      </c>
      <c r="AE190">
        <v>2</v>
      </c>
      <c r="AF190" s="2">
        <v>10</v>
      </c>
      <c r="AG190">
        <v>9</v>
      </c>
      <c r="AH190">
        <v>1</v>
      </c>
      <c r="AI190">
        <v>9</v>
      </c>
      <c r="AJ190" s="2" t="str">
        <f>IF(A190 A190 &lt;= 25, "18-25", IF(A190 &lt;=35, "26-35", IF(A190 &lt;=45, "36-45", IF(Table3[[#This Row],[Age]] &lt;=55, "46-55", "56+"))))</f>
        <v>26-35</v>
      </c>
      <c r="AK190" t="str">
        <f t="shared" si="2"/>
        <v>Medium</v>
      </c>
      <c r="AL190" s="2" t="str">
        <f>IF(AF190 &lt; 3, "0-2 Years", IF(AF190 &lt;= 5, "3-5 Years", IF(AF190 &lt;= 10, "6-10 Years",IF(Table3[[#This Row],[Years At Company]]&lt;=20, "11-20 Years","20+ Years"))))</f>
        <v>6-10 Years</v>
      </c>
    </row>
    <row r="191" spans="1:38" x14ac:dyDescent="0.25">
      <c r="A191" s="2">
        <v>51</v>
      </c>
      <c r="B191" t="s">
        <v>43</v>
      </c>
      <c r="C191" t="s">
        <v>36</v>
      </c>
      <c r="D191" s="2">
        <v>313</v>
      </c>
      <c r="E191" t="s">
        <v>45</v>
      </c>
      <c r="F191" s="2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 s="2">
        <v>13734</v>
      </c>
      <c r="T191">
        <v>7192</v>
      </c>
      <c r="U191">
        <v>3</v>
      </c>
      <c r="V191" t="s">
        <v>42</v>
      </c>
      <c r="W191" t="s">
        <v>43</v>
      </c>
      <c r="X191" s="2">
        <v>18</v>
      </c>
      <c r="Y191">
        <v>3</v>
      </c>
      <c r="Z191">
        <v>3</v>
      </c>
      <c r="AA191">
        <v>80</v>
      </c>
      <c r="AB191">
        <v>0</v>
      </c>
      <c r="AC191" s="2">
        <v>21</v>
      </c>
      <c r="AD191">
        <v>6</v>
      </c>
      <c r="AE191">
        <v>3</v>
      </c>
      <c r="AF191" s="2">
        <v>7</v>
      </c>
      <c r="AG191">
        <v>7</v>
      </c>
      <c r="AH191">
        <v>1</v>
      </c>
      <c r="AI191">
        <v>0</v>
      </c>
      <c r="AJ191" s="2" t="str">
        <f>IF(A191 A191 &lt;= 25, "18-25", IF(A191 &lt;=35, "26-35", IF(A191 &lt;=45, "36-45", IF(Table3[[#This Row],[Age]] &lt;=55, "46-55", "56+"))))</f>
        <v>46-55</v>
      </c>
      <c r="AK191" t="str">
        <f t="shared" si="2"/>
        <v>High</v>
      </c>
      <c r="AL191" s="2" t="str">
        <f>IF(AF191 &lt; 3, "0-2 Years", IF(AF191 &lt;= 5, "3-5 Years", IF(AF191 &lt;= 10, "6-10 Years",IF(Table3[[#This Row],[Years At Company]]&lt;=20, "11-20 Years","20+ Years"))))</f>
        <v>6-10 Years</v>
      </c>
    </row>
    <row r="192" spans="1:38" x14ac:dyDescent="0.25">
      <c r="A192" s="2">
        <v>52</v>
      </c>
      <c r="B192" t="s">
        <v>43</v>
      </c>
      <c r="C192" t="s">
        <v>36</v>
      </c>
      <c r="D192" s="2">
        <v>699</v>
      </c>
      <c r="E192" t="s">
        <v>45</v>
      </c>
      <c r="F192" s="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 s="2">
        <v>19999</v>
      </c>
      <c r="T192">
        <v>5678</v>
      </c>
      <c r="U192">
        <v>0</v>
      </c>
      <c r="V192" t="s">
        <v>42</v>
      </c>
      <c r="W192" t="s">
        <v>43</v>
      </c>
      <c r="X192" s="2">
        <v>14</v>
      </c>
      <c r="Y192">
        <v>3</v>
      </c>
      <c r="Z192">
        <v>1</v>
      </c>
      <c r="AA192">
        <v>80</v>
      </c>
      <c r="AB192">
        <v>1</v>
      </c>
      <c r="AC192" s="2">
        <v>34</v>
      </c>
      <c r="AD192">
        <v>5</v>
      </c>
      <c r="AE192">
        <v>3</v>
      </c>
      <c r="AF192" s="2">
        <v>33</v>
      </c>
      <c r="AG192">
        <v>18</v>
      </c>
      <c r="AH192">
        <v>11</v>
      </c>
      <c r="AI192">
        <v>9</v>
      </c>
      <c r="AJ192" s="2" t="str">
        <f>IF(A192 A192 &lt;= 25, "18-25", IF(A192 &lt;=35, "26-35", IF(A192 &lt;=45, "36-45", IF(Table3[[#This Row],[Age]] &lt;=55, "46-55", "56+"))))</f>
        <v>46-55</v>
      </c>
      <c r="AK192" t="str">
        <f t="shared" si="2"/>
        <v>High</v>
      </c>
      <c r="AL192" s="2" t="str">
        <f>IF(AF192 &lt; 3, "0-2 Years", IF(AF192 &lt;= 5, "3-5 Years", IF(AF192 &lt;= 10, "6-10 Years",IF(Table3[[#This Row],[Years At Company]]&lt;=20, "11-20 Years","20+ Years"))))</f>
        <v>20+ Years</v>
      </c>
    </row>
    <row r="193" spans="1:38" x14ac:dyDescent="0.25">
      <c r="A193" s="2">
        <v>27</v>
      </c>
      <c r="B193" t="s">
        <v>43</v>
      </c>
      <c r="C193" t="s">
        <v>36</v>
      </c>
      <c r="D193" s="2">
        <v>894</v>
      </c>
      <c r="E193" t="s">
        <v>45</v>
      </c>
      <c r="F193" s="2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 s="2">
        <v>2279</v>
      </c>
      <c r="T193">
        <v>11781</v>
      </c>
      <c r="U193">
        <v>1</v>
      </c>
      <c r="V193" t="s">
        <v>42</v>
      </c>
      <c r="W193" t="s">
        <v>43</v>
      </c>
      <c r="X193" s="2">
        <v>16</v>
      </c>
      <c r="Y193">
        <v>3</v>
      </c>
      <c r="Z193">
        <v>4</v>
      </c>
      <c r="AA193">
        <v>80</v>
      </c>
      <c r="AB193">
        <v>0</v>
      </c>
      <c r="AC193" s="2">
        <v>7</v>
      </c>
      <c r="AD193">
        <v>2</v>
      </c>
      <c r="AE193">
        <v>2</v>
      </c>
      <c r="AF193" s="2">
        <v>7</v>
      </c>
      <c r="AG193">
        <v>7</v>
      </c>
      <c r="AH193">
        <v>0</v>
      </c>
      <c r="AI193">
        <v>3</v>
      </c>
      <c r="AJ193" s="2" t="str">
        <f>IF(A193 A193 &lt;= 25, "18-25", IF(A193 &lt;=35, "26-35", IF(A193 &lt;=45, "36-45", IF(Table3[[#This Row],[Age]] &lt;=55, "46-55", "56+"))))</f>
        <v>26-35</v>
      </c>
      <c r="AK193" t="str">
        <f t="shared" si="2"/>
        <v>Low</v>
      </c>
      <c r="AL193" s="2" t="str">
        <f>IF(AF193 &lt; 3, "0-2 Years", IF(AF193 &lt;= 5, "3-5 Years", IF(AF193 &lt;= 10, "6-10 Years",IF(Table3[[#This Row],[Years At Company]]&lt;=20, "11-20 Years","20+ Years"))))</f>
        <v>6-10 Years</v>
      </c>
    </row>
    <row r="194" spans="1:38" x14ac:dyDescent="0.25">
      <c r="A194" s="2">
        <v>35</v>
      </c>
      <c r="B194" t="s">
        <v>35</v>
      </c>
      <c r="C194" t="s">
        <v>36</v>
      </c>
      <c r="D194" s="2">
        <v>556</v>
      </c>
      <c r="E194" t="s">
        <v>45</v>
      </c>
      <c r="F194" s="2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 s="2">
        <v>5916</v>
      </c>
      <c r="T194">
        <v>15497</v>
      </c>
      <c r="U194">
        <v>3</v>
      </c>
      <c r="V194" t="s">
        <v>42</v>
      </c>
      <c r="W194" t="s">
        <v>35</v>
      </c>
      <c r="X194" s="2">
        <v>13</v>
      </c>
      <c r="Y194">
        <v>3</v>
      </c>
      <c r="Z194">
        <v>1</v>
      </c>
      <c r="AA194">
        <v>80</v>
      </c>
      <c r="AB194">
        <v>0</v>
      </c>
      <c r="AC194" s="2">
        <v>8</v>
      </c>
      <c r="AD194">
        <v>1</v>
      </c>
      <c r="AE194">
        <v>3</v>
      </c>
      <c r="AF194" s="2">
        <v>1</v>
      </c>
      <c r="AG194">
        <v>0</v>
      </c>
      <c r="AH194">
        <v>0</v>
      </c>
      <c r="AI194">
        <v>1</v>
      </c>
      <c r="AJ194" s="2" t="str">
        <f>IF(A194 A194 &lt;= 25, "18-25", IF(A194 &lt;=35, "26-35", IF(A194 &lt;=45, "36-45", IF(Table3[[#This Row],[Age]] &lt;=55, "46-55", "56+"))))</f>
        <v>26-35</v>
      </c>
      <c r="AK194" t="str">
        <f t="shared" ref="AK194:AK257" si="3">IF(S194 &lt; 5000, "Low",IF(S194 &lt;=9999, "Medium", "High"))</f>
        <v>Medium</v>
      </c>
      <c r="AL194" s="2" t="str">
        <f>IF(AF194 &lt; 3, "0-2 Years", IF(AF194 &lt;= 5, "3-5 Years", IF(AF194 &lt;= 10, "6-10 Years",IF(Table3[[#This Row],[Years At Company]]&lt;=20, "11-20 Years","20+ Years"))))</f>
        <v>0-2 Years</v>
      </c>
    </row>
    <row r="195" spans="1:38" x14ac:dyDescent="0.25">
      <c r="A195" s="2">
        <v>43</v>
      </c>
      <c r="B195" t="s">
        <v>43</v>
      </c>
      <c r="C195" t="s">
        <v>55</v>
      </c>
      <c r="D195" s="2">
        <v>1344</v>
      </c>
      <c r="E195" t="s">
        <v>45</v>
      </c>
      <c r="F195" s="2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 s="2">
        <v>2089</v>
      </c>
      <c r="T195">
        <v>5228</v>
      </c>
      <c r="U195">
        <v>4</v>
      </c>
      <c r="V195" t="s">
        <v>42</v>
      </c>
      <c r="W195" t="s">
        <v>43</v>
      </c>
      <c r="X195" s="2">
        <v>14</v>
      </c>
      <c r="Y195">
        <v>3</v>
      </c>
      <c r="Z195">
        <v>4</v>
      </c>
      <c r="AA195">
        <v>80</v>
      </c>
      <c r="AB195">
        <v>3</v>
      </c>
      <c r="AC195" s="2">
        <v>7</v>
      </c>
      <c r="AD195">
        <v>3</v>
      </c>
      <c r="AE195">
        <v>4</v>
      </c>
      <c r="AF195" s="2">
        <v>5</v>
      </c>
      <c r="AG195">
        <v>4</v>
      </c>
      <c r="AH195">
        <v>2</v>
      </c>
      <c r="AI195">
        <v>2</v>
      </c>
      <c r="AJ195" s="2" t="str">
        <f>IF(A195 A195 &lt;= 25, "18-25", IF(A195 &lt;=35, "26-35", IF(A195 &lt;=45, "36-45", IF(Table3[[#This Row],[Age]] &lt;=55, "46-55", "56+"))))</f>
        <v>36-45</v>
      </c>
      <c r="AK195" t="str">
        <f t="shared" si="3"/>
        <v>Low</v>
      </c>
      <c r="AL195" s="2" t="str">
        <f>IF(AF195 &lt; 3, "0-2 Years", IF(AF195 &lt;= 5, "3-5 Years", IF(AF195 &lt;= 10, "6-10 Years",IF(Table3[[#This Row],[Years At Company]]&lt;=20, "11-20 Years","20+ Years"))))</f>
        <v>3-5 Years</v>
      </c>
    </row>
    <row r="196" spans="1:38" x14ac:dyDescent="0.25">
      <c r="A196" s="2">
        <v>45</v>
      </c>
      <c r="B196" t="s">
        <v>43</v>
      </c>
      <c r="C196" t="s">
        <v>55</v>
      </c>
      <c r="D196" s="2">
        <v>1195</v>
      </c>
      <c r="E196" t="s">
        <v>45</v>
      </c>
      <c r="F196" s="2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 s="2">
        <v>16792</v>
      </c>
      <c r="T196">
        <v>20462</v>
      </c>
      <c r="U196">
        <v>9</v>
      </c>
      <c r="V196" t="s">
        <v>42</v>
      </c>
      <c r="W196" t="s">
        <v>43</v>
      </c>
      <c r="X196" s="2">
        <v>23</v>
      </c>
      <c r="Y196">
        <v>4</v>
      </c>
      <c r="Z196">
        <v>4</v>
      </c>
      <c r="AA196">
        <v>80</v>
      </c>
      <c r="AB196">
        <v>1</v>
      </c>
      <c r="AC196" s="2">
        <v>22</v>
      </c>
      <c r="AD196">
        <v>1</v>
      </c>
      <c r="AE196">
        <v>3</v>
      </c>
      <c r="AF196" s="2">
        <v>20</v>
      </c>
      <c r="AG196">
        <v>8</v>
      </c>
      <c r="AH196">
        <v>11</v>
      </c>
      <c r="AI196">
        <v>8</v>
      </c>
      <c r="AJ196" s="2" t="str">
        <f>IF(A196 A196 &lt;= 25, "18-25", IF(A196 &lt;=35, "26-35", IF(A196 &lt;=45, "36-45", IF(Table3[[#This Row],[Age]] &lt;=55, "46-55", "56+"))))</f>
        <v>36-45</v>
      </c>
      <c r="AK196" t="str">
        <f t="shared" si="3"/>
        <v>High</v>
      </c>
      <c r="AL196" s="2" t="str">
        <f>IF(AF196 &lt; 3, "0-2 Years", IF(AF196 &lt;= 5, "3-5 Years", IF(AF196 &lt;= 10, "6-10 Years",IF(Table3[[#This Row],[Years At Company]]&lt;=20, "11-20 Years","20+ Years"))))</f>
        <v>11-20 Years</v>
      </c>
    </row>
    <row r="197" spans="1:38" x14ac:dyDescent="0.25">
      <c r="A197" s="2">
        <v>37</v>
      </c>
      <c r="B197" t="s">
        <v>43</v>
      </c>
      <c r="C197" t="s">
        <v>36</v>
      </c>
      <c r="D197" s="2">
        <v>290</v>
      </c>
      <c r="E197" t="s">
        <v>45</v>
      </c>
      <c r="F197" s="2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 s="2">
        <v>3564</v>
      </c>
      <c r="T197">
        <v>22977</v>
      </c>
      <c r="U197">
        <v>1</v>
      </c>
      <c r="V197" t="s">
        <v>42</v>
      </c>
      <c r="W197" t="s">
        <v>35</v>
      </c>
      <c r="X197" s="2">
        <v>12</v>
      </c>
      <c r="Y197">
        <v>3</v>
      </c>
      <c r="Z197">
        <v>1</v>
      </c>
      <c r="AA197">
        <v>80</v>
      </c>
      <c r="AB197">
        <v>1</v>
      </c>
      <c r="AC197" s="2">
        <v>8</v>
      </c>
      <c r="AD197">
        <v>3</v>
      </c>
      <c r="AE197">
        <v>2</v>
      </c>
      <c r="AF197" s="2">
        <v>8</v>
      </c>
      <c r="AG197">
        <v>7</v>
      </c>
      <c r="AH197">
        <v>1</v>
      </c>
      <c r="AI197">
        <v>7</v>
      </c>
      <c r="AJ197" s="2" t="str">
        <f>IF(A197 A197 &lt;= 25, "18-25", IF(A197 &lt;=35, "26-35", IF(A197 &lt;=45, "36-45", IF(Table3[[#This Row],[Age]] &lt;=55, "46-55", "56+"))))</f>
        <v>36-45</v>
      </c>
      <c r="AK197" t="str">
        <f t="shared" si="3"/>
        <v>Low</v>
      </c>
      <c r="AL197" s="2" t="str">
        <f>IF(AF197 &lt; 3, "0-2 Years", IF(AF197 &lt;= 5, "3-5 Years", IF(AF197 &lt;= 10, "6-10 Years",IF(Table3[[#This Row],[Years At Company]]&lt;=20, "11-20 Years","20+ Years"))))</f>
        <v>6-10 Years</v>
      </c>
    </row>
    <row r="198" spans="1:38" x14ac:dyDescent="0.25">
      <c r="A198" s="2">
        <v>35</v>
      </c>
      <c r="B198" t="s">
        <v>43</v>
      </c>
      <c r="C198" t="s">
        <v>44</v>
      </c>
      <c r="D198" s="2">
        <v>138</v>
      </c>
      <c r="E198" t="s">
        <v>45</v>
      </c>
      <c r="F198" s="2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 s="2">
        <v>4425</v>
      </c>
      <c r="T198">
        <v>15986</v>
      </c>
      <c r="U198">
        <v>5</v>
      </c>
      <c r="V198" t="s">
        <v>42</v>
      </c>
      <c r="W198" t="s">
        <v>43</v>
      </c>
      <c r="X198" s="2">
        <v>11</v>
      </c>
      <c r="Y198">
        <v>3</v>
      </c>
      <c r="Z198">
        <v>4</v>
      </c>
      <c r="AA198">
        <v>80</v>
      </c>
      <c r="AB198">
        <v>0</v>
      </c>
      <c r="AC198" s="2">
        <v>10</v>
      </c>
      <c r="AD198">
        <v>5</v>
      </c>
      <c r="AE198">
        <v>3</v>
      </c>
      <c r="AF198" s="2">
        <v>6</v>
      </c>
      <c r="AG198">
        <v>2</v>
      </c>
      <c r="AH198">
        <v>1</v>
      </c>
      <c r="AI198">
        <v>2</v>
      </c>
      <c r="AJ198" s="2" t="str">
        <f>IF(A198 A198 &lt;= 25, "18-25", IF(A198 &lt;=35, "26-35", IF(A198 &lt;=45, "36-45", IF(Table3[[#This Row],[Age]] &lt;=55, "46-55", "56+"))))</f>
        <v>26-35</v>
      </c>
      <c r="AK198" t="str">
        <f t="shared" si="3"/>
        <v>Low</v>
      </c>
      <c r="AL198" s="2" t="str">
        <f>IF(AF198 &lt; 3, "0-2 Years", IF(AF198 &lt;= 5, "3-5 Years", IF(AF198 &lt;= 10, "6-10 Years",IF(Table3[[#This Row],[Years At Company]]&lt;=20, "11-20 Years","20+ Years"))))</f>
        <v>6-10 Years</v>
      </c>
    </row>
    <row r="199" spans="1:38" x14ac:dyDescent="0.25">
      <c r="A199" s="2">
        <v>42</v>
      </c>
      <c r="B199" t="s">
        <v>43</v>
      </c>
      <c r="C199" t="s">
        <v>55</v>
      </c>
      <c r="D199" s="2">
        <v>926</v>
      </c>
      <c r="E199" t="s">
        <v>45</v>
      </c>
      <c r="F199" s="2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 s="2">
        <v>5265</v>
      </c>
      <c r="T199">
        <v>16439</v>
      </c>
      <c r="U199">
        <v>2</v>
      </c>
      <c r="V199" t="s">
        <v>42</v>
      </c>
      <c r="W199" t="s">
        <v>43</v>
      </c>
      <c r="X199" s="2">
        <v>16</v>
      </c>
      <c r="Y199">
        <v>3</v>
      </c>
      <c r="Z199">
        <v>2</v>
      </c>
      <c r="AA199">
        <v>80</v>
      </c>
      <c r="AB199">
        <v>1</v>
      </c>
      <c r="AC199" s="2">
        <v>11</v>
      </c>
      <c r="AD199">
        <v>5</v>
      </c>
      <c r="AE199">
        <v>3</v>
      </c>
      <c r="AF199" s="2">
        <v>5</v>
      </c>
      <c r="AG199">
        <v>3</v>
      </c>
      <c r="AH199">
        <v>0</v>
      </c>
      <c r="AI199">
        <v>2</v>
      </c>
      <c r="AJ199" s="2" t="str">
        <f>IF(A199 A199 &lt;= 25, "18-25", IF(A199 &lt;=35, "26-35", IF(A199 &lt;=45, "36-45", IF(Table3[[#This Row],[Age]] &lt;=55, "46-55", "56+"))))</f>
        <v>36-45</v>
      </c>
      <c r="AK199" t="str">
        <f t="shared" si="3"/>
        <v>Medium</v>
      </c>
      <c r="AL199" s="2" t="str">
        <f>IF(AF199 &lt; 3, "0-2 Years", IF(AF199 &lt;= 5, "3-5 Years", IF(AF199 &lt;= 10, "6-10 Years",IF(Table3[[#This Row],[Years At Company]]&lt;=20, "11-20 Years","20+ Years"))))</f>
        <v>3-5 Years</v>
      </c>
    </row>
    <row r="200" spans="1:38" x14ac:dyDescent="0.25">
      <c r="A200" s="2">
        <v>38</v>
      </c>
      <c r="B200" t="s">
        <v>43</v>
      </c>
      <c r="C200" t="s">
        <v>36</v>
      </c>
      <c r="D200" s="2">
        <v>1261</v>
      </c>
      <c r="E200" t="s">
        <v>45</v>
      </c>
      <c r="F200" s="2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 s="2">
        <v>6553</v>
      </c>
      <c r="T200">
        <v>7259</v>
      </c>
      <c r="U200">
        <v>9</v>
      </c>
      <c r="V200" t="s">
        <v>42</v>
      </c>
      <c r="W200" t="s">
        <v>43</v>
      </c>
      <c r="X200" s="2">
        <v>14</v>
      </c>
      <c r="Y200">
        <v>3</v>
      </c>
      <c r="Z200">
        <v>2</v>
      </c>
      <c r="AA200">
        <v>80</v>
      </c>
      <c r="AB200">
        <v>0</v>
      </c>
      <c r="AC200" s="2">
        <v>14</v>
      </c>
      <c r="AD200">
        <v>3</v>
      </c>
      <c r="AE200">
        <v>3</v>
      </c>
      <c r="AF200" s="2">
        <v>1</v>
      </c>
      <c r="AG200">
        <v>0</v>
      </c>
      <c r="AH200">
        <v>0</v>
      </c>
      <c r="AI200">
        <v>0</v>
      </c>
      <c r="AJ200" s="2" t="str">
        <f>IF(A200 A200 &lt;= 25, "18-25", IF(A200 &lt;=35, "26-35", IF(A200 &lt;=45, "36-45", IF(Table3[[#This Row],[Age]] &lt;=55, "46-55", "56+"))))</f>
        <v>36-45</v>
      </c>
      <c r="AK200" t="str">
        <f t="shared" si="3"/>
        <v>Medium</v>
      </c>
      <c r="AL200" s="2" t="str">
        <f>IF(AF200 &lt; 3, "0-2 Years", IF(AF200 &lt;= 5, "3-5 Years", IF(AF200 &lt;= 10, "6-10 Years",IF(Table3[[#This Row],[Years At Company]]&lt;=20, "11-20 Years","20+ Years"))))</f>
        <v>0-2 Years</v>
      </c>
    </row>
    <row r="201" spans="1:38" x14ac:dyDescent="0.25">
      <c r="A201" s="2">
        <v>38</v>
      </c>
      <c r="B201" t="s">
        <v>43</v>
      </c>
      <c r="C201" t="s">
        <v>36</v>
      </c>
      <c r="D201" s="2">
        <v>1084</v>
      </c>
      <c r="E201" t="s">
        <v>45</v>
      </c>
      <c r="F201" s="2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 s="2">
        <v>6261</v>
      </c>
      <c r="T201">
        <v>4185</v>
      </c>
      <c r="U201">
        <v>3</v>
      </c>
      <c r="V201" t="s">
        <v>42</v>
      </c>
      <c r="W201" t="s">
        <v>43</v>
      </c>
      <c r="X201" s="2">
        <v>18</v>
      </c>
      <c r="Y201">
        <v>3</v>
      </c>
      <c r="Z201">
        <v>1</v>
      </c>
      <c r="AA201">
        <v>80</v>
      </c>
      <c r="AB201">
        <v>1</v>
      </c>
      <c r="AC201" s="2">
        <v>9</v>
      </c>
      <c r="AD201">
        <v>3</v>
      </c>
      <c r="AE201">
        <v>1</v>
      </c>
      <c r="AF201" s="2">
        <v>7</v>
      </c>
      <c r="AG201">
        <v>7</v>
      </c>
      <c r="AH201">
        <v>1</v>
      </c>
      <c r="AI201">
        <v>7</v>
      </c>
      <c r="AJ201" s="2" t="str">
        <f>IF(A201 A201 &lt;= 25, "18-25", IF(A201 &lt;=35, "26-35", IF(A201 &lt;=45, "36-45", IF(Table3[[#This Row],[Age]] &lt;=55, "46-55", "56+"))))</f>
        <v>36-45</v>
      </c>
      <c r="AK201" t="str">
        <f t="shared" si="3"/>
        <v>Medium</v>
      </c>
      <c r="AL201" s="2" t="str">
        <f>IF(AF201 &lt; 3, "0-2 Years", IF(AF201 &lt;= 5, "3-5 Years", IF(AF201 &lt;= 10, "6-10 Years",IF(Table3[[#This Row],[Years At Company]]&lt;=20, "11-20 Years","20+ Years"))))</f>
        <v>6-10 Years</v>
      </c>
    </row>
    <row r="202" spans="1:38" x14ac:dyDescent="0.25">
      <c r="A202" s="2">
        <v>27</v>
      </c>
      <c r="B202" t="s">
        <v>43</v>
      </c>
      <c r="C202" t="s">
        <v>44</v>
      </c>
      <c r="D202" s="2">
        <v>472</v>
      </c>
      <c r="E202" t="s">
        <v>45</v>
      </c>
      <c r="F202" s="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 s="2">
        <v>4298</v>
      </c>
      <c r="T202">
        <v>9679</v>
      </c>
      <c r="U202">
        <v>5</v>
      </c>
      <c r="V202" t="s">
        <v>42</v>
      </c>
      <c r="W202" t="s">
        <v>43</v>
      </c>
      <c r="X202" s="2">
        <v>19</v>
      </c>
      <c r="Y202">
        <v>3</v>
      </c>
      <c r="Z202">
        <v>3</v>
      </c>
      <c r="AA202">
        <v>80</v>
      </c>
      <c r="AB202">
        <v>1</v>
      </c>
      <c r="AC202" s="2">
        <v>6</v>
      </c>
      <c r="AD202">
        <v>1</v>
      </c>
      <c r="AE202">
        <v>3</v>
      </c>
      <c r="AF202" s="2">
        <v>2</v>
      </c>
      <c r="AG202">
        <v>2</v>
      </c>
      <c r="AH202">
        <v>2</v>
      </c>
      <c r="AI202">
        <v>0</v>
      </c>
      <c r="AJ202" s="2" t="str">
        <f>IF(A202 A202 &lt;= 25, "18-25", IF(A202 &lt;=35, "26-35", IF(A202 &lt;=45, "36-45", IF(Table3[[#This Row],[Age]] &lt;=55, "46-55", "56+"))))</f>
        <v>26-35</v>
      </c>
      <c r="AK202" t="str">
        <f t="shared" si="3"/>
        <v>Low</v>
      </c>
      <c r="AL202" s="2" t="str">
        <f>IF(AF202 &lt; 3, "0-2 Years", IF(AF202 &lt;= 5, "3-5 Years", IF(AF202 &lt;= 10, "6-10 Years",IF(Table3[[#This Row],[Years At Company]]&lt;=20, "11-20 Years","20+ Years"))))</f>
        <v>0-2 Years</v>
      </c>
    </row>
    <row r="203" spans="1:38" x14ac:dyDescent="0.25">
      <c r="A203" s="2">
        <v>49</v>
      </c>
      <c r="B203" t="s">
        <v>43</v>
      </c>
      <c r="C203" t="s">
        <v>55</v>
      </c>
      <c r="D203" s="2">
        <v>1002</v>
      </c>
      <c r="E203" t="s">
        <v>45</v>
      </c>
      <c r="F203" s="2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 s="2">
        <v>6804</v>
      </c>
      <c r="T203">
        <v>23793</v>
      </c>
      <c r="U203">
        <v>1</v>
      </c>
      <c r="V203" t="s">
        <v>42</v>
      </c>
      <c r="W203" t="s">
        <v>35</v>
      </c>
      <c r="X203" s="2">
        <v>15</v>
      </c>
      <c r="Y203">
        <v>3</v>
      </c>
      <c r="Z203">
        <v>1</v>
      </c>
      <c r="AA203">
        <v>80</v>
      </c>
      <c r="AB203">
        <v>2</v>
      </c>
      <c r="AC203" s="2">
        <v>7</v>
      </c>
      <c r="AD203">
        <v>0</v>
      </c>
      <c r="AE203">
        <v>3</v>
      </c>
      <c r="AF203" s="2">
        <v>7</v>
      </c>
      <c r="AG203">
        <v>7</v>
      </c>
      <c r="AH203">
        <v>1</v>
      </c>
      <c r="AI203">
        <v>7</v>
      </c>
      <c r="AJ203" s="2" t="str">
        <f>IF(A203 A203 &lt;= 25, "18-25", IF(A203 &lt;=35, "26-35", IF(A203 &lt;=45, "36-45", IF(Table3[[#This Row],[Age]] &lt;=55, "46-55", "56+"))))</f>
        <v>46-55</v>
      </c>
      <c r="AK203" t="str">
        <f t="shared" si="3"/>
        <v>Medium</v>
      </c>
      <c r="AL203" s="2" t="str">
        <f>IF(AF203 &lt; 3, "0-2 Years", IF(AF203 &lt;= 5, "3-5 Years", IF(AF203 &lt;= 10, "6-10 Years",IF(Table3[[#This Row],[Years At Company]]&lt;=20, "11-20 Years","20+ Years"))))</f>
        <v>6-10 Years</v>
      </c>
    </row>
    <row r="204" spans="1:38" x14ac:dyDescent="0.25">
      <c r="A204" s="2">
        <v>34</v>
      </c>
      <c r="B204" t="s">
        <v>43</v>
      </c>
      <c r="C204" t="s">
        <v>44</v>
      </c>
      <c r="D204" s="2">
        <v>878</v>
      </c>
      <c r="E204" t="s">
        <v>45</v>
      </c>
      <c r="F204" s="2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 s="2">
        <v>3815</v>
      </c>
      <c r="T204">
        <v>5972</v>
      </c>
      <c r="U204">
        <v>1</v>
      </c>
      <c r="V204" t="s">
        <v>42</v>
      </c>
      <c r="W204" t="s">
        <v>35</v>
      </c>
      <c r="X204" s="2">
        <v>17</v>
      </c>
      <c r="Y204">
        <v>3</v>
      </c>
      <c r="Z204">
        <v>4</v>
      </c>
      <c r="AA204">
        <v>80</v>
      </c>
      <c r="AB204">
        <v>1</v>
      </c>
      <c r="AC204" s="2">
        <v>5</v>
      </c>
      <c r="AD204">
        <v>4</v>
      </c>
      <c r="AE204">
        <v>4</v>
      </c>
      <c r="AF204" s="2">
        <v>5</v>
      </c>
      <c r="AG204">
        <v>3</v>
      </c>
      <c r="AH204">
        <v>2</v>
      </c>
      <c r="AI204">
        <v>0</v>
      </c>
      <c r="AJ204" s="2" t="str">
        <f>IF(A204 A204 &lt;= 25, "18-25", IF(A204 &lt;=35, "26-35", IF(A204 &lt;=45, "36-45", IF(Table3[[#This Row],[Age]] &lt;=55, "46-55", "56+"))))</f>
        <v>26-35</v>
      </c>
      <c r="AK204" t="str">
        <f t="shared" si="3"/>
        <v>Low</v>
      </c>
      <c r="AL204" s="2" t="str">
        <f>IF(AF204 &lt; 3, "0-2 Years", IF(AF204 &lt;= 5, "3-5 Years", IF(AF204 &lt;= 10, "6-10 Years",IF(Table3[[#This Row],[Years At Company]]&lt;=20, "11-20 Years","20+ Years"))))</f>
        <v>3-5 Years</v>
      </c>
    </row>
    <row r="205" spans="1:38" x14ac:dyDescent="0.25">
      <c r="A205" s="2">
        <v>40</v>
      </c>
      <c r="B205" t="s">
        <v>43</v>
      </c>
      <c r="C205" t="s">
        <v>36</v>
      </c>
      <c r="D205" s="2">
        <v>905</v>
      </c>
      <c r="E205" t="s">
        <v>45</v>
      </c>
      <c r="F205" s="2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 s="2">
        <v>2741</v>
      </c>
      <c r="T205">
        <v>16523</v>
      </c>
      <c r="U205">
        <v>8</v>
      </c>
      <c r="V205" t="s">
        <v>42</v>
      </c>
      <c r="W205" t="s">
        <v>35</v>
      </c>
      <c r="X205" s="2">
        <v>15</v>
      </c>
      <c r="Y205">
        <v>3</v>
      </c>
      <c r="Z205">
        <v>3</v>
      </c>
      <c r="AA205">
        <v>80</v>
      </c>
      <c r="AB205">
        <v>1</v>
      </c>
      <c r="AC205" s="2">
        <v>15</v>
      </c>
      <c r="AD205">
        <v>2</v>
      </c>
      <c r="AE205">
        <v>4</v>
      </c>
      <c r="AF205" s="2">
        <v>7</v>
      </c>
      <c r="AG205">
        <v>2</v>
      </c>
      <c r="AH205">
        <v>3</v>
      </c>
      <c r="AI205">
        <v>7</v>
      </c>
      <c r="AJ205" s="2" t="str">
        <f>IF(A205 A205 &lt;= 25, "18-25", IF(A205 &lt;=35, "26-35", IF(A205 &lt;=45, "36-45", IF(Table3[[#This Row],[Age]] &lt;=55, "46-55", "56+"))))</f>
        <v>36-45</v>
      </c>
      <c r="AK205" t="str">
        <f t="shared" si="3"/>
        <v>Low</v>
      </c>
      <c r="AL205" s="2" t="str">
        <f>IF(AF205 &lt; 3, "0-2 Years", IF(AF205 &lt;= 5, "3-5 Years", IF(AF205 &lt;= 10, "6-10 Years",IF(Table3[[#This Row],[Years At Company]]&lt;=20, "11-20 Years","20+ Years"))))</f>
        <v>6-10 Years</v>
      </c>
    </row>
    <row r="206" spans="1:38" x14ac:dyDescent="0.25">
      <c r="A206" s="2">
        <v>38</v>
      </c>
      <c r="B206" t="s">
        <v>35</v>
      </c>
      <c r="C206" t="s">
        <v>36</v>
      </c>
      <c r="D206" s="2">
        <v>1180</v>
      </c>
      <c r="E206" t="s">
        <v>45</v>
      </c>
      <c r="F206" s="2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 s="2">
        <v>6673</v>
      </c>
      <c r="T206">
        <v>11354</v>
      </c>
      <c r="U206">
        <v>7</v>
      </c>
      <c r="V206" t="s">
        <v>42</v>
      </c>
      <c r="W206" t="s">
        <v>35</v>
      </c>
      <c r="X206" s="2">
        <v>19</v>
      </c>
      <c r="Y206">
        <v>3</v>
      </c>
      <c r="Z206">
        <v>2</v>
      </c>
      <c r="AA206">
        <v>80</v>
      </c>
      <c r="AB206">
        <v>0</v>
      </c>
      <c r="AC206" s="2">
        <v>17</v>
      </c>
      <c r="AD206">
        <v>2</v>
      </c>
      <c r="AE206">
        <v>3</v>
      </c>
      <c r="AF206" s="2">
        <v>1</v>
      </c>
      <c r="AG206">
        <v>0</v>
      </c>
      <c r="AH206">
        <v>0</v>
      </c>
      <c r="AI206">
        <v>0</v>
      </c>
      <c r="AJ206" s="2" t="str">
        <f>IF(A206 A206 &lt;= 25, "18-25", IF(A206 &lt;=35, "26-35", IF(A206 &lt;=45, "36-45", IF(Table3[[#This Row],[Age]] &lt;=55, "46-55", "56+"))))</f>
        <v>36-45</v>
      </c>
      <c r="AK206" t="str">
        <f t="shared" si="3"/>
        <v>Medium</v>
      </c>
      <c r="AL206" s="2" t="str">
        <f>IF(AF206 &lt; 3, "0-2 Years", IF(AF206 &lt;= 5, "3-5 Years", IF(AF206 &lt;= 10, "6-10 Years",IF(Table3[[#This Row],[Years At Company]]&lt;=20, "11-20 Years","20+ Years"))))</f>
        <v>0-2 Years</v>
      </c>
    </row>
    <row r="207" spans="1:38" x14ac:dyDescent="0.25">
      <c r="A207" s="2">
        <v>29</v>
      </c>
      <c r="B207" t="s">
        <v>35</v>
      </c>
      <c r="C207" t="s">
        <v>36</v>
      </c>
      <c r="D207" s="2">
        <v>121</v>
      </c>
      <c r="E207" t="s">
        <v>37</v>
      </c>
      <c r="F207" s="2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 s="2">
        <v>7639</v>
      </c>
      <c r="T207">
        <v>24525</v>
      </c>
      <c r="U207">
        <v>1</v>
      </c>
      <c r="V207" t="s">
        <v>42</v>
      </c>
      <c r="W207" t="s">
        <v>43</v>
      </c>
      <c r="X207" s="2">
        <v>22</v>
      </c>
      <c r="Y207">
        <v>4</v>
      </c>
      <c r="Z207">
        <v>4</v>
      </c>
      <c r="AA207">
        <v>80</v>
      </c>
      <c r="AB207">
        <v>3</v>
      </c>
      <c r="AC207" s="2">
        <v>10</v>
      </c>
      <c r="AD207">
        <v>3</v>
      </c>
      <c r="AE207">
        <v>2</v>
      </c>
      <c r="AF207" s="2">
        <v>10</v>
      </c>
      <c r="AG207">
        <v>4</v>
      </c>
      <c r="AH207">
        <v>1</v>
      </c>
      <c r="AI207">
        <v>9</v>
      </c>
      <c r="AJ207" s="2" t="str">
        <f>IF(A207 A207 &lt;= 25, "18-25", IF(A207 &lt;=35, "26-35", IF(A207 &lt;=45, "36-45", IF(Table3[[#This Row],[Age]] &lt;=55, "46-55", "56+"))))</f>
        <v>26-35</v>
      </c>
      <c r="AK207" t="str">
        <f t="shared" si="3"/>
        <v>Medium</v>
      </c>
      <c r="AL207" s="2" t="str">
        <f>IF(AF207 &lt; 3, "0-2 Years", IF(AF207 &lt;= 5, "3-5 Years", IF(AF207 &lt;= 10, "6-10 Years",IF(Table3[[#This Row],[Years At Company]]&lt;=20, "11-20 Years","20+ Years"))))</f>
        <v>6-10 Years</v>
      </c>
    </row>
    <row r="208" spans="1:38" x14ac:dyDescent="0.25">
      <c r="A208" s="2">
        <v>22</v>
      </c>
      <c r="B208" t="s">
        <v>43</v>
      </c>
      <c r="C208" t="s">
        <v>36</v>
      </c>
      <c r="D208" s="2">
        <v>1136</v>
      </c>
      <c r="E208" t="s">
        <v>45</v>
      </c>
      <c r="F208" s="2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 s="2">
        <v>2328</v>
      </c>
      <c r="T208">
        <v>12392</v>
      </c>
      <c r="U208">
        <v>1</v>
      </c>
      <c r="V208" t="s">
        <v>42</v>
      </c>
      <c r="W208" t="s">
        <v>35</v>
      </c>
      <c r="X208" s="2">
        <v>16</v>
      </c>
      <c r="Y208">
        <v>3</v>
      </c>
      <c r="Z208">
        <v>1</v>
      </c>
      <c r="AA208">
        <v>80</v>
      </c>
      <c r="AB208">
        <v>1</v>
      </c>
      <c r="AC208" s="2">
        <v>4</v>
      </c>
      <c r="AD208">
        <v>2</v>
      </c>
      <c r="AE208">
        <v>2</v>
      </c>
      <c r="AF208" s="2">
        <v>4</v>
      </c>
      <c r="AG208">
        <v>2</v>
      </c>
      <c r="AH208">
        <v>2</v>
      </c>
      <c r="AI208">
        <v>2</v>
      </c>
      <c r="AJ208" s="2" t="str">
        <f>IF(A208 A208 &lt;= 25, "18-25", IF(A208 &lt;=35, "26-35", IF(A208 &lt;=45, "36-45", IF(Table3[[#This Row],[Age]] &lt;=55, "46-55", "56+"))))</f>
        <v>18-25</v>
      </c>
      <c r="AK208" t="str">
        <f t="shared" si="3"/>
        <v>Low</v>
      </c>
      <c r="AL208" s="2" t="str">
        <f>IF(AF208 &lt; 3, "0-2 Years", IF(AF208 &lt;= 5, "3-5 Years", IF(AF208 &lt;= 10, "6-10 Years",IF(Table3[[#This Row],[Years At Company]]&lt;=20, "11-20 Years","20+ Years"))))</f>
        <v>3-5 Years</v>
      </c>
    </row>
    <row r="209" spans="1:38" x14ac:dyDescent="0.25">
      <c r="A209" s="2">
        <v>36</v>
      </c>
      <c r="B209" t="s">
        <v>43</v>
      </c>
      <c r="C209" t="s">
        <v>44</v>
      </c>
      <c r="D209" s="2">
        <v>635</v>
      </c>
      <c r="E209" t="s">
        <v>45</v>
      </c>
      <c r="F209" s="2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 s="2">
        <v>2153</v>
      </c>
      <c r="T209">
        <v>7703</v>
      </c>
      <c r="U209">
        <v>1</v>
      </c>
      <c r="V209" t="s">
        <v>42</v>
      </c>
      <c r="W209" t="s">
        <v>43</v>
      </c>
      <c r="X209" s="2">
        <v>13</v>
      </c>
      <c r="Y209">
        <v>3</v>
      </c>
      <c r="Z209">
        <v>1</v>
      </c>
      <c r="AA209">
        <v>80</v>
      </c>
      <c r="AB209">
        <v>0</v>
      </c>
      <c r="AC209" s="2">
        <v>8</v>
      </c>
      <c r="AD209">
        <v>2</v>
      </c>
      <c r="AE209">
        <v>3</v>
      </c>
      <c r="AF209" s="2">
        <v>8</v>
      </c>
      <c r="AG209">
        <v>1</v>
      </c>
      <c r="AH209">
        <v>1</v>
      </c>
      <c r="AI209">
        <v>7</v>
      </c>
      <c r="AJ209" s="2" t="str">
        <f>IF(A209 A209 &lt;= 25, "18-25", IF(A209 &lt;=35, "26-35", IF(A209 &lt;=45, "36-45", IF(Table3[[#This Row],[Age]] &lt;=55, "46-55", "56+"))))</f>
        <v>36-45</v>
      </c>
      <c r="AK209" t="str">
        <f t="shared" si="3"/>
        <v>Low</v>
      </c>
      <c r="AL209" s="2" t="str">
        <f>IF(AF209 &lt; 3, "0-2 Years", IF(AF209 &lt;= 5, "3-5 Years", IF(AF209 &lt;= 10, "6-10 Years",IF(Table3[[#This Row],[Years At Company]]&lt;=20, "11-20 Years","20+ Years"))))</f>
        <v>6-10 Years</v>
      </c>
    </row>
    <row r="210" spans="1:38" x14ac:dyDescent="0.25">
      <c r="A210" s="2">
        <v>40</v>
      </c>
      <c r="B210" t="s">
        <v>43</v>
      </c>
      <c r="C210" t="s">
        <v>55</v>
      </c>
      <c r="D210" s="2">
        <v>1151</v>
      </c>
      <c r="E210" t="s">
        <v>45</v>
      </c>
      <c r="F210" s="2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 s="2">
        <v>4876</v>
      </c>
      <c r="T210">
        <v>14242</v>
      </c>
      <c r="U210">
        <v>9</v>
      </c>
      <c r="V210" t="s">
        <v>42</v>
      </c>
      <c r="W210" t="s">
        <v>43</v>
      </c>
      <c r="X210" s="2">
        <v>14</v>
      </c>
      <c r="Y210">
        <v>3</v>
      </c>
      <c r="Z210">
        <v>4</v>
      </c>
      <c r="AA210">
        <v>80</v>
      </c>
      <c r="AB210">
        <v>1</v>
      </c>
      <c r="AC210" s="2">
        <v>5</v>
      </c>
      <c r="AD210">
        <v>5</v>
      </c>
      <c r="AE210">
        <v>1</v>
      </c>
      <c r="AF210" s="2">
        <v>3</v>
      </c>
      <c r="AG210">
        <v>2</v>
      </c>
      <c r="AH210">
        <v>0</v>
      </c>
      <c r="AI210">
        <v>2</v>
      </c>
      <c r="AJ210" s="2" t="str">
        <f>IF(A210 A210 &lt;= 25, "18-25", IF(A210 &lt;=35, "26-35", IF(A210 &lt;=45, "36-45", IF(Table3[[#This Row],[Age]] &lt;=55, "46-55", "56+"))))</f>
        <v>36-45</v>
      </c>
      <c r="AK210" t="str">
        <f t="shared" si="3"/>
        <v>Low</v>
      </c>
      <c r="AL210" s="2" t="str">
        <f>IF(AF210 &lt; 3, "0-2 Years", IF(AF210 &lt;= 5, "3-5 Years", IF(AF210 &lt;= 10, "6-10 Years",IF(Table3[[#This Row],[Years At Company]]&lt;=20, "11-20 Years","20+ Years"))))</f>
        <v>3-5 Years</v>
      </c>
    </row>
    <row r="211" spans="1:38" x14ac:dyDescent="0.25">
      <c r="A211" s="2">
        <v>46</v>
      </c>
      <c r="B211" t="s">
        <v>43</v>
      </c>
      <c r="C211" t="s">
        <v>36</v>
      </c>
      <c r="D211" s="2">
        <v>644</v>
      </c>
      <c r="E211" t="s">
        <v>45</v>
      </c>
      <c r="F211" s="2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 s="2">
        <v>9396</v>
      </c>
      <c r="T211">
        <v>12368</v>
      </c>
      <c r="U211">
        <v>7</v>
      </c>
      <c r="V211" t="s">
        <v>42</v>
      </c>
      <c r="W211" t="s">
        <v>43</v>
      </c>
      <c r="X211" s="2">
        <v>16</v>
      </c>
      <c r="Y211">
        <v>3</v>
      </c>
      <c r="Z211">
        <v>3</v>
      </c>
      <c r="AA211">
        <v>80</v>
      </c>
      <c r="AB211">
        <v>1</v>
      </c>
      <c r="AC211" s="2">
        <v>17</v>
      </c>
      <c r="AD211">
        <v>3</v>
      </c>
      <c r="AE211">
        <v>3</v>
      </c>
      <c r="AF211" s="2">
        <v>4</v>
      </c>
      <c r="AG211">
        <v>2</v>
      </c>
      <c r="AH211">
        <v>0</v>
      </c>
      <c r="AI211">
        <v>3</v>
      </c>
      <c r="AJ211" s="2" t="str">
        <f>IF(A211 A211 &lt;= 25, "18-25", IF(A211 &lt;=35, "26-35", IF(A211 &lt;=45, "36-45", IF(Table3[[#This Row],[Age]] &lt;=55, "46-55", "56+"))))</f>
        <v>46-55</v>
      </c>
      <c r="AK211" t="str">
        <f t="shared" si="3"/>
        <v>Medium</v>
      </c>
      <c r="AL211" s="2" t="str">
        <f>IF(AF211 &lt; 3, "0-2 Years", IF(AF211 &lt;= 5, "3-5 Years", IF(AF211 &lt;= 10, "6-10 Years",IF(Table3[[#This Row],[Years At Company]]&lt;=20, "11-20 Years","20+ Years"))))</f>
        <v>3-5 Years</v>
      </c>
    </row>
    <row r="212" spans="1:38" x14ac:dyDescent="0.25">
      <c r="A212" s="2">
        <v>32</v>
      </c>
      <c r="B212" t="s">
        <v>35</v>
      </c>
      <c r="C212" t="s">
        <v>36</v>
      </c>
      <c r="D212" s="2">
        <v>1045</v>
      </c>
      <c r="E212" t="s">
        <v>37</v>
      </c>
      <c r="F212" s="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 s="2">
        <v>10400</v>
      </c>
      <c r="T212">
        <v>25812</v>
      </c>
      <c r="U212">
        <v>1</v>
      </c>
      <c r="V212" t="s">
        <v>42</v>
      </c>
      <c r="W212" t="s">
        <v>43</v>
      </c>
      <c r="X212" s="2">
        <v>11</v>
      </c>
      <c r="Y212">
        <v>3</v>
      </c>
      <c r="Z212">
        <v>3</v>
      </c>
      <c r="AA212">
        <v>80</v>
      </c>
      <c r="AB212">
        <v>0</v>
      </c>
      <c r="AC212" s="2">
        <v>14</v>
      </c>
      <c r="AD212">
        <v>2</v>
      </c>
      <c r="AE212">
        <v>2</v>
      </c>
      <c r="AF212" s="2">
        <v>14</v>
      </c>
      <c r="AG212">
        <v>8</v>
      </c>
      <c r="AH212">
        <v>9</v>
      </c>
      <c r="AI212">
        <v>8</v>
      </c>
      <c r="AJ212" s="2" t="str">
        <f>IF(A212 A212 &lt;= 25, "18-25", IF(A212 &lt;=35, "26-35", IF(A212 &lt;=45, "36-45", IF(Table3[[#This Row],[Age]] &lt;=55, "46-55", "56+"))))</f>
        <v>26-35</v>
      </c>
      <c r="AK212" t="str">
        <f t="shared" si="3"/>
        <v>High</v>
      </c>
      <c r="AL212" s="2" t="str">
        <f>IF(AF212 &lt; 3, "0-2 Years", IF(AF212 &lt;= 5, "3-5 Years", IF(AF212 &lt;= 10, "6-10 Years",IF(Table3[[#This Row],[Years At Company]]&lt;=20, "11-20 Years","20+ Years"))))</f>
        <v>11-20 Years</v>
      </c>
    </row>
    <row r="213" spans="1:38" x14ac:dyDescent="0.25">
      <c r="A213" s="2">
        <v>30</v>
      </c>
      <c r="B213" t="s">
        <v>43</v>
      </c>
      <c r="C213" t="s">
        <v>55</v>
      </c>
      <c r="D213" s="2">
        <v>829</v>
      </c>
      <c r="E213" t="s">
        <v>45</v>
      </c>
      <c r="F213" s="2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 s="2">
        <v>8474</v>
      </c>
      <c r="T213">
        <v>20925</v>
      </c>
      <c r="U213">
        <v>1</v>
      </c>
      <c r="V213" t="s">
        <v>42</v>
      </c>
      <c r="W213" t="s">
        <v>43</v>
      </c>
      <c r="X213" s="2">
        <v>22</v>
      </c>
      <c r="Y213">
        <v>4</v>
      </c>
      <c r="Z213">
        <v>3</v>
      </c>
      <c r="AA213">
        <v>80</v>
      </c>
      <c r="AB213">
        <v>0</v>
      </c>
      <c r="AC213" s="2">
        <v>12</v>
      </c>
      <c r="AD213">
        <v>2</v>
      </c>
      <c r="AE213">
        <v>3</v>
      </c>
      <c r="AF213" s="2">
        <v>11</v>
      </c>
      <c r="AG213">
        <v>8</v>
      </c>
      <c r="AH213">
        <v>5</v>
      </c>
      <c r="AI213">
        <v>8</v>
      </c>
      <c r="AJ213" s="2" t="str">
        <f>IF(A213 A213 &lt;= 25, "18-25", IF(A213 &lt;=35, "26-35", IF(A213 &lt;=45, "36-45", IF(Table3[[#This Row],[Age]] &lt;=55, "46-55", "56+"))))</f>
        <v>26-35</v>
      </c>
      <c r="AK213" t="str">
        <f t="shared" si="3"/>
        <v>Medium</v>
      </c>
      <c r="AL213" s="2" t="str">
        <f>IF(AF213 &lt; 3, "0-2 Years", IF(AF213 &lt;= 5, "3-5 Years", IF(AF213 &lt;= 10, "6-10 Years",IF(Table3[[#This Row],[Years At Company]]&lt;=20, "11-20 Years","20+ Years"))))</f>
        <v>11-20 Years</v>
      </c>
    </row>
    <row r="214" spans="1:38" x14ac:dyDescent="0.25">
      <c r="A214" s="2">
        <v>27</v>
      </c>
      <c r="B214" t="s">
        <v>43</v>
      </c>
      <c r="C214" t="s">
        <v>44</v>
      </c>
      <c r="D214" s="2">
        <v>1242</v>
      </c>
      <c r="E214" t="s">
        <v>37</v>
      </c>
      <c r="F214" s="2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 s="2">
        <v>9981</v>
      </c>
      <c r="T214">
        <v>12916</v>
      </c>
      <c r="U214">
        <v>1</v>
      </c>
      <c r="V214" t="s">
        <v>42</v>
      </c>
      <c r="W214" t="s">
        <v>43</v>
      </c>
      <c r="X214" s="2">
        <v>14</v>
      </c>
      <c r="Y214">
        <v>3</v>
      </c>
      <c r="Z214">
        <v>4</v>
      </c>
      <c r="AA214">
        <v>80</v>
      </c>
      <c r="AB214">
        <v>0</v>
      </c>
      <c r="AC214" s="2">
        <v>7</v>
      </c>
      <c r="AD214">
        <v>2</v>
      </c>
      <c r="AE214">
        <v>3</v>
      </c>
      <c r="AF214" s="2">
        <v>7</v>
      </c>
      <c r="AG214">
        <v>7</v>
      </c>
      <c r="AH214">
        <v>0</v>
      </c>
      <c r="AI214">
        <v>7</v>
      </c>
      <c r="AJ214" s="2" t="str">
        <f>IF(A214 A214 &lt;= 25, "18-25", IF(A214 &lt;=35, "26-35", IF(A214 &lt;=45, "36-45", IF(Table3[[#This Row],[Age]] &lt;=55, "46-55", "56+"))))</f>
        <v>26-35</v>
      </c>
      <c r="AK214" t="str">
        <f t="shared" si="3"/>
        <v>Medium</v>
      </c>
      <c r="AL214" s="2" t="str">
        <f>IF(AF214 &lt; 3, "0-2 Years", IF(AF214 &lt;= 5, "3-5 Years", IF(AF214 &lt;= 10, "6-10 Years",IF(Table3[[#This Row],[Years At Company]]&lt;=20, "11-20 Years","20+ Years"))))</f>
        <v>6-10 Years</v>
      </c>
    </row>
    <row r="215" spans="1:38" x14ac:dyDescent="0.25">
      <c r="A215" s="2">
        <v>51</v>
      </c>
      <c r="B215" t="s">
        <v>43</v>
      </c>
      <c r="C215" t="s">
        <v>36</v>
      </c>
      <c r="D215" s="2">
        <v>1469</v>
      </c>
      <c r="E215" t="s">
        <v>45</v>
      </c>
      <c r="F215" s="2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 s="2">
        <v>12490</v>
      </c>
      <c r="T215">
        <v>15736</v>
      </c>
      <c r="U215">
        <v>5</v>
      </c>
      <c r="V215" t="s">
        <v>42</v>
      </c>
      <c r="W215" t="s">
        <v>43</v>
      </c>
      <c r="X215" s="2">
        <v>16</v>
      </c>
      <c r="Y215">
        <v>3</v>
      </c>
      <c r="Z215">
        <v>4</v>
      </c>
      <c r="AA215">
        <v>80</v>
      </c>
      <c r="AB215">
        <v>2</v>
      </c>
      <c r="AC215" s="2">
        <v>16</v>
      </c>
      <c r="AD215">
        <v>5</v>
      </c>
      <c r="AE215">
        <v>1</v>
      </c>
      <c r="AF215" s="2">
        <v>10</v>
      </c>
      <c r="AG215">
        <v>9</v>
      </c>
      <c r="AH215">
        <v>4</v>
      </c>
      <c r="AI215">
        <v>7</v>
      </c>
      <c r="AJ215" s="2" t="str">
        <f>IF(A215 A215 &lt;= 25, "18-25", IF(A215 &lt;=35, "26-35", IF(A215 &lt;=45, "36-45", IF(Table3[[#This Row],[Age]] &lt;=55, "46-55", "56+"))))</f>
        <v>46-55</v>
      </c>
      <c r="AK215" t="str">
        <f t="shared" si="3"/>
        <v>High</v>
      </c>
      <c r="AL215" s="2" t="str">
        <f>IF(AF215 &lt; 3, "0-2 Years", IF(AF215 &lt;= 5, "3-5 Years", IF(AF215 &lt;= 10, "6-10 Years",IF(Table3[[#This Row],[Years At Company]]&lt;=20, "11-20 Years","20+ Years"))))</f>
        <v>6-10 Years</v>
      </c>
    </row>
    <row r="216" spans="1:38" x14ac:dyDescent="0.25">
      <c r="A216" s="2">
        <v>30</v>
      </c>
      <c r="B216" t="s">
        <v>35</v>
      </c>
      <c r="C216" t="s">
        <v>36</v>
      </c>
      <c r="D216" s="2">
        <v>1005</v>
      </c>
      <c r="E216" t="s">
        <v>45</v>
      </c>
      <c r="F216" s="2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 s="2">
        <v>2657</v>
      </c>
      <c r="T216">
        <v>8556</v>
      </c>
      <c r="U216">
        <v>5</v>
      </c>
      <c r="V216" t="s">
        <v>42</v>
      </c>
      <c r="W216" t="s">
        <v>35</v>
      </c>
      <c r="X216" s="2">
        <v>11</v>
      </c>
      <c r="Y216">
        <v>3</v>
      </c>
      <c r="Z216">
        <v>3</v>
      </c>
      <c r="AA216">
        <v>80</v>
      </c>
      <c r="AB216">
        <v>0</v>
      </c>
      <c r="AC216" s="2">
        <v>8</v>
      </c>
      <c r="AD216">
        <v>5</v>
      </c>
      <c r="AE216">
        <v>3</v>
      </c>
      <c r="AF216" s="2">
        <v>5</v>
      </c>
      <c r="AG216">
        <v>2</v>
      </c>
      <c r="AH216">
        <v>0</v>
      </c>
      <c r="AI216">
        <v>4</v>
      </c>
      <c r="AJ216" s="2" t="str">
        <f>IF(A216 A216 &lt;= 25, "18-25", IF(A216 &lt;=35, "26-35", IF(A216 &lt;=45, "36-45", IF(Table3[[#This Row],[Age]] &lt;=55, "46-55", "56+"))))</f>
        <v>26-35</v>
      </c>
      <c r="AK216" t="str">
        <f t="shared" si="3"/>
        <v>Low</v>
      </c>
      <c r="AL216" s="2" t="str">
        <f>IF(AF216 &lt; 3, "0-2 Years", IF(AF216 &lt;= 5, "3-5 Years", IF(AF216 &lt;= 10, "6-10 Years",IF(Table3[[#This Row],[Years At Company]]&lt;=20, "11-20 Years","20+ Years"))))</f>
        <v>3-5 Years</v>
      </c>
    </row>
    <row r="217" spans="1:38" x14ac:dyDescent="0.25">
      <c r="A217" s="2">
        <v>41</v>
      </c>
      <c r="B217" t="s">
        <v>43</v>
      </c>
      <c r="C217" t="s">
        <v>36</v>
      </c>
      <c r="D217" s="2">
        <v>896</v>
      </c>
      <c r="E217" t="s">
        <v>37</v>
      </c>
      <c r="F217" s="2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 s="2">
        <v>13591</v>
      </c>
      <c r="T217">
        <v>14674</v>
      </c>
      <c r="U217">
        <v>3</v>
      </c>
      <c r="V217" t="s">
        <v>42</v>
      </c>
      <c r="W217" t="s">
        <v>35</v>
      </c>
      <c r="X217" s="2">
        <v>18</v>
      </c>
      <c r="Y217">
        <v>3</v>
      </c>
      <c r="Z217">
        <v>3</v>
      </c>
      <c r="AA217">
        <v>80</v>
      </c>
      <c r="AB217">
        <v>0</v>
      </c>
      <c r="AC217" s="2">
        <v>16</v>
      </c>
      <c r="AD217">
        <v>3</v>
      </c>
      <c r="AE217">
        <v>3</v>
      </c>
      <c r="AF217" s="2">
        <v>1</v>
      </c>
      <c r="AG217">
        <v>0</v>
      </c>
      <c r="AH217">
        <v>0</v>
      </c>
      <c r="AI217">
        <v>0</v>
      </c>
      <c r="AJ217" s="2" t="str">
        <f>IF(A217 A217 &lt;= 25, "18-25", IF(A217 &lt;=35, "26-35", IF(A217 &lt;=45, "36-45", IF(Table3[[#This Row],[Age]] &lt;=55, "46-55", "56+"))))</f>
        <v>36-45</v>
      </c>
      <c r="AK217" t="str">
        <f t="shared" si="3"/>
        <v>High</v>
      </c>
      <c r="AL217" s="2" t="str">
        <f>IF(AF217 &lt; 3, "0-2 Years", IF(AF217 &lt;= 5, "3-5 Years", IF(AF217 &lt;= 10, "6-10 Years",IF(Table3[[#This Row],[Years At Company]]&lt;=20, "11-20 Years","20+ Years"))))</f>
        <v>0-2 Years</v>
      </c>
    </row>
    <row r="218" spans="1:38" x14ac:dyDescent="0.25">
      <c r="A218" s="2">
        <v>30</v>
      </c>
      <c r="B218" t="s">
        <v>35</v>
      </c>
      <c r="C218" t="s">
        <v>44</v>
      </c>
      <c r="D218" s="2">
        <v>334</v>
      </c>
      <c r="E218" t="s">
        <v>37</v>
      </c>
      <c r="F218" s="2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 s="2">
        <v>6696</v>
      </c>
      <c r="T218">
        <v>22967</v>
      </c>
      <c r="U218">
        <v>5</v>
      </c>
      <c r="V218" t="s">
        <v>42</v>
      </c>
      <c r="W218" t="s">
        <v>43</v>
      </c>
      <c r="X218" s="2">
        <v>15</v>
      </c>
      <c r="Y218">
        <v>3</v>
      </c>
      <c r="Z218">
        <v>3</v>
      </c>
      <c r="AA218">
        <v>80</v>
      </c>
      <c r="AB218">
        <v>0</v>
      </c>
      <c r="AC218" s="2">
        <v>9</v>
      </c>
      <c r="AD218">
        <v>5</v>
      </c>
      <c r="AE218">
        <v>2</v>
      </c>
      <c r="AF218" s="2">
        <v>6</v>
      </c>
      <c r="AG218">
        <v>3</v>
      </c>
      <c r="AH218">
        <v>0</v>
      </c>
      <c r="AI218">
        <v>1</v>
      </c>
      <c r="AJ218" s="2" t="str">
        <f>IF(A218 A218 &lt;= 25, "18-25", IF(A218 &lt;=35, "26-35", IF(A218 &lt;=45, "36-45", IF(Table3[[#This Row],[Age]] &lt;=55, "46-55", "56+"))))</f>
        <v>26-35</v>
      </c>
      <c r="AK218" t="str">
        <f t="shared" si="3"/>
        <v>Medium</v>
      </c>
      <c r="AL218" s="2" t="str">
        <f>IF(AF218 &lt; 3, "0-2 Years", IF(AF218 &lt;= 5, "3-5 Years", IF(AF218 &lt;= 10, "6-10 Years",IF(Table3[[#This Row],[Years At Company]]&lt;=20, "11-20 Years","20+ Years"))))</f>
        <v>6-10 Years</v>
      </c>
    </row>
    <row r="219" spans="1:38" x14ac:dyDescent="0.25">
      <c r="A219" s="2">
        <v>29</v>
      </c>
      <c r="B219" t="s">
        <v>35</v>
      </c>
      <c r="C219" t="s">
        <v>36</v>
      </c>
      <c r="D219" s="2">
        <v>992</v>
      </c>
      <c r="E219" t="s">
        <v>45</v>
      </c>
      <c r="F219" s="2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 s="2">
        <v>2058</v>
      </c>
      <c r="T219">
        <v>19757</v>
      </c>
      <c r="U219">
        <v>0</v>
      </c>
      <c r="V219" t="s">
        <v>42</v>
      </c>
      <c r="W219" t="s">
        <v>43</v>
      </c>
      <c r="X219" s="2">
        <v>14</v>
      </c>
      <c r="Y219">
        <v>3</v>
      </c>
      <c r="Z219">
        <v>4</v>
      </c>
      <c r="AA219">
        <v>80</v>
      </c>
      <c r="AB219">
        <v>0</v>
      </c>
      <c r="AC219" s="2">
        <v>7</v>
      </c>
      <c r="AD219">
        <v>1</v>
      </c>
      <c r="AE219">
        <v>2</v>
      </c>
      <c r="AF219" s="2">
        <v>6</v>
      </c>
      <c r="AG219">
        <v>2</v>
      </c>
      <c r="AH219">
        <v>1</v>
      </c>
      <c r="AI219">
        <v>5</v>
      </c>
      <c r="AJ219" s="2" t="str">
        <f>IF(A219 A219 &lt;= 25, "18-25", IF(A219 &lt;=35, "26-35", IF(A219 &lt;=45, "36-45", IF(Table3[[#This Row],[Age]] &lt;=55, "46-55", "56+"))))</f>
        <v>26-35</v>
      </c>
      <c r="AK219" t="str">
        <f t="shared" si="3"/>
        <v>Low</v>
      </c>
      <c r="AL219" s="2" t="str">
        <f>IF(AF219 &lt; 3, "0-2 Years", IF(AF219 &lt;= 5, "3-5 Years", IF(AF219 &lt;= 10, "6-10 Years",IF(Table3[[#This Row],[Years At Company]]&lt;=20, "11-20 Years","20+ Years"))))</f>
        <v>6-10 Years</v>
      </c>
    </row>
    <row r="220" spans="1:38" x14ac:dyDescent="0.25">
      <c r="A220" s="2">
        <v>45</v>
      </c>
      <c r="B220" t="s">
        <v>43</v>
      </c>
      <c r="C220" t="s">
        <v>55</v>
      </c>
      <c r="D220" s="2">
        <v>1052</v>
      </c>
      <c r="E220" t="s">
        <v>37</v>
      </c>
      <c r="F220" s="2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 s="2">
        <v>8865</v>
      </c>
      <c r="T220">
        <v>16840</v>
      </c>
      <c r="U220">
        <v>6</v>
      </c>
      <c r="V220" t="s">
        <v>42</v>
      </c>
      <c r="W220" t="s">
        <v>43</v>
      </c>
      <c r="X220" s="2">
        <v>12</v>
      </c>
      <c r="Y220">
        <v>3</v>
      </c>
      <c r="Z220">
        <v>4</v>
      </c>
      <c r="AA220">
        <v>80</v>
      </c>
      <c r="AB220">
        <v>0</v>
      </c>
      <c r="AC220" s="2">
        <v>23</v>
      </c>
      <c r="AD220">
        <v>2</v>
      </c>
      <c r="AE220">
        <v>3</v>
      </c>
      <c r="AF220" s="2">
        <v>19</v>
      </c>
      <c r="AG220">
        <v>7</v>
      </c>
      <c r="AH220">
        <v>12</v>
      </c>
      <c r="AI220">
        <v>8</v>
      </c>
      <c r="AJ220" s="2" t="str">
        <f>IF(A220 A220 &lt;= 25, "18-25", IF(A220 &lt;=35, "26-35", IF(A220 &lt;=45, "36-45", IF(Table3[[#This Row],[Age]] &lt;=55, "46-55", "56+"))))</f>
        <v>36-45</v>
      </c>
      <c r="AK220" t="str">
        <f t="shared" si="3"/>
        <v>Medium</v>
      </c>
      <c r="AL220" s="2" t="str">
        <f>IF(AF220 &lt; 3, "0-2 Years", IF(AF220 &lt;= 5, "3-5 Years", IF(AF220 &lt;= 10, "6-10 Years",IF(Table3[[#This Row],[Years At Company]]&lt;=20, "11-20 Years","20+ Years"))))</f>
        <v>11-20 Years</v>
      </c>
    </row>
    <row r="221" spans="1:38" x14ac:dyDescent="0.25">
      <c r="A221" s="2">
        <v>54</v>
      </c>
      <c r="B221" t="s">
        <v>43</v>
      </c>
      <c r="C221" t="s">
        <v>36</v>
      </c>
      <c r="D221" s="2">
        <v>1147</v>
      </c>
      <c r="E221" t="s">
        <v>37</v>
      </c>
      <c r="F221" s="2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 s="2">
        <v>5940</v>
      </c>
      <c r="T221">
        <v>17011</v>
      </c>
      <c r="U221">
        <v>2</v>
      </c>
      <c r="V221" t="s">
        <v>42</v>
      </c>
      <c r="W221" t="s">
        <v>43</v>
      </c>
      <c r="X221" s="2">
        <v>14</v>
      </c>
      <c r="Y221">
        <v>3</v>
      </c>
      <c r="Z221">
        <v>4</v>
      </c>
      <c r="AA221">
        <v>80</v>
      </c>
      <c r="AB221">
        <v>1</v>
      </c>
      <c r="AC221" s="2">
        <v>16</v>
      </c>
      <c r="AD221">
        <v>4</v>
      </c>
      <c r="AE221">
        <v>3</v>
      </c>
      <c r="AF221" s="2">
        <v>6</v>
      </c>
      <c r="AG221">
        <v>2</v>
      </c>
      <c r="AH221">
        <v>0</v>
      </c>
      <c r="AI221">
        <v>5</v>
      </c>
      <c r="AJ221" s="2" t="str">
        <f>IF(A221 A221 &lt;= 25, "18-25", IF(A221 &lt;=35, "26-35", IF(A221 &lt;=45, "36-45", IF(Table3[[#This Row],[Age]] &lt;=55, "46-55", "56+"))))</f>
        <v>46-55</v>
      </c>
      <c r="AK221" t="str">
        <f t="shared" si="3"/>
        <v>Medium</v>
      </c>
      <c r="AL221" s="2" t="str">
        <f>IF(AF221 &lt; 3, "0-2 Years", IF(AF221 &lt;= 5, "3-5 Years", IF(AF221 &lt;= 10, "6-10 Years",IF(Table3[[#This Row],[Years At Company]]&lt;=20, "11-20 Years","20+ Years"))))</f>
        <v>6-10 Years</v>
      </c>
    </row>
    <row r="222" spans="1:38" x14ac:dyDescent="0.25">
      <c r="A222" s="2">
        <v>36</v>
      </c>
      <c r="B222" t="s">
        <v>43</v>
      </c>
      <c r="C222" t="s">
        <v>36</v>
      </c>
      <c r="D222" s="2">
        <v>1396</v>
      </c>
      <c r="E222" t="s">
        <v>45</v>
      </c>
      <c r="F222" s="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 s="2">
        <v>5914</v>
      </c>
      <c r="T222">
        <v>9945</v>
      </c>
      <c r="U222">
        <v>8</v>
      </c>
      <c r="V222" t="s">
        <v>42</v>
      </c>
      <c r="W222" t="s">
        <v>43</v>
      </c>
      <c r="X222" s="2">
        <v>16</v>
      </c>
      <c r="Y222">
        <v>3</v>
      </c>
      <c r="Z222">
        <v>4</v>
      </c>
      <c r="AA222">
        <v>80</v>
      </c>
      <c r="AB222">
        <v>0</v>
      </c>
      <c r="AC222" s="2">
        <v>16</v>
      </c>
      <c r="AD222">
        <v>3</v>
      </c>
      <c r="AE222">
        <v>4</v>
      </c>
      <c r="AF222" s="2">
        <v>13</v>
      </c>
      <c r="AG222">
        <v>11</v>
      </c>
      <c r="AH222">
        <v>3</v>
      </c>
      <c r="AI222">
        <v>7</v>
      </c>
      <c r="AJ222" s="2" t="str">
        <f>IF(A222 A222 &lt;= 25, "18-25", IF(A222 &lt;=35, "26-35", IF(A222 &lt;=45, "36-45", IF(Table3[[#This Row],[Age]] &lt;=55, "46-55", "56+"))))</f>
        <v>36-45</v>
      </c>
      <c r="AK222" t="str">
        <f t="shared" si="3"/>
        <v>Medium</v>
      </c>
      <c r="AL222" s="2" t="str">
        <f>IF(AF222 &lt; 3, "0-2 Years", IF(AF222 &lt;= 5, "3-5 Years", IF(AF222 &lt;= 10, "6-10 Years",IF(Table3[[#This Row],[Years At Company]]&lt;=20, "11-20 Years","20+ Years"))))</f>
        <v>11-20 Years</v>
      </c>
    </row>
    <row r="223" spans="1:38" x14ac:dyDescent="0.25">
      <c r="A223" s="2">
        <v>33</v>
      </c>
      <c r="B223" t="s">
        <v>43</v>
      </c>
      <c r="C223" t="s">
        <v>36</v>
      </c>
      <c r="D223" s="2">
        <v>147</v>
      </c>
      <c r="E223" t="s">
        <v>45</v>
      </c>
      <c r="F223" s="2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 s="2">
        <v>2622</v>
      </c>
      <c r="T223">
        <v>13248</v>
      </c>
      <c r="U223">
        <v>6</v>
      </c>
      <c r="V223" t="s">
        <v>42</v>
      </c>
      <c r="W223" t="s">
        <v>43</v>
      </c>
      <c r="X223" s="2">
        <v>21</v>
      </c>
      <c r="Y223">
        <v>4</v>
      </c>
      <c r="Z223">
        <v>4</v>
      </c>
      <c r="AA223">
        <v>80</v>
      </c>
      <c r="AB223">
        <v>0</v>
      </c>
      <c r="AC223" s="2">
        <v>7</v>
      </c>
      <c r="AD223">
        <v>3</v>
      </c>
      <c r="AE223">
        <v>3</v>
      </c>
      <c r="AF223" s="2">
        <v>3</v>
      </c>
      <c r="AG223">
        <v>2</v>
      </c>
      <c r="AH223">
        <v>1</v>
      </c>
      <c r="AI223">
        <v>1</v>
      </c>
      <c r="AJ223" s="2" t="str">
        <f>IF(A223 A223 &lt;= 25, "18-25", IF(A223 &lt;=35, "26-35", IF(A223 &lt;=45, "36-45", IF(Table3[[#This Row],[Age]] &lt;=55, "46-55", "56+"))))</f>
        <v>26-35</v>
      </c>
      <c r="AK223" t="str">
        <f t="shared" si="3"/>
        <v>Low</v>
      </c>
      <c r="AL223" s="2" t="str">
        <f>IF(AF223 &lt; 3, "0-2 Years", IF(AF223 &lt;= 5, "3-5 Years", IF(AF223 &lt;= 10, "6-10 Years",IF(Table3[[#This Row],[Years At Company]]&lt;=20, "11-20 Years","20+ Years"))))</f>
        <v>3-5 Years</v>
      </c>
    </row>
    <row r="224" spans="1:38" x14ac:dyDescent="0.25">
      <c r="A224" s="2">
        <v>37</v>
      </c>
      <c r="B224" t="s">
        <v>43</v>
      </c>
      <c r="C224" t="s">
        <v>44</v>
      </c>
      <c r="D224" s="2">
        <v>663</v>
      </c>
      <c r="E224" t="s">
        <v>45</v>
      </c>
      <c r="F224" s="2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 s="2">
        <v>12185</v>
      </c>
      <c r="T224">
        <v>10056</v>
      </c>
      <c r="U224">
        <v>1</v>
      </c>
      <c r="V224" t="s">
        <v>42</v>
      </c>
      <c r="W224" t="s">
        <v>35</v>
      </c>
      <c r="X224" s="2">
        <v>14</v>
      </c>
      <c r="Y224">
        <v>3</v>
      </c>
      <c r="Z224">
        <v>3</v>
      </c>
      <c r="AA224">
        <v>80</v>
      </c>
      <c r="AB224">
        <v>3</v>
      </c>
      <c r="AC224" s="2">
        <v>10</v>
      </c>
      <c r="AD224">
        <v>1</v>
      </c>
      <c r="AE224">
        <v>3</v>
      </c>
      <c r="AF224" s="2">
        <v>10</v>
      </c>
      <c r="AG224">
        <v>8</v>
      </c>
      <c r="AH224">
        <v>0</v>
      </c>
      <c r="AI224">
        <v>7</v>
      </c>
      <c r="AJ224" s="2" t="str">
        <f>IF(A224 A224 &lt;= 25, "18-25", IF(A224 &lt;=35, "26-35", IF(A224 &lt;=45, "36-45", IF(Table3[[#This Row],[Age]] &lt;=55, "46-55", "56+"))))</f>
        <v>36-45</v>
      </c>
      <c r="AK224" t="str">
        <f t="shared" si="3"/>
        <v>High</v>
      </c>
      <c r="AL224" s="2" t="str">
        <f>IF(AF224 &lt; 3, "0-2 Years", IF(AF224 &lt;= 5, "3-5 Years", IF(AF224 &lt;= 10, "6-10 Years",IF(Table3[[#This Row],[Years At Company]]&lt;=20, "11-20 Years","20+ Years"))))</f>
        <v>6-10 Years</v>
      </c>
    </row>
    <row r="225" spans="1:38" x14ac:dyDescent="0.25">
      <c r="A225" s="2">
        <v>38</v>
      </c>
      <c r="B225" t="s">
        <v>43</v>
      </c>
      <c r="C225" t="s">
        <v>36</v>
      </c>
      <c r="D225" s="2">
        <v>119</v>
      </c>
      <c r="E225" t="s">
        <v>37</v>
      </c>
      <c r="F225" s="2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 s="2">
        <v>10609</v>
      </c>
      <c r="T225">
        <v>9647</v>
      </c>
      <c r="U225">
        <v>0</v>
      </c>
      <c r="V225" t="s">
        <v>42</v>
      </c>
      <c r="W225" t="s">
        <v>43</v>
      </c>
      <c r="X225" s="2">
        <v>12</v>
      </c>
      <c r="Y225">
        <v>3</v>
      </c>
      <c r="Z225">
        <v>3</v>
      </c>
      <c r="AA225">
        <v>80</v>
      </c>
      <c r="AB225">
        <v>2</v>
      </c>
      <c r="AC225" s="2">
        <v>17</v>
      </c>
      <c r="AD225">
        <v>6</v>
      </c>
      <c r="AE225">
        <v>2</v>
      </c>
      <c r="AF225" s="2">
        <v>16</v>
      </c>
      <c r="AG225">
        <v>10</v>
      </c>
      <c r="AH225">
        <v>5</v>
      </c>
      <c r="AI225">
        <v>13</v>
      </c>
      <c r="AJ225" s="2" t="str">
        <f>IF(A225 A225 &lt;= 25, "18-25", IF(A225 &lt;=35, "26-35", IF(A225 &lt;=45, "36-45", IF(Table3[[#This Row],[Age]] &lt;=55, "46-55", "56+"))))</f>
        <v>36-45</v>
      </c>
      <c r="AK225" t="str">
        <f t="shared" si="3"/>
        <v>High</v>
      </c>
      <c r="AL225" s="2" t="str">
        <f>IF(AF225 &lt; 3, "0-2 Years", IF(AF225 &lt;= 5, "3-5 Years", IF(AF225 &lt;= 10, "6-10 Years",IF(Table3[[#This Row],[Years At Company]]&lt;=20, "11-20 Years","20+ Years"))))</f>
        <v>11-20 Years</v>
      </c>
    </row>
    <row r="226" spans="1:38" x14ac:dyDescent="0.25">
      <c r="A226" s="2">
        <v>31</v>
      </c>
      <c r="B226" t="s">
        <v>43</v>
      </c>
      <c r="C226" t="s">
        <v>55</v>
      </c>
      <c r="D226" s="2">
        <v>979</v>
      </c>
      <c r="E226" t="s">
        <v>45</v>
      </c>
      <c r="F226" s="2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 s="2">
        <v>4345</v>
      </c>
      <c r="T226">
        <v>4381</v>
      </c>
      <c r="U226">
        <v>0</v>
      </c>
      <c r="V226" t="s">
        <v>42</v>
      </c>
      <c r="W226" t="s">
        <v>43</v>
      </c>
      <c r="X226" s="2">
        <v>12</v>
      </c>
      <c r="Y226">
        <v>3</v>
      </c>
      <c r="Z226">
        <v>4</v>
      </c>
      <c r="AA226">
        <v>80</v>
      </c>
      <c r="AB226">
        <v>1</v>
      </c>
      <c r="AC226" s="2">
        <v>6</v>
      </c>
      <c r="AD226">
        <v>2</v>
      </c>
      <c r="AE226">
        <v>3</v>
      </c>
      <c r="AF226" s="2">
        <v>5</v>
      </c>
      <c r="AG226">
        <v>4</v>
      </c>
      <c r="AH226">
        <v>1</v>
      </c>
      <c r="AI226">
        <v>4</v>
      </c>
      <c r="AJ226" s="2" t="str">
        <f>IF(A226 A226 &lt;= 25, "18-25", IF(A226 &lt;=35, "26-35", IF(A226 &lt;=45, "36-45", IF(Table3[[#This Row],[Age]] &lt;=55, "46-55", "56+"))))</f>
        <v>26-35</v>
      </c>
      <c r="AK226" t="str">
        <f t="shared" si="3"/>
        <v>Low</v>
      </c>
      <c r="AL226" s="2" t="str">
        <f>IF(AF226 &lt; 3, "0-2 Years", IF(AF226 &lt;= 5, "3-5 Years", IF(AF226 &lt;= 10, "6-10 Years",IF(Table3[[#This Row],[Years At Company]]&lt;=20, "11-20 Years","20+ Years"))))</f>
        <v>3-5 Years</v>
      </c>
    </row>
    <row r="227" spans="1:38" x14ac:dyDescent="0.25">
      <c r="A227" s="2">
        <v>59</v>
      </c>
      <c r="B227" t="s">
        <v>43</v>
      </c>
      <c r="C227" t="s">
        <v>36</v>
      </c>
      <c r="D227" s="2">
        <v>142</v>
      </c>
      <c r="E227" t="s">
        <v>45</v>
      </c>
      <c r="F227" s="2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 s="2">
        <v>2177</v>
      </c>
      <c r="T227">
        <v>8456</v>
      </c>
      <c r="U227">
        <v>3</v>
      </c>
      <c r="V227" t="s">
        <v>42</v>
      </c>
      <c r="W227" t="s">
        <v>43</v>
      </c>
      <c r="X227" s="2">
        <v>17</v>
      </c>
      <c r="Y227">
        <v>3</v>
      </c>
      <c r="Z227">
        <v>1</v>
      </c>
      <c r="AA227">
        <v>80</v>
      </c>
      <c r="AB227">
        <v>1</v>
      </c>
      <c r="AC227" s="2">
        <v>7</v>
      </c>
      <c r="AD227">
        <v>6</v>
      </c>
      <c r="AE227">
        <v>3</v>
      </c>
      <c r="AF227" s="2">
        <v>1</v>
      </c>
      <c r="AG227">
        <v>0</v>
      </c>
      <c r="AH227">
        <v>0</v>
      </c>
      <c r="AI227">
        <v>0</v>
      </c>
      <c r="AJ227" s="2" t="str">
        <f>IF(A227 A227 &lt;= 25, "18-25", IF(A227 &lt;=35, "26-35", IF(A227 &lt;=45, "36-45", IF(Table3[[#This Row],[Age]] &lt;=55, "46-55", "56+"))))</f>
        <v>56+</v>
      </c>
      <c r="AK227" t="str">
        <f t="shared" si="3"/>
        <v>Low</v>
      </c>
      <c r="AL227" s="2" t="str">
        <f>IF(AF227 &lt; 3, "0-2 Years", IF(AF227 &lt;= 5, "3-5 Years", IF(AF227 &lt;= 10, "6-10 Years",IF(Table3[[#This Row],[Years At Company]]&lt;=20, "11-20 Years","20+ Years"))))</f>
        <v>0-2 Years</v>
      </c>
    </row>
    <row r="228" spans="1:38" x14ac:dyDescent="0.25">
      <c r="A228" s="2">
        <v>37</v>
      </c>
      <c r="B228" t="s">
        <v>43</v>
      </c>
      <c r="C228" t="s">
        <v>44</v>
      </c>
      <c r="D228" s="2">
        <v>319</v>
      </c>
      <c r="E228" t="s">
        <v>37</v>
      </c>
      <c r="F228" s="2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 s="2">
        <v>2793</v>
      </c>
      <c r="T228">
        <v>2539</v>
      </c>
      <c r="U228">
        <v>4</v>
      </c>
      <c r="V228" t="s">
        <v>42</v>
      </c>
      <c r="W228" t="s">
        <v>43</v>
      </c>
      <c r="X228" s="2">
        <v>17</v>
      </c>
      <c r="Y228">
        <v>3</v>
      </c>
      <c r="Z228">
        <v>3</v>
      </c>
      <c r="AA228">
        <v>80</v>
      </c>
      <c r="AB228">
        <v>1</v>
      </c>
      <c r="AC228" s="2">
        <v>13</v>
      </c>
      <c r="AD228">
        <v>2</v>
      </c>
      <c r="AE228">
        <v>3</v>
      </c>
      <c r="AF228" s="2">
        <v>9</v>
      </c>
      <c r="AG228">
        <v>8</v>
      </c>
      <c r="AH228">
        <v>5</v>
      </c>
      <c r="AI228">
        <v>8</v>
      </c>
      <c r="AJ228" s="2" t="str">
        <f>IF(A228 A228 &lt;= 25, "18-25", IF(A228 &lt;=35, "26-35", IF(A228 &lt;=45, "36-45", IF(Table3[[#This Row],[Age]] &lt;=55, "46-55", "56+"))))</f>
        <v>36-45</v>
      </c>
      <c r="AK228" t="str">
        <f t="shared" si="3"/>
        <v>Low</v>
      </c>
      <c r="AL228" s="2" t="str">
        <f>IF(AF228 &lt; 3, "0-2 Years", IF(AF228 &lt;= 5, "3-5 Years", IF(AF228 &lt;= 10, "6-10 Years",IF(Table3[[#This Row],[Years At Company]]&lt;=20, "11-20 Years","20+ Years"))))</f>
        <v>6-10 Years</v>
      </c>
    </row>
    <row r="229" spans="1:38" x14ac:dyDescent="0.25">
      <c r="A229" s="2">
        <v>29</v>
      </c>
      <c r="B229" t="s">
        <v>43</v>
      </c>
      <c r="C229" t="s">
        <v>44</v>
      </c>
      <c r="D229" s="2">
        <v>1413</v>
      </c>
      <c r="E229" t="s">
        <v>37</v>
      </c>
      <c r="F229" s="2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 s="2">
        <v>7918</v>
      </c>
      <c r="T229">
        <v>6599</v>
      </c>
      <c r="U229">
        <v>1</v>
      </c>
      <c r="V229" t="s">
        <v>42</v>
      </c>
      <c r="W229" t="s">
        <v>43</v>
      </c>
      <c r="X229" s="2">
        <v>14</v>
      </c>
      <c r="Y229">
        <v>3</v>
      </c>
      <c r="Z229">
        <v>4</v>
      </c>
      <c r="AA229">
        <v>80</v>
      </c>
      <c r="AB229">
        <v>1</v>
      </c>
      <c r="AC229" s="2">
        <v>11</v>
      </c>
      <c r="AD229">
        <v>5</v>
      </c>
      <c r="AE229">
        <v>3</v>
      </c>
      <c r="AF229" s="2">
        <v>11</v>
      </c>
      <c r="AG229">
        <v>10</v>
      </c>
      <c r="AH229">
        <v>4</v>
      </c>
      <c r="AI229">
        <v>1</v>
      </c>
      <c r="AJ229" s="2" t="str">
        <f>IF(A229 A229 &lt;= 25, "18-25", IF(A229 &lt;=35, "26-35", IF(A229 &lt;=45, "36-45", IF(Table3[[#This Row],[Age]] &lt;=55, "46-55", "56+"))))</f>
        <v>26-35</v>
      </c>
      <c r="AK229" t="str">
        <f t="shared" si="3"/>
        <v>Medium</v>
      </c>
      <c r="AL229" s="2" t="str">
        <f>IF(AF229 &lt; 3, "0-2 Years", IF(AF229 &lt;= 5, "3-5 Years", IF(AF229 &lt;= 10, "6-10 Years",IF(Table3[[#This Row],[Years At Company]]&lt;=20, "11-20 Years","20+ Years"))))</f>
        <v>11-20 Years</v>
      </c>
    </row>
    <row r="230" spans="1:38" x14ac:dyDescent="0.25">
      <c r="A230" s="2">
        <v>35</v>
      </c>
      <c r="B230" t="s">
        <v>43</v>
      </c>
      <c r="C230" t="s">
        <v>44</v>
      </c>
      <c r="D230" s="2">
        <v>944</v>
      </c>
      <c r="E230" t="s">
        <v>37</v>
      </c>
      <c r="F230" s="2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 s="2">
        <v>8789</v>
      </c>
      <c r="T230">
        <v>9096</v>
      </c>
      <c r="U230">
        <v>1</v>
      </c>
      <c r="V230" t="s">
        <v>42</v>
      </c>
      <c r="W230" t="s">
        <v>43</v>
      </c>
      <c r="X230" s="2">
        <v>14</v>
      </c>
      <c r="Y230">
        <v>3</v>
      </c>
      <c r="Z230">
        <v>1</v>
      </c>
      <c r="AA230">
        <v>80</v>
      </c>
      <c r="AB230">
        <v>0</v>
      </c>
      <c r="AC230" s="2">
        <v>10</v>
      </c>
      <c r="AD230">
        <v>3</v>
      </c>
      <c r="AE230">
        <v>4</v>
      </c>
      <c r="AF230" s="2">
        <v>10</v>
      </c>
      <c r="AG230">
        <v>7</v>
      </c>
      <c r="AH230">
        <v>0</v>
      </c>
      <c r="AI230">
        <v>8</v>
      </c>
      <c r="AJ230" s="2" t="str">
        <f>IF(A230 A230 &lt;= 25, "18-25", IF(A230 &lt;=35, "26-35", IF(A230 &lt;=45, "36-45", IF(Table3[[#This Row],[Age]] &lt;=55, "46-55", "56+"))))</f>
        <v>26-35</v>
      </c>
      <c r="AK230" t="str">
        <f t="shared" si="3"/>
        <v>Medium</v>
      </c>
      <c r="AL230" s="2" t="str">
        <f>IF(AF230 &lt; 3, "0-2 Years", IF(AF230 &lt;= 5, "3-5 Years", IF(AF230 &lt;= 10, "6-10 Years",IF(Table3[[#This Row],[Years At Company]]&lt;=20, "11-20 Years","20+ Years"))))</f>
        <v>6-10 Years</v>
      </c>
    </row>
    <row r="231" spans="1:38" x14ac:dyDescent="0.25">
      <c r="A231" s="2">
        <v>29</v>
      </c>
      <c r="B231" t="s">
        <v>35</v>
      </c>
      <c r="C231" t="s">
        <v>36</v>
      </c>
      <c r="D231" s="2">
        <v>896</v>
      </c>
      <c r="E231" t="s">
        <v>45</v>
      </c>
      <c r="F231" s="2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 s="2">
        <v>2389</v>
      </c>
      <c r="T231">
        <v>14961</v>
      </c>
      <c r="U231">
        <v>1</v>
      </c>
      <c r="V231" t="s">
        <v>42</v>
      </c>
      <c r="W231" t="s">
        <v>35</v>
      </c>
      <c r="X231" s="2">
        <v>13</v>
      </c>
      <c r="Y231">
        <v>3</v>
      </c>
      <c r="Z231">
        <v>3</v>
      </c>
      <c r="AA231">
        <v>80</v>
      </c>
      <c r="AB231">
        <v>0</v>
      </c>
      <c r="AC231" s="2">
        <v>4</v>
      </c>
      <c r="AD231">
        <v>3</v>
      </c>
      <c r="AE231">
        <v>2</v>
      </c>
      <c r="AF231" s="2">
        <v>4</v>
      </c>
      <c r="AG231">
        <v>3</v>
      </c>
      <c r="AH231">
        <v>0</v>
      </c>
      <c r="AI231">
        <v>1</v>
      </c>
      <c r="AJ231" s="2" t="str">
        <f>IF(A231 A231 &lt;= 25, "18-25", IF(A231 &lt;=35, "26-35", IF(A231 &lt;=45, "36-45", IF(Table3[[#This Row],[Age]] &lt;=55, "46-55", "56+"))))</f>
        <v>26-35</v>
      </c>
      <c r="AK231" t="str">
        <f t="shared" si="3"/>
        <v>Low</v>
      </c>
      <c r="AL231" s="2" t="str">
        <f>IF(AF231 &lt; 3, "0-2 Years", IF(AF231 &lt;= 5, "3-5 Years", IF(AF231 &lt;= 10, "6-10 Years",IF(Table3[[#This Row],[Years At Company]]&lt;=20, "11-20 Years","20+ Years"))))</f>
        <v>3-5 Years</v>
      </c>
    </row>
    <row r="232" spans="1:38" x14ac:dyDescent="0.25">
      <c r="A232" s="2">
        <v>52</v>
      </c>
      <c r="B232" t="s">
        <v>43</v>
      </c>
      <c r="C232" t="s">
        <v>36</v>
      </c>
      <c r="D232" s="2">
        <v>1323</v>
      </c>
      <c r="E232" t="s">
        <v>45</v>
      </c>
      <c r="F232" s="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 s="2">
        <v>3212</v>
      </c>
      <c r="T232">
        <v>3300</v>
      </c>
      <c r="U232">
        <v>7</v>
      </c>
      <c r="V232" t="s">
        <v>42</v>
      </c>
      <c r="W232" t="s">
        <v>43</v>
      </c>
      <c r="X232" s="2">
        <v>15</v>
      </c>
      <c r="Y232">
        <v>3</v>
      </c>
      <c r="Z232">
        <v>2</v>
      </c>
      <c r="AA232">
        <v>80</v>
      </c>
      <c r="AB232">
        <v>0</v>
      </c>
      <c r="AC232" s="2">
        <v>6</v>
      </c>
      <c r="AD232">
        <v>3</v>
      </c>
      <c r="AE232">
        <v>2</v>
      </c>
      <c r="AF232" s="2">
        <v>2</v>
      </c>
      <c r="AG232">
        <v>2</v>
      </c>
      <c r="AH232">
        <v>2</v>
      </c>
      <c r="AI232">
        <v>2</v>
      </c>
      <c r="AJ232" s="2" t="str">
        <f>IF(A232 A232 &lt;= 25, "18-25", IF(A232 &lt;=35, "26-35", IF(A232 &lt;=45, "36-45", IF(Table3[[#This Row],[Age]] &lt;=55, "46-55", "56+"))))</f>
        <v>46-55</v>
      </c>
      <c r="AK232" t="str">
        <f t="shared" si="3"/>
        <v>Low</v>
      </c>
      <c r="AL232" s="2" t="str">
        <f>IF(AF232 &lt; 3, "0-2 Years", IF(AF232 &lt;= 5, "3-5 Years", IF(AF232 &lt;= 10, "6-10 Years",IF(Table3[[#This Row],[Years At Company]]&lt;=20, "11-20 Years","20+ Years"))))</f>
        <v>0-2 Years</v>
      </c>
    </row>
    <row r="233" spans="1:38" x14ac:dyDescent="0.25">
      <c r="A233" s="2">
        <v>42</v>
      </c>
      <c r="B233" t="s">
        <v>43</v>
      </c>
      <c r="C233" t="s">
        <v>36</v>
      </c>
      <c r="D233" s="2">
        <v>532</v>
      </c>
      <c r="E233" t="s">
        <v>45</v>
      </c>
      <c r="F233" s="2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 s="2">
        <v>19232</v>
      </c>
      <c r="T233">
        <v>4933</v>
      </c>
      <c r="U233">
        <v>1</v>
      </c>
      <c r="V233" t="s">
        <v>42</v>
      </c>
      <c r="W233" t="s">
        <v>43</v>
      </c>
      <c r="X233" s="2">
        <v>11</v>
      </c>
      <c r="Y233">
        <v>3</v>
      </c>
      <c r="Z233">
        <v>4</v>
      </c>
      <c r="AA233">
        <v>80</v>
      </c>
      <c r="AB233">
        <v>0</v>
      </c>
      <c r="AC233" s="2">
        <v>22</v>
      </c>
      <c r="AD233">
        <v>3</v>
      </c>
      <c r="AE233">
        <v>3</v>
      </c>
      <c r="AF233" s="2">
        <v>22</v>
      </c>
      <c r="AG233">
        <v>17</v>
      </c>
      <c r="AH233">
        <v>11</v>
      </c>
      <c r="AI233">
        <v>15</v>
      </c>
      <c r="AJ233" s="2" t="str">
        <f>IF(A233 A233 &lt;= 25, "18-25", IF(A233 &lt;=35, "26-35", IF(A233 &lt;=45, "36-45", IF(Table3[[#This Row],[Age]] &lt;=55, "46-55", "56+"))))</f>
        <v>36-45</v>
      </c>
      <c r="AK233" t="str">
        <f t="shared" si="3"/>
        <v>High</v>
      </c>
      <c r="AL233" s="2" t="str">
        <f>IF(AF233 &lt; 3, "0-2 Years", IF(AF233 &lt;= 5, "3-5 Years", IF(AF233 &lt;= 10, "6-10 Years",IF(Table3[[#This Row],[Years At Company]]&lt;=20, "11-20 Years","20+ Years"))))</f>
        <v>20+ Years</v>
      </c>
    </row>
    <row r="234" spans="1:38" x14ac:dyDescent="0.25">
      <c r="A234" s="2">
        <v>59</v>
      </c>
      <c r="B234" t="s">
        <v>43</v>
      </c>
      <c r="C234" t="s">
        <v>36</v>
      </c>
      <c r="D234" s="2">
        <v>818</v>
      </c>
      <c r="E234" t="s">
        <v>61</v>
      </c>
      <c r="F234" s="2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 s="2">
        <v>2267</v>
      </c>
      <c r="T234">
        <v>25657</v>
      </c>
      <c r="U234">
        <v>8</v>
      </c>
      <c r="V234" t="s">
        <v>42</v>
      </c>
      <c r="W234" t="s">
        <v>43</v>
      </c>
      <c r="X234" s="2">
        <v>17</v>
      </c>
      <c r="Y234">
        <v>3</v>
      </c>
      <c r="Z234">
        <v>4</v>
      </c>
      <c r="AA234">
        <v>80</v>
      </c>
      <c r="AB234">
        <v>0</v>
      </c>
      <c r="AC234" s="2">
        <v>7</v>
      </c>
      <c r="AD234">
        <v>2</v>
      </c>
      <c r="AE234">
        <v>2</v>
      </c>
      <c r="AF234" s="2">
        <v>2</v>
      </c>
      <c r="AG234">
        <v>2</v>
      </c>
      <c r="AH234">
        <v>2</v>
      </c>
      <c r="AI234">
        <v>2</v>
      </c>
      <c r="AJ234" s="2" t="str">
        <f>IF(A234 A234 &lt;= 25, "18-25", IF(A234 &lt;=35, "26-35", IF(A234 &lt;=45, "36-45", IF(Table3[[#This Row],[Age]] &lt;=55, "46-55", "56+"))))</f>
        <v>56+</v>
      </c>
      <c r="AK234" t="str">
        <f t="shared" si="3"/>
        <v>Low</v>
      </c>
      <c r="AL234" s="2" t="str">
        <f>IF(AF234 &lt; 3, "0-2 Years", IF(AF234 &lt;= 5, "3-5 Years", IF(AF234 &lt;= 10, "6-10 Years",IF(Table3[[#This Row],[Years At Company]]&lt;=20, "11-20 Years","20+ Years"))))</f>
        <v>0-2 Years</v>
      </c>
    </row>
    <row r="235" spans="1:38" x14ac:dyDescent="0.25">
      <c r="A235" s="2">
        <v>50</v>
      </c>
      <c r="B235" t="s">
        <v>43</v>
      </c>
      <c r="C235" t="s">
        <v>36</v>
      </c>
      <c r="D235" s="2">
        <v>854</v>
      </c>
      <c r="E235" t="s">
        <v>37</v>
      </c>
      <c r="F235" s="2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 s="2">
        <v>19517</v>
      </c>
      <c r="T235">
        <v>24118</v>
      </c>
      <c r="U235">
        <v>3</v>
      </c>
      <c r="V235" t="s">
        <v>42</v>
      </c>
      <c r="W235" t="s">
        <v>43</v>
      </c>
      <c r="X235" s="2">
        <v>11</v>
      </c>
      <c r="Y235">
        <v>3</v>
      </c>
      <c r="Z235">
        <v>3</v>
      </c>
      <c r="AA235">
        <v>80</v>
      </c>
      <c r="AB235">
        <v>1</v>
      </c>
      <c r="AC235" s="2">
        <v>32</v>
      </c>
      <c r="AD235">
        <v>3</v>
      </c>
      <c r="AE235">
        <v>2</v>
      </c>
      <c r="AF235" s="2">
        <v>7</v>
      </c>
      <c r="AG235">
        <v>0</v>
      </c>
      <c r="AH235">
        <v>0</v>
      </c>
      <c r="AI235">
        <v>6</v>
      </c>
      <c r="AJ235" s="2" t="str">
        <f>IF(A235 A235 &lt;= 25, "18-25", IF(A235 &lt;=35, "26-35", IF(A235 &lt;=45, "36-45", IF(Table3[[#This Row],[Age]] &lt;=55, "46-55", "56+"))))</f>
        <v>46-55</v>
      </c>
      <c r="AK235" t="str">
        <f t="shared" si="3"/>
        <v>High</v>
      </c>
      <c r="AL235" s="2" t="str">
        <f>IF(AF235 &lt; 3, "0-2 Years", IF(AF235 &lt;= 5, "3-5 Years", IF(AF235 &lt;= 10, "6-10 Years",IF(Table3[[#This Row],[Years At Company]]&lt;=20, "11-20 Years","20+ Years"))))</f>
        <v>6-10 Years</v>
      </c>
    </row>
    <row r="236" spans="1:38" x14ac:dyDescent="0.25">
      <c r="A236" s="2">
        <v>33</v>
      </c>
      <c r="B236" t="s">
        <v>35</v>
      </c>
      <c r="C236" t="s">
        <v>36</v>
      </c>
      <c r="D236" s="2">
        <v>813</v>
      </c>
      <c r="E236" t="s">
        <v>45</v>
      </c>
      <c r="F236" s="2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 s="2">
        <v>2436</v>
      </c>
      <c r="T236">
        <v>22149</v>
      </c>
      <c r="U236">
        <v>5</v>
      </c>
      <c r="V236" t="s">
        <v>42</v>
      </c>
      <c r="W236" t="s">
        <v>35</v>
      </c>
      <c r="X236" s="2">
        <v>13</v>
      </c>
      <c r="Y236">
        <v>3</v>
      </c>
      <c r="Z236">
        <v>3</v>
      </c>
      <c r="AA236">
        <v>80</v>
      </c>
      <c r="AB236">
        <v>1</v>
      </c>
      <c r="AC236" s="2">
        <v>8</v>
      </c>
      <c r="AD236">
        <v>2</v>
      </c>
      <c r="AE236">
        <v>1</v>
      </c>
      <c r="AF236" s="2">
        <v>5</v>
      </c>
      <c r="AG236">
        <v>4</v>
      </c>
      <c r="AH236">
        <v>0</v>
      </c>
      <c r="AI236">
        <v>4</v>
      </c>
      <c r="AJ236" s="2" t="str">
        <f>IF(A236 A236 &lt;= 25, "18-25", IF(A236 &lt;=35, "26-35", IF(A236 &lt;=45, "36-45", IF(Table3[[#This Row],[Age]] &lt;=55, "46-55", "56+"))))</f>
        <v>26-35</v>
      </c>
      <c r="AK236" t="str">
        <f t="shared" si="3"/>
        <v>Low</v>
      </c>
      <c r="AL236" s="2" t="str">
        <f>IF(AF236 &lt; 3, "0-2 Years", IF(AF236 &lt;= 5, "3-5 Years", IF(AF236 &lt;= 10, "6-10 Years",IF(Table3[[#This Row],[Years At Company]]&lt;=20, "11-20 Years","20+ Years"))))</f>
        <v>3-5 Years</v>
      </c>
    </row>
    <row r="237" spans="1:38" x14ac:dyDescent="0.25">
      <c r="A237" s="2">
        <v>43</v>
      </c>
      <c r="B237" t="s">
        <v>43</v>
      </c>
      <c r="C237" t="s">
        <v>36</v>
      </c>
      <c r="D237" s="2">
        <v>1034</v>
      </c>
      <c r="E237" t="s">
        <v>37</v>
      </c>
      <c r="F237" s="2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 s="2">
        <v>16064</v>
      </c>
      <c r="T237">
        <v>7744</v>
      </c>
      <c r="U237">
        <v>5</v>
      </c>
      <c r="V237" t="s">
        <v>42</v>
      </c>
      <c r="W237" t="s">
        <v>35</v>
      </c>
      <c r="X237" s="2">
        <v>22</v>
      </c>
      <c r="Y237">
        <v>4</v>
      </c>
      <c r="Z237">
        <v>3</v>
      </c>
      <c r="AA237">
        <v>80</v>
      </c>
      <c r="AB237">
        <v>1</v>
      </c>
      <c r="AC237" s="2">
        <v>22</v>
      </c>
      <c r="AD237">
        <v>3</v>
      </c>
      <c r="AE237">
        <v>3</v>
      </c>
      <c r="AF237" s="2">
        <v>17</v>
      </c>
      <c r="AG237">
        <v>13</v>
      </c>
      <c r="AH237">
        <v>1</v>
      </c>
      <c r="AI237">
        <v>9</v>
      </c>
      <c r="AJ237" s="2" t="str">
        <f>IF(A237 A237 &lt;= 25, "18-25", IF(A237 &lt;=35, "26-35", IF(A237 &lt;=45, "36-45", IF(Table3[[#This Row],[Age]] &lt;=55, "46-55", "56+"))))</f>
        <v>36-45</v>
      </c>
      <c r="AK237" t="str">
        <f t="shared" si="3"/>
        <v>High</v>
      </c>
      <c r="AL237" s="2" t="str">
        <f>IF(AF237 &lt; 3, "0-2 Years", IF(AF237 &lt;= 5, "3-5 Years", IF(AF237 &lt;= 10, "6-10 Years",IF(Table3[[#This Row],[Years At Company]]&lt;=20, "11-20 Years","20+ Years"))))</f>
        <v>11-20 Years</v>
      </c>
    </row>
    <row r="238" spans="1:38" x14ac:dyDescent="0.25">
      <c r="A238" s="2">
        <v>33</v>
      </c>
      <c r="B238" t="s">
        <v>35</v>
      </c>
      <c r="C238" t="s">
        <v>36</v>
      </c>
      <c r="D238" s="2">
        <v>465</v>
      </c>
      <c r="E238" t="s">
        <v>45</v>
      </c>
      <c r="F238" s="2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 s="2">
        <v>2707</v>
      </c>
      <c r="T238">
        <v>21509</v>
      </c>
      <c r="U238">
        <v>7</v>
      </c>
      <c r="V238" t="s">
        <v>42</v>
      </c>
      <c r="W238" t="s">
        <v>43</v>
      </c>
      <c r="X238" s="2">
        <v>20</v>
      </c>
      <c r="Y238">
        <v>4</v>
      </c>
      <c r="Z238">
        <v>1</v>
      </c>
      <c r="AA238">
        <v>80</v>
      </c>
      <c r="AB238">
        <v>0</v>
      </c>
      <c r="AC238" s="2">
        <v>13</v>
      </c>
      <c r="AD238">
        <v>3</v>
      </c>
      <c r="AE238">
        <v>4</v>
      </c>
      <c r="AF238" s="2">
        <v>9</v>
      </c>
      <c r="AG238">
        <v>7</v>
      </c>
      <c r="AH238">
        <v>1</v>
      </c>
      <c r="AI238">
        <v>7</v>
      </c>
      <c r="AJ238" s="2" t="str">
        <f>IF(A238 A238 &lt;= 25, "18-25", IF(A238 &lt;=35, "26-35", IF(A238 &lt;=45, "36-45", IF(Table3[[#This Row],[Age]] &lt;=55, "46-55", "56+"))))</f>
        <v>26-35</v>
      </c>
      <c r="AK238" t="str">
        <f t="shared" si="3"/>
        <v>Low</v>
      </c>
      <c r="AL238" s="2" t="str">
        <f>IF(AF238 &lt; 3, "0-2 Years", IF(AF238 &lt;= 5, "3-5 Years", IF(AF238 &lt;= 10, "6-10 Years",IF(Table3[[#This Row],[Years At Company]]&lt;=20, "11-20 Years","20+ Years"))))</f>
        <v>6-10 Years</v>
      </c>
    </row>
    <row r="239" spans="1:38" x14ac:dyDescent="0.25">
      <c r="A239" s="2">
        <v>52</v>
      </c>
      <c r="B239" t="s">
        <v>43</v>
      </c>
      <c r="C239" t="s">
        <v>55</v>
      </c>
      <c r="D239" s="2">
        <v>771</v>
      </c>
      <c r="E239" t="s">
        <v>37</v>
      </c>
      <c r="F239" s="2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 s="2">
        <v>19068</v>
      </c>
      <c r="T239">
        <v>21030</v>
      </c>
      <c r="U239">
        <v>1</v>
      </c>
      <c r="V239" t="s">
        <v>42</v>
      </c>
      <c r="W239" t="s">
        <v>35</v>
      </c>
      <c r="X239" s="2">
        <v>18</v>
      </c>
      <c r="Y239">
        <v>3</v>
      </c>
      <c r="Z239">
        <v>4</v>
      </c>
      <c r="AA239">
        <v>80</v>
      </c>
      <c r="AB239">
        <v>0</v>
      </c>
      <c r="AC239" s="2">
        <v>33</v>
      </c>
      <c r="AD239">
        <v>2</v>
      </c>
      <c r="AE239">
        <v>4</v>
      </c>
      <c r="AF239" s="2">
        <v>33</v>
      </c>
      <c r="AG239">
        <v>7</v>
      </c>
      <c r="AH239">
        <v>15</v>
      </c>
      <c r="AI239">
        <v>12</v>
      </c>
      <c r="AJ239" s="2" t="str">
        <f>IF(A239 A239 &lt;= 25, "18-25", IF(A239 &lt;=35, "26-35", IF(A239 &lt;=45, "36-45", IF(Table3[[#This Row],[Age]] &lt;=55, "46-55", "56+"))))</f>
        <v>46-55</v>
      </c>
      <c r="AK239" t="str">
        <f t="shared" si="3"/>
        <v>High</v>
      </c>
      <c r="AL239" s="2" t="str">
        <f>IF(AF239 &lt; 3, "0-2 Years", IF(AF239 &lt;= 5, "3-5 Years", IF(AF239 &lt;= 10, "6-10 Years",IF(Table3[[#This Row],[Years At Company]]&lt;=20, "11-20 Years","20+ Years"))))</f>
        <v>20+ Years</v>
      </c>
    </row>
    <row r="240" spans="1:38" x14ac:dyDescent="0.25">
      <c r="A240" s="2">
        <v>32</v>
      </c>
      <c r="B240" t="s">
        <v>43</v>
      </c>
      <c r="C240" t="s">
        <v>36</v>
      </c>
      <c r="D240" s="2">
        <v>1401</v>
      </c>
      <c r="E240" t="s">
        <v>37</v>
      </c>
      <c r="F240" s="2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 s="2">
        <v>3931</v>
      </c>
      <c r="T240">
        <v>20990</v>
      </c>
      <c r="U240">
        <v>2</v>
      </c>
      <c r="V240" t="s">
        <v>42</v>
      </c>
      <c r="W240" t="s">
        <v>43</v>
      </c>
      <c r="X240" s="2">
        <v>11</v>
      </c>
      <c r="Y240">
        <v>3</v>
      </c>
      <c r="Z240">
        <v>1</v>
      </c>
      <c r="AA240">
        <v>80</v>
      </c>
      <c r="AB240">
        <v>1</v>
      </c>
      <c r="AC240" s="2">
        <v>6</v>
      </c>
      <c r="AD240">
        <v>5</v>
      </c>
      <c r="AE240">
        <v>3</v>
      </c>
      <c r="AF240" s="2">
        <v>4</v>
      </c>
      <c r="AG240">
        <v>3</v>
      </c>
      <c r="AH240">
        <v>1</v>
      </c>
      <c r="AI240">
        <v>2</v>
      </c>
      <c r="AJ240" s="2" t="str">
        <f>IF(A240 A240 &lt;= 25, "18-25", IF(A240 &lt;=35, "26-35", IF(A240 &lt;=45, "36-45", IF(Table3[[#This Row],[Age]] &lt;=55, "46-55", "56+"))))</f>
        <v>26-35</v>
      </c>
      <c r="AK240" t="str">
        <f t="shared" si="3"/>
        <v>Low</v>
      </c>
      <c r="AL240" s="2" t="str">
        <f>IF(AF240 &lt; 3, "0-2 Years", IF(AF240 &lt;= 5, "3-5 Years", IF(AF240 &lt;= 10, "6-10 Years",IF(Table3[[#This Row],[Years At Company]]&lt;=20, "11-20 Years","20+ Years"))))</f>
        <v>3-5 Years</v>
      </c>
    </row>
    <row r="241" spans="1:38" x14ac:dyDescent="0.25">
      <c r="A241" s="2">
        <v>32</v>
      </c>
      <c r="B241" t="s">
        <v>35</v>
      </c>
      <c r="C241" t="s">
        <v>36</v>
      </c>
      <c r="D241" s="2">
        <v>515</v>
      </c>
      <c r="E241" t="s">
        <v>45</v>
      </c>
      <c r="F241" s="2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 s="2">
        <v>3730</v>
      </c>
      <c r="T241">
        <v>9571</v>
      </c>
      <c r="U241">
        <v>0</v>
      </c>
      <c r="V241" t="s">
        <v>42</v>
      </c>
      <c r="W241" t="s">
        <v>35</v>
      </c>
      <c r="X241" s="2">
        <v>14</v>
      </c>
      <c r="Y241">
        <v>3</v>
      </c>
      <c r="Z241">
        <v>4</v>
      </c>
      <c r="AA241">
        <v>80</v>
      </c>
      <c r="AB241">
        <v>0</v>
      </c>
      <c r="AC241" s="2">
        <v>4</v>
      </c>
      <c r="AD241">
        <v>2</v>
      </c>
      <c r="AE241">
        <v>1</v>
      </c>
      <c r="AF241" s="2">
        <v>3</v>
      </c>
      <c r="AG241">
        <v>2</v>
      </c>
      <c r="AH241">
        <v>1</v>
      </c>
      <c r="AI241">
        <v>2</v>
      </c>
      <c r="AJ241" s="2" t="str">
        <f>IF(A241 A241 &lt;= 25, "18-25", IF(A241 &lt;=35, "26-35", IF(A241 &lt;=45, "36-45", IF(Table3[[#This Row],[Age]] &lt;=55, "46-55", "56+"))))</f>
        <v>26-35</v>
      </c>
      <c r="AK241" t="str">
        <f t="shared" si="3"/>
        <v>Low</v>
      </c>
      <c r="AL241" s="2" t="str">
        <f>IF(AF241 &lt; 3, "0-2 Years", IF(AF241 &lt;= 5, "3-5 Years", IF(AF241 &lt;= 10, "6-10 Years",IF(Table3[[#This Row],[Years At Company]]&lt;=20, "11-20 Years","20+ Years"))))</f>
        <v>3-5 Years</v>
      </c>
    </row>
    <row r="242" spans="1:38" x14ac:dyDescent="0.25">
      <c r="A242" s="2">
        <v>39</v>
      </c>
      <c r="B242" t="s">
        <v>43</v>
      </c>
      <c r="C242" t="s">
        <v>36</v>
      </c>
      <c r="D242" s="2">
        <v>1431</v>
      </c>
      <c r="E242" t="s">
        <v>45</v>
      </c>
      <c r="F242" s="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 s="2">
        <v>2232</v>
      </c>
      <c r="T242">
        <v>15417</v>
      </c>
      <c r="U242">
        <v>7</v>
      </c>
      <c r="V242" t="s">
        <v>42</v>
      </c>
      <c r="W242" t="s">
        <v>43</v>
      </c>
      <c r="X242" s="2">
        <v>14</v>
      </c>
      <c r="Y242">
        <v>3</v>
      </c>
      <c r="Z242">
        <v>3</v>
      </c>
      <c r="AA242">
        <v>80</v>
      </c>
      <c r="AB242">
        <v>3</v>
      </c>
      <c r="AC242" s="2">
        <v>7</v>
      </c>
      <c r="AD242">
        <v>1</v>
      </c>
      <c r="AE242">
        <v>3</v>
      </c>
      <c r="AF242" s="2">
        <v>3</v>
      </c>
      <c r="AG242">
        <v>2</v>
      </c>
      <c r="AH242">
        <v>1</v>
      </c>
      <c r="AI242">
        <v>2</v>
      </c>
      <c r="AJ242" s="2" t="str">
        <f>IF(A242 A242 &lt;= 25, "18-25", IF(A242 &lt;=35, "26-35", IF(A242 &lt;=45, "36-45", IF(Table3[[#This Row],[Age]] &lt;=55, "46-55", "56+"))))</f>
        <v>36-45</v>
      </c>
      <c r="AK242" t="str">
        <f t="shared" si="3"/>
        <v>Low</v>
      </c>
      <c r="AL242" s="2" t="str">
        <f>IF(AF242 &lt; 3, "0-2 Years", IF(AF242 &lt;= 5, "3-5 Years", IF(AF242 &lt;= 10, "6-10 Years",IF(Table3[[#This Row],[Years At Company]]&lt;=20, "11-20 Years","20+ Years"))))</f>
        <v>3-5 Years</v>
      </c>
    </row>
    <row r="243" spans="1:38" x14ac:dyDescent="0.25">
      <c r="A243" s="2">
        <v>32</v>
      </c>
      <c r="B243" t="s">
        <v>43</v>
      </c>
      <c r="C243" t="s">
        <v>55</v>
      </c>
      <c r="D243" s="2">
        <v>976</v>
      </c>
      <c r="E243" t="s">
        <v>37</v>
      </c>
      <c r="F243" s="2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 s="2">
        <v>4465</v>
      </c>
      <c r="T243">
        <v>12069</v>
      </c>
      <c r="U243">
        <v>0</v>
      </c>
      <c r="V243" t="s">
        <v>42</v>
      </c>
      <c r="W243" t="s">
        <v>43</v>
      </c>
      <c r="X243" s="2">
        <v>18</v>
      </c>
      <c r="Y243">
        <v>3</v>
      </c>
      <c r="Z243">
        <v>1</v>
      </c>
      <c r="AA243">
        <v>80</v>
      </c>
      <c r="AB243">
        <v>0</v>
      </c>
      <c r="AC243" s="2">
        <v>4</v>
      </c>
      <c r="AD243">
        <v>2</v>
      </c>
      <c r="AE243">
        <v>3</v>
      </c>
      <c r="AF243" s="2">
        <v>3</v>
      </c>
      <c r="AG243">
        <v>2</v>
      </c>
      <c r="AH243">
        <v>2</v>
      </c>
      <c r="AI243">
        <v>2</v>
      </c>
      <c r="AJ243" s="2" t="str">
        <f>IF(A243 A243 &lt;= 25, "18-25", IF(A243 &lt;=35, "26-35", IF(A243 &lt;=45, "36-45", IF(Table3[[#This Row],[Age]] &lt;=55, "46-55", "56+"))))</f>
        <v>26-35</v>
      </c>
      <c r="AK243" t="str">
        <f t="shared" si="3"/>
        <v>Low</v>
      </c>
      <c r="AL243" s="2" t="str">
        <f>IF(AF243 &lt; 3, "0-2 Years", IF(AF243 &lt;= 5, "3-5 Years", IF(AF243 &lt;= 10, "6-10 Years",IF(Table3[[#This Row],[Years At Company]]&lt;=20, "11-20 Years","20+ Years"))))</f>
        <v>3-5 Years</v>
      </c>
    </row>
    <row r="244" spans="1:38" x14ac:dyDescent="0.25">
      <c r="A244" s="2">
        <v>41</v>
      </c>
      <c r="B244" t="s">
        <v>43</v>
      </c>
      <c r="C244" t="s">
        <v>36</v>
      </c>
      <c r="D244" s="2">
        <v>1411</v>
      </c>
      <c r="E244" t="s">
        <v>45</v>
      </c>
      <c r="F244" s="2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 s="2">
        <v>3072</v>
      </c>
      <c r="T244">
        <v>19877</v>
      </c>
      <c r="U244">
        <v>2</v>
      </c>
      <c r="V244" t="s">
        <v>42</v>
      </c>
      <c r="W244" t="s">
        <v>43</v>
      </c>
      <c r="X244" s="2">
        <v>16</v>
      </c>
      <c r="Y244">
        <v>3</v>
      </c>
      <c r="Z244">
        <v>1</v>
      </c>
      <c r="AA244">
        <v>80</v>
      </c>
      <c r="AB244">
        <v>2</v>
      </c>
      <c r="AC244" s="2">
        <v>17</v>
      </c>
      <c r="AD244">
        <v>2</v>
      </c>
      <c r="AE244">
        <v>2</v>
      </c>
      <c r="AF244" s="2">
        <v>1</v>
      </c>
      <c r="AG244">
        <v>0</v>
      </c>
      <c r="AH244">
        <v>0</v>
      </c>
      <c r="AI244">
        <v>0</v>
      </c>
      <c r="AJ244" s="2" t="str">
        <f>IF(A244 A244 &lt;= 25, "18-25", IF(A244 &lt;=35, "26-35", IF(A244 &lt;=45, "36-45", IF(Table3[[#This Row],[Age]] &lt;=55, "46-55", "56+"))))</f>
        <v>36-45</v>
      </c>
      <c r="AK244" t="str">
        <f t="shared" si="3"/>
        <v>Low</v>
      </c>
      <c r="AL244" s="2" t="str">
        <f>IF(AF244 &lt; 3, "0-2 Years", IF(AF244 &lt;= 5, "3-5 Years", IF(AF244 &lt;= 10, "6-10 Years",IF(Table3[[#This Row],[Years At Company]]&lt;=20, "11-20 Years","20+ Years"))))</f>
        <v>0-2 Years</v>
      </c>
    </row>
    <row r="245" spans="1:38" x14ac:dyDescent="0.25">
      <c r="A245" s="2">
        <v>40</v>
      </c>
      <c r="B245" t="s">
        <v>43</v>
      </c>
      <c r="C245" t="s">
        <v>36</v>
      </c>
      <c r="D245" s="2">
        <v>1300</v>
      </c>
      <c r="E245" t="s">
        <v>45</v>
      </c>
      <c r="F245" s="2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 s="2">
        <v>3319</v>
      </c>
      <c r="T245">
        <v>24447</v>
      </c>
      <c r="U245">
        <v>1</v>
      </c>
      <c r="V245" t="s">
        <v>42</v>
      </c>
      <c r="W245" t="s">
        <v>43</v>
      </c>
      <c r="X245" s="2">
        <v>17</v>
      </c>
      <c r="Y245">
        <v>3</v>
      </c>
      <c r="Z245">
        <v>1</v>
      </c>
      <c r="AA245">
        <v>80</v>
      </c>
      <c r="AB245">
        <v>2</v>
      </c>
      <c r="AC245" s="2">
        <v>9</v>
      </c>
      <c r="AD245">
        <v>3</v>
      </c>
      <c r="AE245">
        <v>3</v>
      </c>
      <c r="AF245" s="2">
        <v>9</v>
      </c>
      <c r="AG245">
        <v>8</v>
      </c>
      <c r="AH245">
        <v>4</v>
      </c>
      <c r="AI245">
        <v>7</v>
      </c>
      <c r="AJ245" s="2" t="str">
        <f>IF(A245 A245 &lt;= 25, "18-25", IF(A245 &lt;=35, "26-35", IF(A245 &lt;=45, "36-45", IF(Table3[[#This Row],[Age]] &lt;=55, "46-55", "56+"))))</f>
        <v>36-45</v>
      </c>
      <c r="AK245" t="str">
        <f t="shared" si="3"/>
        <v>Low</v>
      </c>
      <c r="AL245" s="2" t="str">
        <f>IF(AF245 &lt; 3, "0-2 Years", IF(AF245 &lt;= 5, "3-5 Years", IF(AF245 &lt;= 10, "6-10 Years",IF(Table3[[#This Row],[Years At Company]]&lt;=20, "11-20 Years","20+ Years"))))</f>
        <v>6-10 Years</v>
      </c>
    </row>
    <row r="246" spans="1:38" x14ac:dyDescent="0.25">
      <c r="A246" s="2">
        <v>45</v>
      </c>
      <c r="B246" t="s">
        <v>43</v>
      </c>
      <c r="C246" t="s">
        <v>36</v>
      </c>
      <c r="D246" s="2">
        <v>252</v>
      </c>
      <c r="E246" t="s">
        <v>45</v>
      </c>
      <c r="F246" s="2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 s="2">
        <v>19202</v>
      </c>
      <c r="T246">
        <v>15970</v>
      </c>
      <c r="U246">
        <v>0</v>
      </c>
      <c r="V246" t="s">
        <v>42</v>
      </c>
      <c r="W246" t="s">
        <v>43</v>
      </c>
      <c r="X246" s="2">
        <v>11</v>
      </c>
      <c r="Y246">
        <v>3</v>
      </c>
      <c r="Z246">
        <v>3</v>
      </c>
      <c r="AA246">
        <v>80</v>
      </c>
      <c r="AB246">
        <v>1</v>
      </c>
      <c r="AC246" s="2">
        <v>25</v>
      </c>
      <c r="AD246">
        <v>2</v>
      </c>
      <c r="AE246">
        <v>3</v>
      </c>
      <c r="AF246" s="2">
        <v>24</v>
      </c>
      <c r="AG246">
        <v>0</v>
      </c>
      <c r="AH246">
        <v>1</v>
      </c>
      <c r="AI246">
        <v>7</v>
      </c>
      <c r="AJ246" s="2" t="str">
        <f>IF(A246 A246 &lt;= 25, "18-25", IF(A246 &lt;=35, "26-35", IF(A246 &lt;=45, "36-45", IF(Table3[[#This Row],[Age]] &lt;=55, "46-55", "56+"))))</f>
        <v>36-45</v>
      </c>
      <c r="AK246" t="str">
        <f t="shared" si="3"/>
        <v>High</v>
      </c>
      <c r="AL246" s="2" t="str">
        <f>IF(AF246 &lt; 3, "0-2 Years", IF(AF246 &lt;= 5, "3-5 Years", IF(AF246 &lt;= 10, "6-10 Years",IF(Table3[[#This Row],[Years At Company]]&lt;=20, "11-20 Years","20+ Years"))))</f>
        <v>20+ Years</v>
      </c>
    </row>
    <row r="247" spans="1:38" x14ac:dyDescent="0.25">
      <c r="A247" s="2">
        <v>31</v>
      </c>
      <c r="B247" t="s">
        <v>43</v>
      </c>
      <c r="C247" t="s">
        <v>44</v>
      </c>
      <c r="D247" s="2">
        <v>1327</v>
      </c>
      <c r="E247" t="s">
        <v>45</v>
      </c>
      <c r="F247" s="2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 s="2">
        <v>13675</v>
      </c>
      <c r="T247">
        <v>13523</v>
      </c>
      <c r="U247">
        <v>9</v>
      </c>
      <c r="V247" t="s">
        <v>42</v>
      </c>
      <c r="W247" t="s">
        <v>43</v>
      </c>
      <c r="X247" s="2">
        <v>12</v>
      </c>
      <c r="Y247">
        <v>3</v>
      </c>
      <c r="Z247">
        <v>1</v>
      </c>
      <c r="AA247">
        <v>80</v>
      </c>
      <c r="AB247">
        <v>1</v>
      </c>
      <c r="AC247" s="2">
        <v>9</v>
      </c>
      <c r="AD247">
        <v>3</v>
      </c>
      <c r="AE247">
        <v>3</v>
      </c>
      <c r="AF247" s="2">
        <v>2</v>
      </c>
      <c r="AG247">
        <v>2</v>
      </c>
      <c r="AH247">
        <v>2</v>
      </c>
      <c r="AI247">
        <v>2</v>
      </c>
      <c r="AJ247" s="2" t="str">
        <f>IF(A247 A247 &lt;= 25, "18-25", IF(A247 &lt;=35, "26-35", IF(A247 &lt;=45, "36-45", IF(Table3[[#This Row],[Age]] &lt;=55, "46-55", "56+"))))</f>
        <v>26-35</v>
      </c>
      <c r="AK247" t="str">
        <f t="shared" si="3"/>
        <v>High</v>
      </c>
      <c r="AL247" s="2" t="str">
        <f>IF(AF247 &lt; 3, "0-2 Years", IF(AF247 &lt;= 5, "3-5 Years", IF(AF247 &lt;= 10, "6-10 Years",IF(Table3[[#This Row],[Years At Company]]&lt;=20, "11-20 Years","20+ Years"))))</f>
        <v>0-2 Years</v>
      </c>
    </row>
    <row r="248" spans="1:38" x14ac:dyDescent="0.25">
      <c r="A248" s="2">
        <v>33</v>
      </c>
      <c r="B248" t="s">
        <v>43</v>
      </c>
      <c r="C248" t="s">
        <v>36</v>
      </c>
      <c r="D248" s="2">
        <v>832</v>
      </c>
      <c r="E248" t="s">
        <v>45</v>
      </c>
      <c r="F248" s="2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 s="2">
        <v>2911</v>
      </c>
      <c r="T248">
        <v>14776</v>
      </c>
      <c r="U248">
        <v>1</v>
      </c>
      <c r="V248" t="s">
        <v>42</v>
      </c>
      <c r="W248" t="s">
        <v>43</v>
      </c>
      <c r="X248" s="2">
        <v>13</v>
      </c>
      <c r="Y248">
        <v>3</v>
      </c>
      <c r="Z248">
        <v>3</v>
      </c>
      <c r="AA248">
        <v>80</v>
      </c>
      <c r="AB248">
        <v>1</v>
      </c>
      <c r="AC248" s="2">
        <v>2</v>
      </c>
      <c r="AD248">
        <v>2</v>
      </c>
      <c r="AE248">
        <v>2</v>
      </c>
      <c r="AF248" s="2">
        <v>2</v>
      </c>
      <c r="AG248">
        <v>2</v>
      </c>
      <c r="AH248">
        <v>0</v>
      </c>
      <c r="AI248">
        <v>2</v>
      </c>
      <c r="AJ248" s="2" t="str">
        <f>IF(A248 A248 &lt;= 25, "18-25", IF(A248 &lt;=35, "26-35", IF(A248 &lt;=45, "36-45", IF(Table3[[#This Row],[Age]] &lt;=55, "46-55", "56+"))))</f>
        <v>26-35</v>
      </c>
      <c r="AK248" t="str">
        <f t="shared" si="3"/>
        <v>Low</v>
      </c>
      <c r="AL248" s="2" t="str">
        <f>IF(AF248 &lt; 3, "0-2 Years", IF(AF248 &lt;= 5, "3-5 Years", IF(AF248 &lt;= 10, "6-10 Years",IF(Table3[[#This Row],[Years At Company]]&lt;=20, "11-20 Years","20+ Years"))))</f>
        <v>0-2 Years</v>
      </c>
    </row>
    <row r="249" spans="1:38" x14ac:dyDescent="0.25">
      <c r="A249" s="2">
        <v>34</v>
      </c>
      <c r="B249" t="s">
        <v>43</v>
      </c>
      <c r="C249" t="s">
        <v>36</v>
      </c>
      <c r="D249" s="2">
        <v>470</v>
      </c>
      <c r="E249" t="s">
        <v>45</v>
      </c>
      <c r="F249" s="2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 s="2">
        <v>5957</v>
      </c>
      <c r="T249">
        <v>23687</v>
      </c>
      <c r="U249">
        <v>6</v>
      </c>
      <c r="V249" t="s">
        <v>42</v>
      </c>
      <c r="W249" t="s">
        <v>43</v>
      </c>
      <c r="X249" s="2">
        <v>13</v>
      </c>
      <c r="Y249">
        <v>3</v>
      </c>
      <c r="Z249">
        <v>2</v>
      </c>
      <c r="AA249">
        <v>80</v>
      </c>
      <c r="AB249">
        <v>1</v>
      </c>
      <c r="AC249" s="2">
        <v>13</v>
      </c>
      <c r="AD249">
        <v>3</v>
      </c>
      <c r="AE249">
        <v>3</v>
      </c>
      <c r="AF249" s="2">
        <v>11</v>
      </c>
      <c r="AG249">
        <v>9</v>
      </c>
      <c r="AH249">
        <v>5</v>
      </c>
      <c r="AI249">
        <v>9</v>
      </c>
      <c r="AJ249" s="2" t="str">
        <f>IF(A249 A249 &lt;= 25, "18-25", IF(A249 &lt;=35, "26-35", IF(A249 &lt;=45, "36-45", IF(Table3[[#This Row],[Age]] &lt;=55, "46-55", "56+"))))</f>
        <v>26-35</v>
      </c>
      <c r="AK249" t="str">
        <f t="shared" si="3"/>
        <v>Medium</v>
      </c>
      <c r="AL249" s="2" t="str">
        <f>IF(AF249 &lt; 3, "0-2 Years", IF(AF249 &lt;= 5, "3-5 Years", IF(AF249 &lt;= 10, "6-10 Years",IF(Table3[[#This Row],[Years At Company]]&lt;=20, "11-20 Years","20+ Years"))))</f>
        <v>11-20 Years</v>
      </c>
    </row>
    <row r="250" spans="1:38" x14ac:dyDescent="0.25">
      <c r="A250" s="2">
        <v>37</v>
      </c>
      <c r="B250" t="s">
        <v>43</v>
      </c>
      <c r="C250" t="s">
        <v>36</v>
      </c>
      <c r="D250" s="2">
        <v>1017</v>
      </c>
      <c r="E250" t="s">
        <v>45</v>
      </c>
      <c r="F250" s="2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 s="2">
        <v>3920</v>
      </c>
      <c r="T250">
        <v>18697</v>
      </c>
      <c r="U250">
        <v>2</v>
      </c>
      <c r="V250" t="s">
        <v>42</v>
      </c>
      <c r="W250" t="s">
        <v>43</v>
      </c>
      <c r="X250" s="2">
        <v>14</v>
      </c>
      <c r="Y250">
        <v>3</v>
      </c>
      <c r="Z250">
        <v>1</v>
      </c>
      <c r="AA250">
        <v>80</v>
      </c>
      <c r="AB250">
        <v>1</v>
      </c>
      <c r="AC250" s="2">
        <v>17</v>
      </c>
      <c r="AD250">
        <v>2</v>
      </c>
      <c r="AE250">
        <v>2</v>
      </c>
      <c r="AF250" s="2">
        <v>3</v>
      </c>
      <c r="AG250">
        <v>1</v>
      </c>
      <c r="AH250">
        <v>0</v>
      </c>
      <c r="AI250">
        <v>2</v>
      </c>
      <c r="AJ250" s="2" t="str">
        <f>IF(A250 A250 &lt;= 25, "18-25", IF(A250 &lt;=35, "26-35", IF(A250 &lt;=45, "36-45", IF(Table3[[#This Row],[Age]] &lt;=55, "46-55", "56+"))))</f>
        <v>36-45</v>
      </c>
      <c r="AK250" t="str">
        <f t="shared" si="3"/>
        <v>Low</v>
      </c>
      <c r="AL250" s="2" t="str">
        <f>IF(AF250 &lt; 3, "0-2 Years", IF(AF250 &lt;= 5, "3-5 Years", IF(AF250 &lt;= 10, "6-10 Years",IF(Table3[[#This Row],[Years At Company]]&lt;=20, "11-20 Years","20+ Years"))))</f>
        <v>3-5 Years</v>
      </c>
    </row>
    <row r="251" spans="1:38" x14ac:dyDescent="0.25">
      <c r="A251" s="2">
        <v>45</v>
      </c>
      <c r="B251" t="s">
        <v>43</v>
      </c>
      <c r="C251" t="s">
        <v>44</v>
      </c>
      <c r="D251" s="2">
        <v>1199</v>
      </c>
      <c r="E251" t="s">
        <v>45</v>
      </c>
      <c r="F251" s="2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 s="2">
        <v>6434</v>
      </c>
      <c r="T251">
        <v>5118</v>
      </c>
      <c r="U251">
        <v>4</v>
      </c>
      <c r="V251" t="s">
        <v>42</v>
      </c>
      <c r="W251" t="s">
        <v>43</v>
      </c>
      <c r="X251" s="2">
        <v>17</v>
      </c>
      <c r="Y251">
        <v>3</v>
      </c>
      <c r="Z251">
        <v>4</v>
      </c>
      <c r="AA251">
        <v>80</v>
      </c>
      <c r="AB251">
        <v>1</v>
      </c>
      <c r="AC251" s="2">
        <v>9</v>
      </c>
      <c r="AD251">
        <v>1</v>
      </c>
      <c r="AE251">
        <v>3</v>
      </c>
      <c r="AF251" s="2">
        <v>3</v>
      </c>
      <c r="AG251">
        <v>2</v>
      </c>
      <c r="AH251">
        <v>0</v>
      </c>
      <c r="AI251">
        <v>2</v>
      </c>
      <c r="AJ251" s="2" t="str">
        <f>IF(A251 A251 &lt;= 25, "18-25", IF(A251 &lt;=35, "26-35", IF(A251 &lt;=45, "36-45", IF(Table3[[#This Row],[Age]] &lt;=55, "46-55", "56+"))))</f>
        <v>36-45</v>
      </c>
      <c r="AK251" t="str">
        <f t="shared" si="3"/>
        <v>Medium</v>
      </c>
      <c r="AL251" s="2" t="str">
        <f>IF(AF251 &lt; 3, "0-2 Years", IF(AF251 &lt;= 5, "3-5 Years", IF(AF251 &lt;= 10, "6-10 Years",IF(Table3[[#This Row],[Years At Company]]&lt;=20, "11-20 Years","20+ Years"))))</f>
        <v>3-5 Years</v>
      </c>
    </row>
    <row r="252" spans="1:38" x14ac:dyDescent="0.25">
      <c r="A252" s="2">
        <v>37</v>
      </c>
      <c r="B252" t="s">
        <v>35</v>
      </c>
      <c r="C252" t="s">
        <v>44</v>
      </c>
      <c r="D252" s="2">
        <v>504</v>
      </c>
      <c r="E252" t="s">
        <v>45</v>
      </c>
      <c r="F252" s="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 s="2">
        <v>10048</v>
      </c>
      <c r="T252">
        <v>22573</v>
      </c>
      <c r="U252">
        <v>6</v>
      </c>
      <c r="V252" t="s">
        <v>42</v>
      </c>
      <c r="W252" t="s">
        <v>43</v>
      </c>
      <c r="X252" s="2">
        <v>11</v>
      </c>
      <c r="Y252">
        <v>3</v>
      </c>
      <c r="Z252">
        <v>2</v>
      </c>
      <c r="AA252">
        <v>80</v>
      </c>
      <c r="AB252">
        <v>2</v>
      </c>
      <c r="AC252" s="2">
        <v>17</v>
      </c>
      <c r="AD252">
        <v>5</v>
      </c>
      <c r="AE252">
        <v>3</v>
      </c>
      <c r="AF252" s="2">
        <v>1</v>
      </c>
      <c r="AG252">
        <v>0</v>
      </c>
      <c r="AH252">
        <v>0</v>
      </c>
      <c r="AI252">
        <v>0</v>
      </c>
      <c r="AJ252" s="2" t="str">
        <f>IF(A252 A252 &lt;= 25, "18-25", IF(A252 &lt;=35, "26-35", IF(A252 &lt;=45, "36-45", IF(Table3[[#This Row],[Age]] &lt;=55, "46-55", "56+"))))</f>
        <v>36-45</v>
      </c>
      <c r="AK252" t="str">
        <f t="shared" si="3"/>
        <v>High</v>
      </c>
      <c r="AL252" s="2" t="str">
        <f>IF(AF252 &lt; 3, "0-2 Years", IF(AF252 &lt;= 5, "3-5 Years", IF(AF252 &lt;= 10, "6-10 Years",IF(Table3[[#This Row],[Years At Company]]&lt;=20, "11-20 Years","20+ Years"))))</f>
        <v>0-2 Years</v>
      </c>
    </row>
    <row r="253" spans="1:38" x14ac:dyDescent="0.25">
      <c r="A253" s="2">
        <v>39</v>
      </c>
      <c r="B253" t="s">
        <v>43</v>
      </c>
      <c r="C253" t="s">
        <v>44</v>
      </c>
      <c r="D253" s="2">
        <v>505</v>
      </c>
      <c r="E253" t="s">
        <v>45</v>
      </c>
      <c r="F253" s="2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 s="2">
        <v>10938</v>
      </c>
      <c r="T253">
        <v>6420</v>
      </c>
      <c r="U253">
        <v>0</v>
      </c>
      <c r="V253" t="s">
        <v>42</v>
      </c>
      <c r="W253" t="s">
        <v>43</v>
      </c>
      <c r="X253" s="2">
        <v>25</v>
      </c>
      <c r="Y253">
        <v>4</v>
      </c>
      <c r="Z253">
        <v>4</v>
      </c>
      <c r="AA253">
        <v>80</v>
      </c>
      <c r="AB253">
        <v>0</v>
      </c>
      <c r="AC253" s="2">
        <v>20</v>
      </c>
      <c r="AD253">
        <v>1</v>
      </c>
      <c r="AE253">
        <v>3</v>
      </c>
      <c r="AF253" s="2">
        <v>19</v>
      </c>
      <c r="AG253">
        <v>6</v>
      </c>
      <c r="AH253">
        <v>11</v>
      </c>
      <c r="AI253">
        <v>8</v>
      </c>
      <c r="AJ253" s="2" t="str">
        <f>IF(A253 A253 &lt;= 25, "18-25", IF(A253 &lt;=35, "26-35", IF(A253 &lt;=45, "36-45", IF(Table3[[#This Row],[Age]] &lt;=55, "46-55", "56+"))))</f>
        <v>36-45</v>
      </c>
      <c r="AK253" t="str">
        <f t="shared" si="3"/>
        <v>High</v>
      </c>
      <c r="AL253" s="2" t="str">
        <f>IF(AF253 &lt; 3, "0-2 Years", IF(AF253 &lt;= 5, "3-5 Years", IF(AF253 &lt;= 10, "6-10 Years",IF(Table3[[#This Row],[Years At Company]]&lt;=20, "11-20 Years","20+ Years"))))</f>
        <v>11-20 Years</v>
      </c>
    </row>
    <row r="254" spans="1:38" x14ac:dyDescent="0.25">
      <c r="A254" s="2">
        <v>29</v>
      </c>
      <c r="B254" t="s">
        <v>43</v>
      </c>
      <c r="C254" t="s">
        <v>36</v>
      </c>
      <c r="D254" s="2">
        <v>665</v>
      </c>
      <c r="E254" t="s">
        <v>45</v>
      </c>
      <c r="F254" s="2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 s="2">
        <v>2340</v>
      </c>
      <c r="T254">
        <v>22673</v>
      </c>
      <c r="U254">
        <v>1</v>
      </c>
      <c r="V254" t="s">
        <v>42</v>
      </c>
      <c r="W254" t="s">
        <v>43</v>
      </c>
      <c r="X254" s="2">
        <v>19</v>
      </c>
      <c r="Y254">
        <v>3</v>
      </c>
      <c r="Z254">
        <v>1</v>
      </c>
      <c r="AA254">
        <v>80</v>
      </c>
      <c r="AB254">
        <v>0</v>
      </c>
      <c r="AC254" s="2">
        <v>6</v>
      </c>
      <c r="AD254">
        <v>1</v>
      </c>
      <c r="AE254">
        <v>3</v>
      </c>
      <c r="AF254" s="2">
        <v>6</v>
      </c>
      <c r="AG254">
        <v>5</v>
      </c>
      <c r="AH254">
        <v>1</v>
      </c>
      <c r="AI254">
        <v>5</v>
      </c>
      <c r="AJ254" s="2" t="str">
        <f>IF(A254 A254 &lt;= 25, "18-25", IF(A254 &lt;=35, "26-35", IF(A254 &lt;=45, "36-45", IF(Table3[[#This Row],[Age]] &lt;=55, "46-55", "56+"))))</f>
        <v>26-35</v>
      </c>
      <c r="AK254" t="str">
        <f t="shared" si="3"/>
        <v>Low</v>
      </c>
      <c r="AL254" s="2" t="str">
        <f>IF(AF254 &lt; 3, "0-2 Years", IF(AF254 &lt;= 5, "3-5 Years", IF(AF254 &lt;= 10, "6-10 Years",IF(Table3[[#This Row],[Years At Company]]&lt;=20, "11-20 Years","20+ Years"))))</f>
        <v>6-10 Years</v>
      </c>
    </row>
    <row r="255" spans="1:38" x14ac:dyDescent="0.25">
      <c r="A255" s="2">
        <v>42</v>
      </c>
      <c r="B255" t="s">
        <v>43</v>
      </c>
      <c r="C255" t="s">
        <v>36</v>
      </c>
      <c r="D255" s="2">
        <v>916</v>
      </c>
      <c r="E255" t="s">
        <v>45</v>
      </c>
      <c r="F255" s="2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 s="2">
        <v>6545</v>
      </c>
      <c r="T255">
        <v>23016</v>
      </c>
      <c r="U255">
        <v>3</v>
      </c>
      <c r="V255" t="s">
        <v>42</v>
      </c>
      <c r="W255" t="s">
        <v>35</v>
      </c>
      <c r="X255" s="2">
        <v>13</v>
      </c>
      <c r="Y255">
        <v>3</v>
      </c>
      <c r="Z255">
        <v>3</v>
      </c>
      <c r="AA255">
        <v>80</v>
      </c>
      <c r="AB255">
        <v>0</v>
      </c>
      <c r="AC255" s="2">
        <v>10</v>
      </c>
      <c r="AD255">
        <v>1</v>
      </c>
      <c r="AE255">
        <v>3</v>
      </c>
      <c r="AF255" s="2">
        <v>3</v>
      </c>
      <c r="AG255">
        <v>2</v>
      </c>
      <c r="AH255">
        <v>0</v>
      </c>
      <c r="AI255">
        <v>2</v>
      </c>
      <c r="AJ255" s="2" t="str">
        <f>IF(A255 A255 &lt;= 25, "18-25", IF(A255 &lt;=35, "26-35", IF(A255 &lt;=45, "36-45", IF(Table3[[#This Row],[Age]] &lt;=55, "46-55", "56+"))))</f>
        <v>36-45</v>
      </c>
      <c r="AK255" t="str">
        <f t="shared" si="3"/>
        <v>Medium</v>
      </c>
      <c r="AL255" s="2" t="str">
        <f>IF(AF255 &lt; 3, "0-2 Years", IF(AF255 &lt;= 5, "3-5 Years", IF(AF255 &lt;= 10, "6-10 Years",IF(Table3[[#This Row],[Years At Company]]&lt;=20, "11-20 Years","20+ Years"))))</f>
        <v>3-5 Years</v>
      </c>
    </row>
    <row r="256" spans="1:38" x14ac:dyDescent="0.25">
      <c r="A256" s="2">
        <v>29</v>
      </c>
      <c r="B256" t="s">
        <v>43</v>
      </c>
      <c r="C256" t="s">
        <v>36</v>
      </c>
      <c r="D256" s="2">
        <v>1247</v>
      </c>
      <c r="E256" t="s">
        <v>37</v>
      </c>
      <c r="F256" s="2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 s="2">
        <v>6931</v>
      </c>
      <c r="T256">
        <v>10732</v>
      </c>
      <c r="U256">
        <v>2</v>
      </c>
      <c r="V256" t="s">
        <v>42</v>
      </c>
      <c r="W256" t="s">
        <v>43</v>
      </c>
      <c r="X256" s="2">
        <v>14</v>
      </c>
      <c r="Y256">
        <v>3</v>
      </c>
      <c r="Z256">
        <v>4</v>
      </c>
      <c r="AA256">
        <v>80</v>
      </c>
      <c r="AB256">
        <v>1</v>
      </c>
      <c r="AC256" s="2">
        <v>10</v>
      </c>
      <c r="AD256">
        <v>2</v>
      </c>
      <c r="AE256">
        <v>3</v>
      </c>
      <c r="AF256" s="2">
        <v>3</v>
      </c>
      <c r="AG256">
        <v>2</v>
      </c>
      <c r="AH256">
        <v>0</v>
      </c>
      <c r="AI256">
        <v>2</v>
      </c>
      <c r="AJ256" s="2" t="str">
        <f>IF(A256 A256 &lt;= 25, "18-25", IF(A256 &lt;=35, "26-35", IF(A256 &lt;=45, "36-45", IF(Table3[[#This Row],[Age]] &lt;=55, "46-55", "56+"))))</f>
        <v>26-35</v>
      </c>
      <c r="AK256" t="str">
        <f t="shared" si="3"/>
        <v>Medium</v>
      </c>
      <c r="AL256" s="2" t="str">
        <f>IF(AF256 &lt; 3, "0-2 Years", IF(AF256 &lt;= 5, "3-5 Years", IF(AF256 &lt;= 10, "6-10 Years",IF(Table3[[#This Row],[Years At Company]]&lt;=20, "11-20 Years","20+ Years"))))</f>
        <v>3-5 Years</v>
      </c>
    </row>
    <row r="257" spans="1:38" x14ac:dyDescent="0.25">
      <c r="A257" s="2">
        <v>25</v>
      </c>
      <c r="B257" t="s">
        <v>43</v>
      </c>
      <c r="C257" t="s">
        <v>36</v>
      </c>
      <c r="D257" s="2">
        <v>685</v>
      </c>
      <c r="E257" t="s">
        <v>45</v>
      </c>
      <c r="F257" s="2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 s="2">
        <v>4898</v>
      </c>
      <c r="T257">
        <v>7505</v>
      </c>
      <c r="U257">
        <v>0</v>
      </c>
      <c r="V257" t="s">
        <v>42</v>
      </c>
      <c r="W257" t="s">
        <v>43</v>
      </c>
      <c r="X257" s="2">
        <v>12</v>
      </c>
      <c r="Y257">
        <v>3</v>
      </c>
      <c r="Z257">
        <v>4</v>
      </c>
      <c r="AA257">
        <v>80</v>
      </c>
      <c r="AB257">
        <v>2</v>
      </c>
      <c r="AC257" s="2">
        <v>5</v>
      </c>
      <c r="AD257">
        <v>3</v>
      </c>
      <c r="AE257">
        <v>3</v>
      </c>
      <c r="AF257" s="2">
        <v>4</v>
      </c>
      <c r="AG257">
        <v>2</v>
      </c>
      <c r="AH257">
        <v>1</v>
      </c>
      <c r="AI257">
        <v>2</v>
      </c>
      <c r="AJ257" s="2" t="str">
        <f>IF(A257 A257 &lt;= 25, "18-25", IF(A257 &lt;=35, "26-35", IF(A257 &lt;=45, "36-45", IF(Table3[[#This Row],[Age]] &lt;=55, "46-55", "56+"))))</f>
        <v>18-25</v>
      </c>
      <c r="AK257" t="str">
        <f t="shared" si="3"/>
        <v>Low</v>
      </c>
      <c r="AL257" s="2" t="str">
        <f>IF(AF257 &lt; 3, "0-2 Years", IF(AF257 &lt;= 5, "3-5 Years", IF(AF257 &lt;= 10, "6-10 Years",IF(Table3[[#This Row],[Years At Company]]&lt;=20, "11-20 Years","20+ Years"))))</f>
        <v>3-5 Years</v>
      </c>
    </row>
    <row r="258" spans="1:38" x14ac:dyDescent="0.25">
      <c r="A258" s="2">
        <v>42</v>
      </c>
      <c r="B258" t="s">
        <v>43</v>
      </c>
      <c r="C258" t="s">
        <v>36</v>
      </c>
      <c r="D258" s="2">
        <v>269</v>
      </c>
      <c r="E258" t="s">
        <v>45</v>
      </c>
      <c r="F258" s="2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 s="2">
        <v>2593</v>
      </c>
      <c r="T258">
        <v>8007</v>
      </c>
      <c r="U258">
        <v>0</v>
      </c>
      <c r="V258" t="s">
        <v>42</v>
      </c>
      <c r="W258" t="s">
        <v>35</v>
      </c>
      <c r="X258" s="2">
        <v>11</v>
      </c>
      <c r="Y258">
        <v>3</v>
      </c>
      <c r="Z258">
        <v>3</v>
      </c>
      <c r="AA258">
        <v>80</v>
      </c>
      <c r="AB258">
        <v>1</v>
      </c>
      <c r="AC258" s="2">
        <v>10</v>
      </c>
      <c r="AD258">
        <v>4</v>
      </c>
      <c r="AE258">
        <v>3</v>
      </c>
      <c r="AF258" s="2">
        <v>9</v>
      </c>
      <c r="AG258">
        <v>6</v>
      </c>
      <c r="AH258">
        <v>7</v>
      </c>
      <c r="AI258">
        <v>8</v>
      </c>
      <c r="AJ258" s="2" t="str">
        <f>IF(A258 A258 &lt;= 25, "18-25", IF(A258 &lt;=35, "26-35", IF(A258 &lt;=45, "36-45", IF(Table3[[#This Row],[Age]] &lt;=55, "46-55", "56+"))))</f>
        <v>36-45</v>
      </c>
      <c r="AK258" t="str">
        <f t="shared" ref="AK258:AK321" si="4">IF(S258 &lt; 5000, "Low",IF(S258 &lt;=9999, "Medium", "High"))</f>
        <v>Low</v>
      </c>
      <c r="AL258" s="2" t="str">
        <f>IF(AF258 &lt; 3, "0-2 Years", IF(AF258 &lt;= 5, "3-5 Years", IF(AF258 &lt;= 10, "6-10 Years",IF(Table3[[#This Row],[Years At Company]]&lt;=20, "11-20 Years","20+ Years"))))</f>
        <v>6-10 Years</v>
      </c>
    </row>
    <row r="259" spans="1:38" x14ac:dyDescent="0.25">
      <c r="A259" s="2">
        <v>40</v>
      </c>
      <c r="B259" t="s">
        <v>43</v>
      </c>
      <c r="C259" t="s">
        <v>36</v>
      </c>
      <c r="D259" s="2">
        <v>1416</v>
      </c>
      <c r="E259" t="s">
        <v>45</v>
      </c>
      <c r="F259" s="2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 s="2">
        <v>19436</v>
      </c>
      <c r="T259">
        <v>5949</v>
      </c>
      <c r="U259">
        <v>0</v>
      </c>
      <c r="V259" t="s">
        <v>42</v>
      </c>
      <c r="W259" t="s">
        <v>43</v>
      </c>
      <c r="X259" s="2">
        <v>19</v>
      </c>
      <c r="Y259">
        <v>3</v>
      </c>
      <c r="Z259">
        <v>4</v>
      </c>
      <c r="AA259">
        <v>80</v>
      </c>
      <c r="AB259">
        <v>1</v>
      </c>
      <c r="AC259" s="2">
        <v>22</v>
      </c>
      <c r="AD259">
        <v>5</v>
      </c>
      <c r="AE259">
        <v>3</v>
      </c>
      <c r="AF259" s="2">
        <v>21</v>
      </c>
      <c r="AG259">
        <v>7</v>
      </c>
      <c r="AH259">
        <v>3</v>
      </c>
      <c r="AI259">
        <v>9</v>
      </c>
      <c r="AJ259" s="2" t="str">
        <f>IF(A259 A259 &lt;= 25, "18-25", IF(A259 &lt;=35, "26-35", IF(A259 &lt;=45, "36-45", IF(Table3[[#This Row],[Age]] &lt;=55, "46-55", "56+"))))</f>
        <v>36-45</v>
      </c>
      <c r="AK259" t="str">
        <f t="shared" si="4"/>
        <v>High</v>
      </c>
      <c r="AL259" s="2" t="str">
        <f>IF(AF259 &lt; 3, "0-2 Years", IF(AF259 &lt;= 5, "3-5 Years", IF(AF259 &lt;= 10, "6-10 Years",IF(Table3[[#This Row],[Years At Company]]&lt;=20, "11-20 Years","20+ Years"))))</f>
        <v>20+ Years</v>
      </c>
    </row>
    <row r="260" spans="1:38" x14ac:dyDescent="0.25">
      <c r="A260" s="2">
        <v>51</v>
      </c>
      <c r="B260" t="s">
        <v>43</v>
      </c>
      <c r="C260" t="s">
        <v>36</v>
      </c>
      <c r="D260" s="2">
        <v>833</v>
      </c>
      <c r="E260" t="s">
        <v>45</v>
      </c>
      <c r="F260" s="2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 s="2">
        <v>2723</v>
      </c>
      <c r="T260">
        <v>23231</v>
      </c>
      <c r="U260">
        <v>1</v>
      </c>
      <c r="V260" t="s">
        <v>42</v>
      </c>
      <c r="W260" t="s">
        <v>43</v>
      </c>
      <c r="X260" s="2">
        <v>11</v>
      </c>
      <c r="Y260">
        <v>3</v>
      </c>
      <c r="Z260">
        <v>2</v>
      </c>
      <c r="AA260">
        <v>80</v>
      </c>
      <c r="AB260">
        <v>0</v>
      </c>
      <c r="AC260" s="2">
        <v>1</v>
      </c>
      <c r="AD260">
        <v>0</v>
      </c>
      <c r="AE260">
        <v>2</v>
      </c>
      <c r="AF260" s="2">
        <v>1</v>
      </c>
      <c r="AG260">
        <v>0</v>
      </c>
      <c r="AH260">
        <v>0</v>
      </c>
      <c r="AI260">
        <v>0</v>
      </c>
      <c r="AJ260" s="2" t="str">
        <f>IF(A260 A260 &lt;= 25, "18-25", IF(A260 &lt;=35, "26-35", IF(A260 &lt;=45, "36-45", IF(Table3[[#This Row],[Age]] &lt;=55, "46-55", "56+"))))</f>
        <v>46-55</v>
      </c>
      <c r="AK260" t="str">
        <f t="shared" si="4"/>
        <v>Low</v>
      </c>
      <c r="AL260" s="2" t="str">
        <f>IF(AF260 &lt; 3, "0-2 Years", IF(AF260 &lt;= 5, "3-5 Years", IF(AF260 &lt;= 10, "6-10 Years",IF(Table3[[#This Row],[Years At Company]]&lt;=20, "11-20 Years","20+ Years"))))</f>
        <v>0-2 Years</v>
      </c>
    </row>
    <row r="261" spans="1:38" x14ac:dyDescent="0.25">
      <c r="A261" s="2">
        <v>31</v>
      </c>
      <c r="B261" t="s">
        <v>35</v>
      </c>
      <c r="C261" t="s">
        <v>44</v>
      </c>
      <c r="D261" s="2">
        <v>307</v>
      </c>
      <c r="E261" t="s">
        <v>45</v>
      </c>
      <c r="F261" s="2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 s="2">
        <v>3479</v>
      </c>
      <c r="T261">
        <v>11652</v>
      </c>
      <c r="U261">
        <v>0</v>
      </c>
      <c r="V261" t="s">
        <v>42</v>
      </c>
      <c r="W261" t="s">
        <v>43</v>
      </c>
      <c r="X261" s="2">
        <v>11</v>
      </c>
      <c r="Y261">
        <v>3</v>
      </c>
      <c r="Z261">
        <v>2</v>
      </c>
      <c r="AA261">
        <v>80</v>
      </c>
      <c r="AB261">
        <v>0</v>
      </c>
      <c r="AC261" s="2">
        <v>6</v>
      </c>
      <c r="AD261">
        <v>2</v>
      </c>
      <c r="AE261">
        <v>4</v>
      </c>
      <c r="AF261" s="2">
        <v>5</v>
      </c>
      <c r="AG261">
        <v>4</v>
      </c>
      <c r="AH261">
        <v>1</v>
      </c>
      <c r="AI261">
        <v>4</v>
      </c>
      <c r="AJ261" s="2" t="str">
        <f>IF(A261 A261 &lt;= 25, "18-25", IF(A261 &lt;=35, "26-35", IF(A261 &lt;=45, "36-45", IF(Table3[[#This Row],[Age]] &lt;=55, "46-55", "56+"))))</f>
        <v>26-35</v>
      </c>
      <c r="AK261" t="str">
        <f t="shared" si="4"/>
        <v>Low</v>
      </c>
      <c r="AL261" s="2" t="str">
        <f>IF(AF261 &lt; 3, "0-2 Years", IF(AF261 &lt;= 5, "3-5 Years", IF(AF261 &lt;= 10, "6-10 Years",IF(Table3[[#This Row],[Years At Company]]&lt;=20, "11-20 Years","20+ Years"))))</f>
        <v>3-5 Years</v>
      </c>
    </row>
    <row r="262" spans="1:38" x14ac:dyDescent="0.25">
      <c r="A262" s="2">
        <v>32</v>
      </c>
      <c r="B262" t="s">
        <v>43</v>
      </c>
      <c r="C262" t="s">
        <v>44</v>
      </c>
      <c r="D262" s="2">
        <v>1311</v>
      </c>
      <c r="E262" t="s">
        <v>45</v>
      </c>
      <c r="F262" s="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 s="2">
        <v>2794</v>
      </c>
      <c r="T262">
        <v>26062</v>
      </c>
      <c r="U262">
        <v>1</v>
      </c>
      <c r="V262" t="s">
        <v>42</v>
      </c>
      <c r="W262" t="s">
        <v>43</v>
      </c>
      <c r="X262" s="2">
        <v>20</v>
      </c>
      <c r="Y262">
        <v>4</v>
      </c>
      <c r="Z262">
        <v>3</v>
      </c>
      <c r="AA262">
        <v>80</v>
      </c>
      <c r="AB262">
        <v>0</v>
      </c>
      <c r="AC262" s="2">
        <v>5</v>
      </c>
      <c r="AD262">
        <v>3</v>
      </c>
      <c r="AE262">
        <v>1</v>
      </c>
      <c r="AF262" s="2">
        <v>5</v>
      </c>
      <c r="AG262">
        <v>1</v>
      </c>
      <c r="AH262">
        <v>0</v>
      </c>
      <c r="AI262">
        <v>3</v>
      </c>
      <c r="AJ262" s="2" t="str">
        <f>IF(A262 A262 &lt;= 25, "18-25", IF(A262 &lt;=35, "26-35", IF(A262 &lt;=45, "36-45", IF(Table3[[#This Row],[Age]] &lt;=55, "46-55", "56+"))))</f>
        <v>26-35</v>
      </c>
      <c r="AK262" t="str">
        <f t="shared" si="4"/>
        <v>Low</v>
      </c>
      <c r="AL262" s="2" t="str">
        <f>IF(AF262 &lt; 3, "0-2 Years", IF(AF262 &lt;= 5, "3-5 Years", IF(AF262 &lt;= 10, "6-10 Years",IF(Table3[[#This Row],[Years At Company]]&lt;=20, "11-20 Years","20+ Years"))))</f>
        <v>3-5 Years</v>
      </c>
    </row>
    <row r="263" spans="1:38" x14ac:dyDescent="0.25">
      <c r="A263" s="2">
        <v>38</v>
      </c>
      <c r="B263" t="s">
        <v>43</v>
      </c>
      <c r="C263" t="s">
        <v>55</v>
      </c>
      <c r="D263" s="2">
        <v>1327</v>
      </c>
      <c r="E263" t="s">
        <v>37</v>
      </c>
      <c r="F263" s="2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 s="2">
        <v>5249</v>
      </c>
      <c r="T263">
        <v>19682</v>
      </c>
      <c r="U263">
        <v>3</v>
      </c>
      <c r="V263" t="s">
        <v>42</v>
      </c>
      <c r="W263" t="s">
        <v>43</v>
      </c>
      <c r="X263" s="2">
        <v>18</v>
      </c>
      <c r="Y263">
        <v>3</v>
      </c>
      <c r="Z263">
        <v>4</v>
      </c>
      <c r="AA263">
        <v>80</v>
      </c>
      <c r="AB263">
        <v>1</v>
      </c>
      <c r="AC263" s="2">
        <v>13</v>
      </c>
      <c r="AD263">
        <v>0</v>
      </c>
      <c r="AE263">
        <v>3</v>
      </c>
      <c r="AF263" s="2">
        <v>8</v>
      </c>
      <c r="AG263">
        <v>7</v>
      </c>
      <c r="AH263">
        <v>7</v>
      </c>
      <c r="AI263">
        <v>5</v>
      </c>
      <c r="AJ263" s="2" t="str">
        <f>IF(A263 A263 &lt;= 25, "18-25", IF(A263 &lt;=35, "26-35", IF(A263 &lt;=45, "36-45", IF(Table3[[#This Row],[Age]] &lt;=55, "46-55", "56+"))))</f>
        <v>36-45</v>
      </c>
      <c r="AK263" t="str">
        <f t="shared" si="4"/>
        <v>Medium</v>
      </c>
      <c r="AL263" s="2" t="str">
        <f>IF(AF263 &lt; 3, "0-2 Years", IF(AF263 &lt;= 5, "3-5 Years", IF(AF263 &lt;= 10, "6-10 Years",IF(Table3[[#This Row],[Years At Company]]&lt;=20, "11-20 Years","20+ Years"))))</f>
        <v>6-10 Years</v>
      </c>
    </row>
    <row r="264" spans="1:38" x14ac:dyDescent="0.25">
      <c r="A264" s="2">
        <v>32</v>
      </c>
      <c r="B264" t="s">
        <v>43</v>
      </c>
      <c r="C264" t="s">
        <v>36</v>
      </c>
      <c r="D264" s="2">
        <v>128</v>
      </c>
      <c r="E264" t="s">
        <v>45</v>
      </c>
      <c r="F264" s="2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 s="2">
        <v>2176</v>
      </c>
      <c r="T264">
        <v>19737</v>
      </c>
      <c r="U264">
        <v>4</v>
      </c>
      <c r="V264" t="s">
        <v>42</v>
      </c>
      <c r="W264" t="s">
        <v>43</v>
      </c>
      <c r="X264" s="2">
        <v>13</v>
      </c>
      <c r="Y264">
        <v>3</v>
      </c>
      <c r="Z264">
        <v>4</v>
      </c>
      <c r="AA264">
        <v>80</v>
      </c>
      <c r="AB264">
        <v>0</v>
      </c>
      <c r="AC264" s="2">
        <v>9</v>
      </c>
      <c r="AD264">
        <v>5</v>
      </c>
      <c r="AE264">
        <v>3</v>
      </c>
      <c r="AF264" s="2">
        <v>6</v>
      </c>
      <c r="AG264">
        <v>2</v>
      </c>
      <c r="AH264">
        <v>0</v>
      </c>
      <c r="AI264">
        <v>4</v>
      </c>
      <c r="AJ264" s="2" t="str">
        <f>IF(A264 A264 &lt;= 25, "18-25", IF(A264 &lt;=35, "26-35", IF(A264 &lt;=45, "36-45", IF(Table3[[#This Row],[Age]] &lt;=55, "46-55", "56+"))))</f>
        <v>26-35</v>
      </c>
      <c r="AK264" t="str">
        <f t="shared" si="4"/>
        <v>Low</v>
      </c>
      <c r="AL264" s="2" t="str">
        <f>IF(AF264 &lt; 3, "0-2 Years", IF(AF264 &lt;= 5, "3-5 Years", IF(AF264 &lt;= 10, "6-10 Years",IF(Table3[[#This Row],[Years At Company]]&lt;=20, "11-20 Years","20+ Years"))))</f>
        <v>6-10 Years</v>
      </c>
    </row>
    <row r="265" spans="1:38" x14ac:dyDescent="0.25">
      <c r="A265" s="2">
        <v>46</v>
      </c>
      <c r="B265" t="s">
        <v>43</v>
      </c>
      <c r="C265" t="s">
        <v>36</v>
      </c>
      <c r="D265" s="2">
        <v>488</v>
      </c>
      <c r="E265" t="s">
        <v>37</v>
      </c>
      <c r="F265" s="2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 s="2">
        <v>16872</v>
      </c>
      <c r="T265">
        <v>14977</v>
      </c>
      <c r="U265">
        <v>3</v>
      </c>
      <c r="V265" t="s">
        <v>42</v>
      </c>
      <c r="W265" t="s">
        <v>35</v>
      </c>
      <c r="X265" s="2">
        <v>12</v>
      </c>
      <c r="Y265">
        <v>3</v>
      </c>
      <c r="Z265">
        <v>2</v>
      </c>
      <c r="AA265">
        <v>80</v>
      </c>
      <c r="AB265">
        <v>1</v>
      </c>
      <c r="AC265" s="2">
        <v>28</v>
      </c>
      <c r="AD265">
        <v>2</v>
      </c>
      <c r="AE265">
        <v>2</v>
      </c>
      <c r="AF265" s="2">
        <v>7</v>
      </c>
      <c r="AG265">
        <v>7</v>
      </c>
      <c r="AH265">
        <v>7</v>
      </c>
      <c r="AI265">
        <v>7</v>
      </c>
      <c r="AJ265" s="2" t="str">
        <f>IF(A265 A265 &lt;= 25, "18-25", IF(A265 &lt;=35, "26-35", IF(A265 &lt;=45, "36-45", IF(Table3[[#This Row],[Age]] &lt;=55, "46-55", "56+"))))</f>
        <v>46-55</v>
      </c>
      <c r="AK265" t="str">
        <f t="shared" si="4"/>
        <v>High</v>
      </c>
      <c r="AL265" s="2" t="str">
        <f>IF(AF265 &lt; 3, "0-2 Years", IF(AF265 &lt;= 5, "3-5 Years", IF(AF265 &lt;= 10, "6-10 Years",IF(Table3[[#This Row],[Years At Company]]&lt;=20, "11-20 Years","20+ Years"))))</f>
        <v>6-10 Years</v>
      </c>
    </row>
    <row r="266" spans="1:38" x14ac:dyDescent="0.25">
      <c r="A266" s="2">
        <v>28</v>
      </c>
      <c r="B266" t="s">
        <v>35</v>
      </c>
      <c r="C266" t="s">
        <v>36</v>
      </c>
      <c r="D266" s="2">
        <v>529</v>
      </c>
      <c r="E266" t="s">
        <v>45</v>
      </c>
      <c r="F266" s="2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 s="2">
        <v>3485</v>
      </c>
      <c r="T266">
        <v>14935</v>
      </c>
      <c r="U266">
        <v>2</v>
      </c>
      <c r="V266" t="s">
        <v>42</v>
      </c>
      <c r="W266" t="s">
        <v>43</v>
      </c>
      <c r="X266" s="2">
        <v>11</v>
      </c>
      <c r="Y266">
        <v>3</v>
      </c>
      <c r="Z266">
        <v>3</v>
      </c>
      <c r="AA266">
        <v>80</v>
      </c>
      <c r="AB266">
        <v>0</v>
      </c>
      <c r="AC266" s="2">
        <v>5</v>
      </c>
      <c r="AD266">
        <v>5</v>
      </c>
      <c r="AE266">
        <v>1</v>
      </c>
      <c r="AF266" s="2">
        <v>0</v>
      </c>
      <c r="AG266">
        <v>0</v>
      </c>
      <c r="AH266">
        <v>0</v>
      </c>
      <c r="AI266">
        <v>0</v>
      </c>
      <c r="AJ266" s="2" t="str">
        <f>IF(A266 A266 &lt;= 25, "18-25", IF(A266 &lt;=35, "26-35", IF(A266 &lt;=45, "36-45", IF(Table3[[#This Row],[Age]] &lt;=55, "46-55", "56+"))))</f>
        <v>26-35</v>
      </c>
      <c r="AK266" t="str">
        <f t="shared" si="4"/>
        <v>Low</v>
      </c>
      <c r="AL266" s="2" t="str">
        <f>IF(AF266 &lt; 3, "0-2 Years", IF(AF266 &lt;= 5, "3-5 Years", IF(AF266 &lt;= 10, "6-10 Years",IF(Table3[[#This Row],[Years At Company]]&lt;=20, "11-20 Years","20+ Years"))))</f>
        <v>0-2 Years</v>
      </c>
    </row>
    <row r="267" spans="1:38" x14ac:dyDescent="0.25">
      <c r="A267" s="2">
        <v>29</v>
      </c>
      <c r="B267" t="s">
        <v>43</v>
      </c>
      <c r="C267" t="s">
        <v>36</v>
      </c>
      <c r="D267" s="2">
        <v>1210</v>
      </c>
      <c r="E267" t="s">
        <v>37</v>
      </c>
      <c r="F267" s="2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 s="2">
        <v>6644</v>
      </c>
      <c r="T267">
        <v>3687</v>
      </c>
      <c r="U267">
        <v>2</v>
      </c>
      <c r="V267" t="s">
        <v>42</v>
      </c>
      <c r="W267" t="s">
        <v>43</v>
      </c>
      <c r="X267" s="2">
        <v>19</v>
      </c>
      <c r="Y267">
        <v>3</v>
      </c>
      <c r="Z267">
        <v>2</v>
      </c>
      <c r="AA267">
        <v>80</v>
      </c>
      <c r="AB267">
        <v>2</v>
      </c>
      <c r="AC267" s="2">
        <v>10</v>
      </c>
      <c r="AD267">
        <v>2</v>
      </c>
      <c r="AE267">
        <v>3</v>
      </c>
      <c r="AF267" s="2">
        <v>0</v>
      </c>
      <c r="AG267">
        <v>0</v>
      </c>
      <c r="AH267">
        <v>0</v>
      </c>
      <c r="AI267">
        <v>0</v>
      </c>
      <c r="AJ267" s="2" t="str">
        <f>IF(A267 A267 &lt;= 25, "18-25", IF(A267 &lt;=35, "26-35", IF(A267 &lt;=45, "36-45", IF(Table3[[#This Row],[Age]] &lt;=55, "46-55", "56+"))))</f>
        <v>26-35</v>
      </c>
      <c r="AK267" t="str">
        <f t="shared" si="4"/>
        <v>Medium</v>
      </c>
      <c r="AL267" s="2" t="str">
        <f>IF(AF267 &lt; 3, "0-2 Years", IF(AF267 &lt;= 5, "3-5 Years", IF(AF267 &lt;= 10, "6-10 Years",IF(Table3[[#This Row],[Years At Company]]&lt;=20, "11-20 Years","20+ Years"))))</f>
        <v>0-2 Years</v>
      </c>
    </row>
    <row r="268" spans="1:38" x14ac:dyDescent="0.25">
      <c r="A268" s="2">
        <v>31</v>
      </c>
      <c r="B268" t="s">
        <v>43</v>
      </c>
      <c r="C268" t="s">
        <v>36</v>
      </c>
      <c r="D268" s="2">
        <v>1463</v>
      </c>
      <c r="E268" t="s">
        <v>45</v>
      </c>
      <c r="F268" s="2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 s="2">
        <v>5582</v>
      </c>
      <c r="T268">
        <v>14408</v>
      </c>
      <c r="U268">
        <v>0</v>
      </c>
      <c r="V268" t="s">
        <v>42</v>
      </c>
      <c r="W268" t="s">
        <v>43</v>
      </c>
      <c r="X268" s="2">
        <v>21</v>
      </c>
      <c r="Y268">
        <v>4</v>
      </c>
      <c r="Z268">
        <v>2</v>
      </c>
      <c r="AA268">
        <v>80</v>
      </c>
      <c r="AB268">
        <v>1</v>
      </c>
      <c r="AC268" s="2">
        <v>10</v>
      </c>
      <c r="AD268">
        <v>2</v>
      </c>
      <c r="AE268">
        <v>3</v>
      </c>
      <c r="AF268" s="2">
        <v>9</v>
      </c>
      <c r="AG268">
        <v>0</v>
      </c>
      <c r="AH268">
        <v>7</v>
      </c>
      <c r="AI268">
        <v>8</v>
      </c>
      <c r="AJ268" s="2" t="str">
        <f>IF(A268 A268 &lt;= 25, "18-25", IF(A268 &lt;=35, "26-35", IF(A268 &lt;=45, "36-45", IF(Table3[[#This Row],[Age]] &lt;=55, "46-55", "56+"))))</f>
        <v>26-35</v>
      </c>
      <c r="AK268" t="str">
        <f t="shared" si="4"/>
        <v>Medium</v>
      </c>
      <c r="AL268" s="2" t="str">
        <f>IF(AF268 &lt; 3, "0-2 Years", IF(AF268 &lt;= 5, "3-5 Years", IF(AF268 &lt;= 10, "6-10 Years",IF(Table3[[#This Row],[Years At Company]]&lt;=20, "11-20 Years","20+ Years"))))</f>
        <v>6-10 Years</v>
      </c>
    </row>
    <row r="269" spans="1:38" x14ac:dyDescent="0.25">
      <c r="A269" s="2">
        <v>25</v>
      </c>
      <c r="B269" t="s">
        <v>43</v>
      </c>
      <c r="C269" t="s">
        <v>55</v>
      </c>
      <c r="D269" s="2">
        <v>675</v>
      </c>
      <c r="E269" t="s">
        <v>45</v>
      </c>
      <c r="F269" s="2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 s="2">
        <v>4000</v>
      </c>
      <c r="T269">
        <v>18384</v>
      </c>
      <c r="U269">
        <v>1</v>
      </c>
      <c r="V269" t="s">
        <v>42</v>
      </c>
      <c r="W269" t="s">
        <v>43</v>
      </c>
      <c r="X269" s="2">
        <v>12</v>
      </c>
      <c r="Y269">
        <v>3</v>
      </c>
      <c r="Z269">
        <v>4</v>
      </c>
      <c r="AA269">
        <v>80</v>
      </c>
      <c r="AB269">
        <v>2</v>
      </c>
      <c r="AC269" s="2">
        <v>6</v>
      </c>
      <c r="AD269">
        <v>2</v>
      </c>
      <c r="AE269">
        <v>3</v>
      </c>
      <c r="AF269" s="2">
        <v>6</v>
      </c>
      <c r="AG269">
        <v>3</v>
      </c>
      <c r="AH269">
        <v>1</v>
      </c>
      <c r="AI269">
        <v>5</v>
      </c>
      <c r="AJ269" s="2" t="str">
        <f>IF(A269 A269 &lt;= 25, "18-25", IF(A269 &lt;=35, "26-35", IF(A269 &lt;=45, "36-45", IF(Table3[[#This Row],[Age]] &lt;=55, "46-55", "56+"))))</f>
        <v>18-25</v>
      </c>
      <c r="AK269" t="str">
        <f t="shared" si="4"/>
        <v>Low</v>
      </c>
      <c r="AL269" s="2" t="str">
        <f>IF(AF269 &lt; 3, "0-2 Years", IF(AF269 &lt;= 5, "3-5 Years", IF(AF269 &lt;= 10, "6-10 Years",IF(Table3[[#This Row],[Years At Company]]&lt;=20, "11-20 Years","20+ Years"))))</f>
        <v>6-10 Years</v>
      </c>
    </row>
    <row r="270" spans="1:38" x14ac:dyDescent="0.25">
      <c r="A270" s="2">
        <v>45</v>
      </c>
      <c r="B270" t="s">
        <v>43</v>
      </c>
      <c r="C270" t="s">
        <v>36</v>
      </c>
      <c r="D270" s="2">
        <v>1385</v>
      </c>
      <c r="E270" t="s">
        <v>45</v>
      </c>
      <c r="F270" s="2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 s="2">
        <v>13496</v>
      </c>
      <c r="T270">
        <v>7501</v>
      </c>
      <c r="U270">
        <v>0</v>
      </c>
      <c r="V270" t="s">
        <v>42</v>
      </c>
      <c r="W270" t="s">
        <v>35</v>
      </c>
      <c r="X270" s="2">
        <v>14</v>
      </c>
      <c r="Y270">
        <v>3</v>
      </c>
      <c r="Z270">
        <v>2</v>
      </c>
      <c r="AA270">
        <v>80</v>
      </c>
      <c r="AB270">
        <v>0</v>
      </c>
      <c r="AC270" s="2">
        <v>21</v>
      </c>
      <c r="AD270">
        <v>2</v>
      </c>
      <c r="AE270">
        <v>3</v>
      </c>
      <c r="AF270" s="2">
        <v>20</v>
      </c>
      <c r="AG270">
        <v>7</v>
      </c>
      <c r="AH270">
        <v>4</v>
      </c>
      <c r="AI270">
        <v>10</v>
      </c>
      <c r="AJ270" s="2" t="str">
        <f>IF(A270 A270 &lt;= 25, "18-25", IF(A270 &lt;=35, "26-35", IF(A270 &lt;=45, "36-45", IF(Table3[[#This Row],[Age]] &lt;=55, "46-55", "56+"))))</f>
        <v>36-45</v>
      </c>
      <c r="AK270" t="str">
        <f t="shared" si="4"/>
        <v>High</v>
      </c>
      <c r="AL270" s="2" t="str">
        <f>IF(AF270 &lt; 3, "0-2 Years", IF(AF270 &lt;= 5, "3-5 Years", IF(AF270 &lt;= 10, "6-10 Years",IF(Table3[[#This Row],[Years At Company]]&lt;=20, "11-20 Years","20+ Years"))))</f>
        <v>11-20 Years</v>
      </c>
    </row>
    <row r="271" spans="1:38" x14ac:dyDescent="0.25">
      <c r="A271" s="2">
        <v>36</v>
      </c>
      <c r="B271" t="s">
        <v>43</v>
      </c>
      <c r="C271" t="s">
        <v>36</v>
      </c>
      <c r="D271" s="2">
        <v>1403</v>
      </c>
      <c r="E271" t="s">
        <v>45</v>
      </c>
      <c r="F271" s="2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 s="2">
        <v>3210</v>
      </c>
      <c r="T271">
        <v>20251</v>
      </c>
      <c r="U271">
        <v>0</v>
      </c>
      <c r="V271" t="s">
        <v>42</v>
      </c>
      <c r="W271" t="s">
        <v>43</v>
      </c>
      <c r="X271" s="2">
        <v>11</v>
      </c>
      <c r="Y271">
        <v>3</v>
      </c>
      <c r="Z271">
        <v>3</v>
      </c>
      <c r="AA271">
        <v>80</v>
      </c>
      <c r="AB271">
        <v>1</v>
      </c>
      <c r="AC271" s="2">
        <v>16</v>
      </c>
      <c r="AD271">
        <v>4</v>
      </c>
      <c r="AE271">
        <v>3</v>
      </c>
      <c r="AF271" s="2">
        <v>15</v>
      </c>
      <c r="AG271">
        <v>13</v>
      </c>
      <c r="AH271">
        <v>10</v>
      </c>
      <c r="AI271">
        <v>11</v>
      </c>
      <c r="AJ271" s="2" t="str">
        <f>IF(A271 A271 &lt;= 25, "18-25", IF(A271 &lt;=35, "26-35", IF(A271 &lt;=45, "36-45", IF(Table3[[#This Row],[Age]] &lt;=55, "46-55", "56+"))))</f>
        <v>36-45</v>
      </c>
      <c r="AK271" t="str">
        <f t="shared" si="4"/>
        <v>Low</v>
      </c>
      <c r="AL271" s="2" t="str">
        <f>IF(AF271 &lt; 3, "0-2 Years", IF(AF271 &lt;= 5, "3-5 Years", IF(AF271 &lt;= 10, "6-10 Years",IF(Table3[[#This Row],[Years At Company]]&lt;=20, "11-20 Years","20+ Years"))))</f>
        <v>11-20 Years</v>
      </c>
    </row>
    <row r="272" spans="1:38" x14ac:dyDescent="0.25">
      <c r="A272" s="2">
        <v>55</v>
      </c>
      <c r="B272" t="s">
        <v>43</v>
      </c>
      <c r="C272" t="s">
        <v>36</v>
      </c>
      <c r="D272" s="2">
        <v>452</v>
      </c>
      <c r="E272" t="s">
        <v>45</v>
      </c>
      <c r="F272" s="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 s="2">
        <v>19045</v>
      </c>
      <c r="T272">
        <v>18938</v>
      </c>
      <c r="U272">
        <v>0</v>
      </c>
      <c r="V272" t="s">
        <v>42</v>
      </c>
      <c r="W272" t="s">
        <v>35</v>
      </c>
      <c r="X272" s="2">
        <v>14</v>
      </c>
      <c r="Y272">
        <v>3</v>
      </c>
      <c r="Z272">
        <v>3</v>
      </c>
      <c r="AA272">
        <v>80</v>
      </c>
      <c r="AB272">
        <v>0</v>
      </c>
      <c r="AC272" s="2">
        <v>37</v>
      </c>
      <c r="AD272">
        <v>2</v>
      </c>
      <c r="AE272">
        <v>3</v>
      </c>
      <c r="AF272" s="2">
        <v>36</v>
      </c>
      <c r="AG272">
        <v>10</v>
      </c>
      <c r="AH272">
        <v>4</v>
      </c>
      <c r="AI272">
        <v>13</v>
      </c>
      <c r="AJ272" s="2" t="str">
        <f>IF(A272 A272 &lt;= 25, "18-25", IF(A272 &lt;=35, "26-35", IF(A272 &lt;=45, "36-45", IF(Table3[[#This Row],[Age]] &lt;=55, "46-55", "56+"))))</f>
        <v>46-55</v>
      </c>
      <c r="AK272" t="str">
        <f t="shared" si="4"/>
        <v>High</v>
      </c>
      <c r="AL272" s="2" t="str">
        <f>IF(AF272 &lt; 3, "0-2 Years", IF(AF272 &lt;= 5, "3-5 Years", IF(AF272 &lt;= 10, "6-10 Years",IF(Table3[[#This Row],[Years At Company]]&lt;=20, "11-20 Years","20+ Years"))))</f>
        <v>20+ Years</v>
      </c>
    </row>
    <row r="273" spans="1:38" x14ac:dyDescent="0.25">
      <c r="A273" s="2">
        <v>47</v>
      </c>
      <c r="B273" t="s">
        <v>35</v>
      </c>
      <c r="C273" t="s">
        <v>55</v>
      </c>
      <c r="D273" s="2">
        <v>666</v>
      </c>
      <c r="E273" t="s">
        <v>45</v>
      </c>
      <c r="F273" s="2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 s="2">
        <v>11849</v>
      </c>
      <c r="T273">
        <v>10268</v>
      </c>
      <c r="U273">
        <v>1</v>
      </c>
      <c r="V273" t="s">
        <v>42</v>
      </c>
      <c r="W273" t="s">
        <v>35</v>
      </c>
      <c r="X273" s="2">
        <v>12</v>
      </c>
      <c r="Y273">
        <v>3</v>
      </c>
      <c r="Z273">
        <v>4</v>
      </c>
      <c r="AA273">
        <v>80</v>
      </c>
      <c r="AB273">
        <v>1</v>
      </c>
      <c r="AC273" s="2">
        <v>10</v>
      </c>
      <c r="AD273">
        <v>2</v>
      </c>
      <c r="AE273">
        <v>2</v>
      </c>
      <c r="AF273" s="2">
        <v>10</v>
      </c>
      <c r="AG273">
        <v>7</v>
      </c>
      <c r="AH273">
        <v>9</v>
      </c>
      <c r="AI273">
        <v>9</v>
      </c>
      <c r="AJ273" s="2" t="str">
        <f>IF(A273 A273 &lt;= 25, "18-25", IF(A273 &lt;=35, "26-35", IF(A273 &lt;=45, "36-45", IF(Table3[[#This Row],[Age]] &lt;=55, "46-55", "56+"))))</f>
        <v>46-55</v>
      </c>
      <c r="AK273" t="str">
        <f t="shared" si="4"/>
        <v>High</v>
      </c>
      <c r="AL273" s="2" t="str">
        <f>IF(AF273 &lt; 3, "0-2 Years", IF(AF273 &lt;= 5, "3-5 Years", IF(AF273 &lt;= 10, "6-10 Years",IF(Table3[[#This Row],[Years At Company]]&lt;=20, "11-20 Years","20+ Years"))))</f>
        <v>6-10 Years</v>
      </c>
    </row>
    <row r="274" spans="1:38" x14ac:dyDescent="0.25">
      <c r="A274" s="2">
        <v>28</v>
      </c>
      <c r="B274" t="s">
        <v>43</v>
      </c>
      <c r="C274" t="s">
        <v>36</v>
      </c>
      <c r="D274" s="2">
        <v>1158</v>
      </c>
      <c r="E274" t="s">
        <v>45</v>
      </c>
      <c r="F274" s="2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 s="2">
        <v>2070</v>
      </c>
      <c r="T274">
        <v>2613</v>
      </c>
      <c r="U274">
        <v>1</v>
      </c>
      <c r="V274" t="s">
        <v>42</v>
      </c>
      <c r="W274" t="s">
        <v>43</v>
      </c>
      <c r="X274" s="2">
        <v>23</v>
      </c>
      <c r="Y274">
        <v>4</v>
      </c>
      <c r="Z274">
        <v>4</v>
      </c>
      <c r="AA274">
        <v>80</v>
      </c>
      <c r="AB274">
        <v>1</v>
      </c>
      <c r="AC274" s="2">
        <v>5</v>
      </c>
      <c r="AD274">
        <v>3</v>
      </c>
      <c r="AE274">
        <v>2</v>
      </c>
      <c r="AF274" s="2">
        <v>5</v>
      </c>
      <c r="AG274">
        <v>2</v>
      </c>
      <c r="AH274">
        <v>0</v>
      </c>
      <c r="AI274">
        <v>4</v>
      </c>
      <c r="AJ274" s="2" t="str">
        <f>IF(A274 A274 &lt;= 25, "18-25", IF(A274 &lt;=35, "26-35", IF(A274 &lt;=45, "36-45", IF(Table3[[#This Row],[Age]] &lt;=55, "46-55", "56+"))))</f>
        <v>26-35</v>
      </c>
      <c r="AK274" t="str">
        <f t="shared" si="4"/>
        <v>Low</v>
      </c>
      <c r="AL274" s="2" t="str">
        <f>IF(AF274 &lt; 3, "0-2 Years", IF(AF274 &lt;= 5, "3-5 Years", IF(AF274 &lt;= 10, "6-10 Years",IF(Table3[[#This Row],[Years At Company]]&lt;=20, "11-20 Years","20+ Years"))))</f>
        <v>3-5 Years</v>
      </c>
    </row>
    <row r="275" spans="1:38" x14ac:dyDescent="0.25">
      <c r="A275" s="2">
        <v>37</v>
      </c>
      <c r="B275" t="s">
        <v>43</v>
      </c>
      <c r="C275" t="s">
        <v>36</v>
      </c>
      <c r="D275" s="2">
        <v>228</v>
      </c>
      <c r="E275" t="s">
        <v>37</v>
      </c>
      <c r="F275" s="2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 s="2">
        <v>6502</v>
      </c>
      <c r="T275">
        <v>22825</v>
      </c>
      <c r="U275">
        <v>4</v>
      </c>
      <c r="V275" t="s">
        <v>42</v>
      </c>
      <c r="W275" t="s">
        <v>43</v>
      </c>
      <c r="X275" s="2">
        <v>14</v>
      </c>
      <c r="Y275">
        <v>3</v>
      </c>
      <c r="Z275">
        <v>2</v>
      </c>
      <c r="AA275">
        <v>80</v>
      </c>
      <c r="AB275">
        <v>1</v>
      </c>
      <c r="AC275" s="2">
        <v>7</v>
      </c>
      <c r="AD275">
        <v>5</v>
      </c>
      <c r="AE275">
        <v>4</v>
      </c>
      <c r="AF275" s="2">
        <v>5</v>
      </c>
      <c r="AG275">
        <v>4</v>
      </c>
      <c r="AH275">
        <v>0</v>
      </c>
      <c r="AI275">
        <v>1</v>
      </c>
      <c r="AJ275" s="2" t="str">
        <f>IF(A275 A275 &lt;= 25, "18-25", IF(A275 &lt;=35, "26-35", IF(A275 &lt;=45, "36-45", IF(Table3[[#This Row],[Age]] &lt;=55, "46-55", "56+"))))</f>
        <v>36-45</v>
      </c>
      <c r="AK275" t="str">
        <f t="shared" si="4"/>
        <v>Medium</v>
      </c>
      <c r="AL275" s="2" t="str">
        <f>IF(AF275 &lt; 3, "0-2 Years", IF(AF275 &lt;= 5, "3-5 Years", IF(AF275 &lt;= 10, "6-10 Years",IF(Table3[[#This Row],[Years At Company]]&lt;=20, "11-20 Years","20+ Years"))))</f>
        <v>3-5 Years</v>
      </c>
    </row>
    <row r="276" spans="1:38" x14ac:dyDescent="0.25">
      <c r="A276" s="2">
        <v>21</v>
      </c>
      <c r="B276" t="s">
        <v>43</v>
      </c>
      <c r="C276" t="s">
        <v>36</v>
      </c>
      <c r="D276" s="2">
        <v>996</v>
      </c>
      <c r="E276" t="s">
        <v>45</v>
      </c>
      <c r="F276" s="2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 s="2">
        <v>3230</v>
      </c>
      <c r="T276">
        <v>10531</v>
      </c>
      <c r="U276">
        <v>1</v>
      </c>
      <c r="V276" t="s">
        <v>42</v>
      </c>
      <c r="W276" t="s">
        <v>43</v>
      </c>
      <c r="X276" s="2">
        <v>17</v>
      </c>
      <c r="Y276">
        <v>3</v>
      </c>
      <c r="Z276">
        <v>1</v>
      </c>
      <c r="AA276">
        <v>80</v>
      </c>
      <c r="AB276">
        <v>0</v>
      </c>
      <c r="AC276" s="2">
        <v>3</v>
      </c>
      <c r="AD276">
        <v>4</v>
      </c>
      <c r="AE276">
        <v>4</v>
      </c>
      <c r="AF276" s="2">
        <v>3</v>
      </c>
      <c r="AG276">
        <v>2</v>
      </c>
      <c r="AH276">
        <v>1</v>
      </c>
      <c r="AI276">
        <v>0</v>
      </c>
      <c r="AJ276" s="2" t="str">
        <f>IF(A276 A276 &lt;= 25, "18-25", IF(A276 &lt;=35, "26-35", IF(A276 &lt;=45, "36-45", IF(Table3[[#This Row],[Age]] &lt;=55, "46-55", "56+"))))</f>
        <v>18-25</v>
      </c>
      <c r="AK276" t="str">
        <f t="shared" si="4"/>
        <v>Low</v>
      </c>
      <c r="AL276" s="2" t="str">
        <f>IF(AF276 &lt; 3, "0-2 Years", IF(AF276 &lt;= 5, "3-5 Years", IF(AF276 &lt;= 10, "6-10 Years",IF(Table3[[#This Row],[Years At Company]]&lt;=20, "11-20 Years","20+ Years"))))</f>
        <v>3-5 Years</v>
      </c>
    </row>
    <row r="277" spans="1:38" x14ac:dyDescent="0.25">
      <c r="A277" s="2">
        <v>37</v>
      </c>
      <c r="B277" t="s">
        <v>43</v>
      </c>
      <c r="C277" t="s">
        <v>55</v>
      </c>
      <c r="D277" s="2">
        <v>728</v>
      </c>
      <c r="E277" t="s">
        <v>45</v>
      </c>
      <c r="F277" s="2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 s="2">
        <v>13603</v>
      </c>
      <c r="T277">
        <v>11677</v>
      </c>
      <c r="U277">
        <v>2</v>
      </c>
      <c r="V277" t="s">
        <v>42</v>
      </c>
      <c r="W277" t="s">
        <v>35</v>
      </c>
      <c r="X277" s="2">
        <v>18</v>
      </c>
      <c r="Y277">
        <v>3</v>
      </c>
      <c r="Z277">
        <v>1</v>
      </c>
      <c r="AA277">
        <v>80</v>
      </c>
      <c r="AB277">
        <v>2</v>
      </c>
      <c r="AC277" s="2">
        <v>15</v>
      </c>
      <c r="AD277">
        <v>2</v>
      </c>
      <c r="AE277">
        <v>3</v>
      </c>
      <c r="AF277" s="2">
        <v>5</v>
      </c>
      <c r="AG277">
        <v>2</v>
      </c>
      <c r="AH277">
        <v>0</v>
      </c>
      <c r="AI277">
        <v>2</v>
      </c>
      <c r="AJ277" s="2" t="str">
        <f>IF(A277 A277 &lt;= 25, "18-25", IF(A277 &lt;=35, "26-35", IF(A277 &lt;=45, "36-45", IF(Table3[[#This Row],[Age]] &lt;=55, "46-55", "56+"))))</f>
        <v>36-45</v>
      </c>
      <c r="AK277" t="str">
        <f t="shared" si="4"/>
        <v>High</v>
      </c>
      <c r="AL277" s="2" t="str">
        <f>IF(AF277 &lt; 3, "0-2 Years", IF(AF277 &lt;= 5, "3-5 Years", IF(AF277 &lt;= 10, "6-10 Years",IF(Table3[[#This Row],[Years At Company]]&lt;=20, "11-20 Years","20+ Years"))))</f>
        <v>3-5 Years</v>
      </c>
    </row>
    <row r="278" spans="1:38" x14ac:dyDescent="0.25">
      <c r="A278" s="2">
        <v>35</v>
      </c>
      <c r="B278" t="s">
        <v>43</v>
      </c>
      <c r="C278" t="s">
        <v>36</v>
      </c>
      <c r="D278" s="2">
        <v>1315</v>
      </c>
      <c r="E278" t="s">
        <v>45</v>
      </c>
      <c r="F278" s="2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 s="2">
        <v>11996</v>
      </c>
      <c r="T278">
        <v>19100</v>
      </c>
      <c r="U278">
        <v>7</v>
      </c>
      <c r="V278" t="s">
        <v>42</v>
      </c>
      <c r="W278" t="s">
        <v>43</v>
      </c>
      <c r="X278" s="2">
        <v>18</v>
      </c>
      <c r="Y278">
        <v>3</v>
      </c>
      <c r="Z278">
        <v>2</v>
      </c>
      <c r="AA278">
        <v>80</v>
      </c>
      <c r="AB278">
        <v>1</v>
      </c>
      <c r="AC278" s="2">
        <v>10</v>
      </c>
      <c r="AD278">
        <v>6</v>
      </c>
      <c r="AE278">
        <v>2</v>
      </c>
      <c r="AF278" s="2">
        <v>7</v>
      </c>
      <c r="AG278">
        <v>7</v>
      </c>
      <c r="AH278">
        <v>6</v>
      </c>
      <c r="AI278">
        <v>2</v>
      </c>
      <c r="AJ278" s="2" t="str">
        <f>IF(A278 A278 &lt;= 25, "18-25", IF(A278 &lt;=35, "26-35", IF(A278 &lt;=45, "36-45", IF(Table3[[#This Row],[Age]] &lt;=55, "46-55", "56+"))))</f>
        <v>26-35</v>
      </c>
      <c r="AK278" t="str">
        <f t="shared" si="4"/>
        <v>High</v>
      </c>
      <c r="AL278" s="2" t="str">
        <f>IF(AF278 &lt; 3, "0-2 Years", IF(AF278 &lt;= 5, "3-5 Years", IF(AF278 &lt;= 10, "6-10 Years",IF(Table3[[#This Row],[Years At Company]]&lt;=20, "11-20 Years","20+ Years"))))</f>
        <v>6-10 Years</v>
      </c>
    </row>
    <row r="279" spans="1:38" x14ac:dyDescent="0.25">
      <c r="A279" s="2">
        <v>38</v>
      </c>
      <c r="B279" t="s">
        <v>43</v>
      </c>
      <c r="C279" t="s">
        <v>36</v>
      </c>
      <c r="D279" s="2">
        <v>322</v>
      </c>
      <c r="E279" t="s">
        <v>37</v>
      </c>
      <c r="F279" s="2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 s="2">
        <v>5605</v>
      </c>
      <c r="T279">
        <v>19191</v>
      </c>
      <c r="U279">
        <v>1</v>
      </c>
      <c r="V279" t="s">
        <v>42</v>
      </c>
      <c r="W279" t="s">
        <v>35</v>
      </c>
      <c r="X279" s="2">
        <v>24</v>
      </c>
      <c r="Y279">
        <v>4</v>
      </c>
      <c r="Z279">
        <v>3</v>
      </c>
      <c r="AA279">
        <v>80</v>
      </c>
      <c r="AB279">
        <v>1</v>
      </c>
      <c r="AC279" s="2">
        <v>8</v>
      </c>
      <c r="AD279">
        <v>3</v>
      </c>
      <c r="AE279">
        <v>3</v>
      </c>
      <c r="AF279" s="2">
        <v>8</v>
      </c>
      <c r="AG279">
        <v>0</v>
      </c>
      <c r="AH279">
        <v>7</v>
      </c>
      <c r="AI279">
        <v>7</v>
      </c>
      <c r="AJ279" s="2" t="str">
        <f>IF(A279 A279 &lt;= 25, "18-25", IF(A279 &lt;=35, "26-35", IF(A279 &lt;=45, "36-45", IF(Table3[[#This Row],[Age]] &lt;=55, "46-55", "56+"))))</f>
        <v>36-45</v>
      </c>
      <c r="AK279" t="str">
        <f t="shared" si="4"/>
        <v>Medium</v>
      </c>
      <c r="AL279" s="2" t="str">
        <f>IF(AF279 &lt; 3, "0-2 Years", IF(AF279 &lt;= 5, "3-5 Years", IF(AF279 &lt;= 10, "6-10 Years",IF(Table3[[#This Row],[Years At Company]]&lt;=20, "11-20 Years","20+ Years"))))</f>
        <v>6-10 Years</v>
      </c>
    </row>
    <row r="280" spans="1:38" x14ac:dyDescent="0.25">
      <c r="A280" s="2">
        <v>26</v>
      </c>
      <c r="B280" t="s">
        <v>43</v>
      </c>
      <c r="C280" t="s">
        <v>44</v>
      </c>
      <c r="D280" s="2">
        <v>1479</v>
      </c>
      <c r="E280" t="s">
        <v>45</v>
      </c>
      <c r="F280" s="2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 s="2">
        <v>6397</v>
      </c>
      <c r="T280">
        <v>26767</v>
      </c>
      <c r="U280">
        <v>1</v>
      </c>
      <c r="V280" t="s">
        <v>42</v>
      </c>
      <c r="W280" t="s">
        <v>43</v>
      </c>
      <c r="X280" s="2">
        <v>20</v>
      </c>
      <c r="Y280">
        <v>4</v>
      </c>
      <c r="Z280">
        <v>1</v>
      </c>
      <c r="AA280">
        <v>80</v>
      </c>
      <c r="AB280">
        <v>1</v>
      </c>
      <c r="AC280" s="2">
        <v>6</v>
      </c>
      <c r="AD280">
        <v>6</v>
      </c>
      <c r="AE280">
        <v>1</v>
      </c>
      <c r="AF280" s="2">
        <v>6</v>
      </c>
      <c r="AG280">
        <v>5</v>
      </c>
      <c r="AH280">
        <v>1</v>
      </c>
      <c r="AI280">
        <v>4</v>
      </c>
      <c r="AJ280" s="2" t="str">
        <f>IF(A280 A280 &lt;= 25, "18-25", IF(A280 &lt;=35, "26-35", IF(A280 &lt;=45, "36-45", IF(Table3[[#This Row],[Age]] &lt;=55, "46-55", "56+"))))</f>
        <v>26-35</v>
      </c>
      <c r="AK280" t="str">
        <f t="shared" si="4"/>
        <v>Medium</v>
      </c>
      <c r="AL280" s="2" t="str">
        <f>IF(AF280 &lt; 3, "0-2 Years", IF(AF280 &lt;= 5, "3-5 Years", IF(AF280 &lt;= 10, "6-10 Years",IF(Table3[[#This Row],[Years At Company]]&lt;=20, "11-20 Years","20+ Years"))))</f>
        <v>6-10 Years</v>
      </c>
    </row>
    <row r="281" spans="1:38" x14ac:dyDescent="0.25">
      <c r="A281" s="2">
        <v>50</v>
      </c>
      <c r="B281" t="s">
        <v>43</v>
      </c>
      <c r="C281" t="s">
        <v>36</v>
      </c>
      <c r="D281" s="2">
        <v>797</v>
      </c>
      <c r="E281" t="s">
        <v>45</v>
      </c>
      <c r="F281" s="2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 s="2">
        <v>19144</v>
      </c>
      <c r="T281">
        <v>15815</v>
      </c>
      <c r="U281">
        <v>3</v>
      </c>
      <c r="V281" t="s">
        <v>42</v>
      </c>
      <c r="W281" t="s">
        <v>43</v>
      </c>
      <c r="X281" s="2">
        <v>14</v>
      </c>
      <c r="Y281">
        <v>3</v>
      </c>
      <c r="Z281">
        <v>1</v>
      </c>
      <c r="AA281">
        <v>80</v>
      </c>
      <c r="AB281">
        <v>2</v>
      </c>
      <c r="AC281" s="2">
        <v>28</v>
      </c>
      <c r="AD281">
        <v>4</v>
      </c>
      <c r="AE281">
        <v>2</v>
      </c>
      <c r="AF281" s="2">
        <v>10</v>
      </c>
      <c r="AG281">
        <v>4</v>
      </c>
      <c r="AH281">
        <v>1</v>
      </c>
      <c r="AI281">
        <v>6</v>
      </c>
      <c r="AJ281" s="2" t="str">
        <f>IF(A281 A281 &lt;= 25, "18-25", IF(A281 &lt;=35, "26-35", IF(A281 &lt;=45, "36-45", IF(Table3[[#This Row],[Age]] &lt;=55, "46-55", "56+"))))</f>
        <v>46-55</v>
      </c>
      <c r="AK281" t="str">
        <f t="shared" si="4"/>
        <v>High</v>
      </c>
      <c r="AL281" s="2" t="str">
        <f>IF(AF281 &lt; 3, "0-2 Years", IF(AF281 &lt;= 5, "3-5 Years", IF(AF281 &lt;= 10, "6-10 Years",IF(Table3[[#This Row],[Years At Company]]&lt;=20, "11-20 Years","20+ Years"))))</f>
        <v>6-10 Years</v>
      </c>
    </row>
    <row r="282" spans="1:38" x14ac:dyDescent="0.25">
      <c r="A282" s="2">
        <v>53</v>
      </c>
      <c r="B282" t="s">
        <v>43</v>
      </c>
      <c r="C282" t="s">
        <v>36</v>
      </c>
      <c r="D282" s="2">
        <v>1070</v>
      </c>
      <c r="E282" t="s">
        <v>45</v>
      </c>
      <c r="F282" s="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 s="2">
        <v>17584</v>
      </c>
      <c r="T282">
        <v>21016</v>
      </c>
      <c r="U282">
        <v>3</v>
      </c>
      <c r="V282" t="s">
        <v>42</v>
      </c>
      <c r="W282" t="s">
        <v>35</v>
      </c>
      <c r="X282" s="2">
        <v>16</v>
      </c>
      <c r="Y282">
        <v>3</v>
      </c>
      <c r="Z282">
        <v>4</v>
      </c>
      <c r="AA282">
        <v>80</v>
      </c>
      <c r="AB282">
        <v>3</v>
      </c>
      <c r="AC282" s="2">
        <v>21</v>
      </c>
      <c r="AD282">
        <v>5</v>
      </c>
      <c r="AE282">
        <v>2</v>
      </c>
      <c r="AF282" s="2">
        <v>5</v>
      </c>
      <c r="AG282">
        <v>3</v>
      </c>
      <c r="AH282">
        <v>1</v>
      </c>
      <c r="AI282">
        <v>3</v>
      </c>
      <c r="AJ282" s="2" t="str">
        <f>IF(A282 A282 &lt;= 25, "18-25", IF(A282 &lt;=35, "26-35", IF(A282 &lt;=45, "36-45", IF(Table3[[#This Row],[Age]] &lt;=55, "46-55", "56+"))))</f>
        <v>46-55</v>
      </c>
      <c r="AK282" t="str">
        <f t="shared" si="4"/>
        <v>High</v>
      </c>
      <c r="AL282" s="2" t="str">
        <f>IF(AF282 &lt; 3, "0-2 Years", IF(AF282 &lt;= 5, "3-5 Years", IF(AF282 &lt;= 10, "6-10 Years",IF(Table3[[#This Row],[Years At Company]]&lt;=20, "11-20 Years","20+ Years"))))</f>
        <v>3-5 Years</v>
      </c>
    </row>
    <row r="283" spans="1:38" x14ac:dyDescent="0.25">
      <c r="A283" s="2">
        <v>42</v>
      </c>
      <c r="B283" t="s">
        <v>43</v>
      </c>
      <c r="C283" t="s">
        <v>36</v>
      </c>
      <c r="D283" s="2">
        <v>635</v>
      </c>
      <c r="E283" t="s">
        <v>37</v>
      </c>
      <c r="F283" s="2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 s="2">
        <v>4907</v>
      </c>
      <c r="T283">
        <v>24532</v>
      </c>
      <c r="U283">
        <v>1</v>
      </c>
      <c r="V283" t="s">
        <v>42</v>
      </c>
      <c r="W283" t="s">
        <v>43</v>
      </c>
      <c r="X283" s="2">
        <v>25</v>
      </c>
      <c r="Y283">
        <v>4</v>
      </c>
      <c r="Z283">
        <v>3</v>
      </c>
      <c r="AA283">
        <v>80</v>
      </c>
      <c r="AB283">
        <v>0</v>
      </c>
      <c r="AC283" s="2">
        <v>20</v>
      </c>
      <c r="AD283">
        <v>3</v>
      </c>
      <c r="AE283">
        <v>3</v>
      </c>
      <c r="AF283" s="2">
        <v>20</v>
      </c>
      <c r="AG283">
        <v>16</v>
      </c>
      <c r="AH283">
        <v>11</v>
      </c>
      <c r="AI283">
        <v>6</v>
      </c>
      <c r="AJ283" s="2" t="str">
        <f>IF(A283 A283 &lt;= 25, "18-25", IF(A283 &lt;=35, "26-35", IF(A283 &lt;=45, "36-45", IF(Table3[[#This Row],[Age]] &lt;=55, "46-55", "56+"))))</f>
        <v>36-45</v>
      </c>
      <c r="AK283" t="str">
        <f t="shared" si="4"/>
        <v>Low</v>
      </c>
      <c r="AL283" s="2" t="str">
        <f>IF(AF283 &lt; 3, "0-2 Years", IF(AF283 &lt;= 5, "3-5 Years", IF(AF283 &lt;= 10, "6-10 Years",IF(Table3[[#This Row],[Years At Company]]&lt;=20, "11-20 Years","20+ Years"))))</f>
        <v>11-20 Years</v>
      </c>
    </row>
    <row r="284" spans="1:38" x14ac:dyDescent="0.25">
      <c r="A284" s="2">
        <v>29</v>
      </c>
      <c r="B284" t="s">
        <v>43</v>
      </c>
      <c r="C284" t="s">
        <v>44</v>
      </c>
      <c r="D284" s="2">
        <v>442</v>
      </c>
      <c r="E284" t="s">
        <v>37</v>
      </c>
      <c r="F284" s="2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 s="2">
        <v>4554</v>
      </c>
      <c r="T284">
        <v>20260</v>
      </c>
      <c r="U284">
        <v>1</v>
      </c>
      <c r="V284" t="s">
        <v>42</v>
      </c>
      <c r="W284" t="s">
        <v>43</v>
      </c>
      <c r="X284" s="2">
        <v>18</v>
      </c>
      <c r="Y284">
        <v>3</v>
      </c>
      <c r="Z284">
        <v>1</v>
      </c>
      <c r="AA284">
        <v>80</v>
      </c>
      <c r="AB284">
        <v>0</v>
      </c>
      <c r="AC284" s="2">
        <v>10</v>
      </c>
      <c r="AD284">
        <v>3</v>
      </c>
      <c r="AE284">
        <v>2</v>
      </c>
      <c r="AF284" s="2">
        <v>10</v>
      </c>
      <c r="AG284">
        <v>7</v>
      </c>
      <c r="AH284">
        <v>0</v>
      </c>
      <c r="AI284">
        <v>9</v>
      </c>
      <c r="AJ284" s="2" t="str">
        <f>IF(A284 A284 &lt;= 25, "18-25", IF(A284 &lt;=35, "26-35", IF(A284 &lt;=45, "36-45", IF(Table3[[#This Row],[Age]] &lt;=55, "46-55", "56+"))))</f>
        <v>26-35</v>
      </c>
      <c r="AK284" t="str">
        <f t="shared" si="4"/>
        <v>Low</v>
      </c>
      <c r="AL284" s="2" t="str">
        <f>IF(AF284 &lt; 3, "0-2 Years", IF(AF284 &lt;= 5, "3-5 Years", IF(AF284 &lt;= 10, "6-10 Years",IF(Table3[[#This Row],[Years At Company]]&lt;=20, "11-20 Years","20+ Years"))))</f>
        <v>6-10 Years</v>
      </c>
    </row>
    <row r="285" spans="1:38" x14ac:dyDescent="0.25">
      <c r="A285" s="2">
        <v>55</v>
      </c>
      <c r="B285" t="s">
        <v>43</v>
      </c>
      <c r="C285" t="s">
        <v>36</v>
      </c>
      <c r="D285" s="2">
        <v>147</v>
      </c>
      <c r="E285" t="s">
        <v>45</v>
      </c>
      <c r="F285" s="2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 s="2">
        <v>5415</v>
      </c>
      <c r="T285">
        <v>15972</v>
      </c>
      <c r="U285">
        <v>3</v>
      </c>
      <c r="V285" t="s">
        <v>42</v>
      </c>
      <c r="W285" t="s">
        <v>35</v>
      </c>
      <c r="X285" s="2">
        <v>19</v>
      </c>
      <c r="Y285">
        <v>3</v>
      </c>
      <c r="Z285">
        <v>4</v>
      </c>
      <c r="AA285">
        <v>80</v>
      </c>
      <c r="AB285">
        <v>1</v>
      </c>
      <c r="AC285" s="2">
        <v>12</v>
      </c>
      <c r="AD285">
        <v>4</v>
      </c>
      <c r="AE285">
        <v>3</v>
      </c>
      <c r="AF285" s="2">
        <v>10</v>
      </c>
      <c r="AG285">
        <v>7</v>
      </c>
      <c r="AH285">
        <v>0</v>
      </c>
      <c r="AI285">
        <v>8</v>
      </c>
      <c r="AJ285" s="2" t="str">
        <f>IF(A285 A285 &lt;= 25, "18-25", IF(A285 &lt;=35, "26-35", IF(A285 &lt;=45, "36-45", IF(Table3[[#This Row],[Age]] &lt;=55, "46-55", "56+"))))</f>
        <v>46-55</v>
      </c>
      <c r="AK285" t="str">
        <f t="shared" si="4"/>
        <v>Medium</v>
      </c>
      <c r="AL285" s="2" t="str">
        <f>IF(AF285 &lt; 3, "0-2 Years", IF(AF285 &lt;= 5, "3-5 Years", IF(AF285 &lt;= 10, "6-10 Years",IF(Table3[[#This Row],[Years At Company]]&lt;=20, "11-20 Years","20+ Years"))))</f>
        <v>6-10 Years</v>
      </c>
    </row>
    <row r="286" spans="1:38" x14ac:dyDescent="0.25">
      <c r="A286" s="2">
        <v>26</v>
      </c>
      <c r="B286" t="s">
        <v>43</v>
      </c>
      <c r="C286" t="s">
        <v>44</v>
      </c>
      <c r="D286" s="2">
        <v>496</v>
      </c>
      <c r="E286" t="s">
        <v>45</v>
      </c>
      <c r="F286" s="2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 s="2">
        <v>4741</v>
      </c>
      <c r="T286">
        <v>22722</v>
      </c>
      <c r="U286">
        <v>1</v>
      </c>
      <c r="V286" t="s">
        <v>42</v>
      </c>
      <c r="W286" t="s">
        <v>35</v>
      </c>
      <c r="X286" s="2">
        <v>13</v>
      </c>
      <c r="Y286">
        <v>3</v>
      </c>
      <c r="Z286">
        <v>3</v>
      </c>
      <c r="AA286">
        <v>80</v>
      </c>
      <c r="AB286">
        <v>1</v>
      </c>
      <c r="AC286" s="2">
        <v>5</v>
      </c>
      <c r="AD286">
        <v>3</v>
      </c>
      <c r="AE286">
        <v>3</v>
      </c>
      <c r="AF286" s="2">
        <v>5</v>
      </c>
      <c r="AG286">
        <v>3</v>
      </c>
      <c r="AH286">
        <v>3</v>
      </c>
      <c r="AI286">
        <v>3</v>
      </c>
      <c r="AJ286" s="2" t="str">
        <f>IF(A286 A286 &lt;= 25, "18-25", IF(A286 &lt;=35, "26-35", IF(A286 &lt;=45, "36-45", IF(Table3[[#This Row],[Age]] &lt;=55, "46-55", "56+"))))</f>
        <v>26-35</v>
      </c>
      <c r="AK286" t="str">
        <f t="shared" si="4"/>
        <v>Low</v>
      </c>
      <c r="AL286" s="2" t="str">
        <f>IF(AF286 &lt; 3, "0-2 Years", IF(AF286 &lt;= 5, "3-5 Years", IF(AF286 &lt;= 10, "6-10 Years",IF(Table3[[#This Row],[Years At Company]]&lt;=20, "11-20 Years","20+ Years"))))</f>
        <v>3-5 Years</v>
      </c>
    </row>
    <row r="287" spans="1:38" x14ac:dyDescent="0.25">
      <c r="A287" s="2">
        <v>37</v>
      </c>
      <c r="B287" t="s">
        <v>43</v>
      </c>
      <c r="C287" t="s">
        <v>36</v>
      </c>
      <c r="D287" s="2">
        <v>1372</v>
      </c>
      <c r="E287" t="s">
        <v>45</v>
      </c>
      <c r="F287" s="2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 s="2">
        <v>2115</v>
      </c>
      <c r="T287">
        <v>15881</v>
      </c>
      <c r="U287">
        <v>1</v>
      </c>
      <c r="V287" t="s">
        <v>42</v>
      </c>
      <c r="W287" t="s">
        <v>43</v>
      </c>
      <c r="X287" s="2">
        <v>12</v>
      </c>
      <c r="Y287">
        <v>3</v>
      </c>
      <c r="Z287">
        <v>2</v>
      </c>
      <c r="AA287">
        <v>80</v>
      </c>
      <c r="AB287">
        <v>0</v>
      </c>
      <c r="AC287" s="2">
        <v>17</v>
      </c>
      <c r="AD287">
        <v>3</v>
      </c>
      <c r="AE287">
        <v>3</v>
      </c>
      <c r="AF287" s="2">
        <v>17</v>
      </c>
      <c r="AG287">
        <v>12</v>
      </c>
      <c r="AH287">
        <v>5</v>
      </c>
      <c r="AI287">
        <v>7</v>
      </c>
      <c r="AJ287" s="2" t="str">
        <f>IF(A287 A287 &lt;= 25, "18-25", IF(A287 &lt;=35, "26-35", IF(A287 &lt;=45, "36-45", IF(Table3[[#This Row],[Age]] &lt;=55, "46-55", "56+"))))</f>
        <v>36-45</v>
      </c>
      <c r="AK287" t="str">
        <f t="shared" si="4"/>
        <v>Low</v>
      </c>
      <c r="AL287" s="2" t="str">
        <f>IF(AF287 &lt; 3, "0-2 Years", IF(AF287 &lt;= 5, "3-5 Years", IF(AF287 &lt;= 10, "6-10 Years",IF(Table3[[#This Row],[Years At Company]]&lt;=20, "11-20 Years","20+ Years"))))</f>
        <v>11-20 Years</v>
      </c>
    </row>
    <row r="288" spans="1:38" x14ac:dyDescent="0.25">
      <c r="A288" s="2">
        <v>44</v>
      </c>
      <c r="B288" t="s">
        <v>35</v>
      </c>
      <c r="C288" t="s">
        <v>44</v>
      </c>
      <c r="D288" s="2">
        <v>920</v>
      </c>
      <c r="E288" t="s">
        <v>45</v>
      </c>
      <c r="F288" s="2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 s="2">
        <v>3161</v>
      </c>
      <c r="T288">
        <v>19920</v>
      </c>
      <c r="U288">
        <v>3</v>
      </c>
      <c r="V288" t="s">
        <v>42</v>
      </c>
      <c r="W288" t="s">
        <v>35</v>
      </c>
      <c r="X288" s="2">
        <v>22</v>
      </c>
      <c r="Y288">
        <v>4</v>
      </c>
      <c r="Z288">
        <v>4</v>
      </c>
      <c r="AA288">
        <v>80</v>
      </c>
      <c r="AB288">
        <v>1</v>
      </c>
      <c r="AC288" s="2">
        <v>19</v>
      </c>
      <c r="AD288">
        <v>0</v>
      </c>
      <c r="AE288">
        <v>1</v>
      </c>
      <c r="AF288" s="2">
        <v>1</v>
      </c>
      <c r="AG288">
        <v>0</v>
      </c>
      <c r="AH288">
        <v>0</v>
      </c>
      <c r="AI288">
        <v>0</v>
      </c>
      <c r="AJ288" s="2" t="str">
        <f>IF(A288 A288 &lt;= 25, "18-25", IF(A288 &lt;=35, "26-35", IF(A288 &lt;=45, "36-45", IF(Table3[[#This Row],[Age]] &lt;=55, "46-55", "56+"))))</f>
        <v>36-45</v>
      </c>
      <c r="AK288" t="str">
        <f t="shared" si="4"/>
        <v>Low</v>
      </c>
      <c r="AL288" s="2" t="str">
        <f>IF(AF288 &lt; 3, "0-2 Years", IF(AF288 &lt;= 5, "3-5 Years", IF(AF288 &lt;= 10, "6-10 Years",IF(Table3[[#This Row],[Years At Company]]&lt;=20, "11-20 Years","20+ Years"))))</f>
        <v>0-2 Years</v>
      </c>
    </row>
    <row r="289" spans="1:38" x14ac:dyDescent="0.25">
      <c r="A289" s="2">
        <v>38</v>
      </c>
      <c r="B289" t="s">
        <v>43</v>
      </c>
      <c r="C289" t="s">
        <v>36</v>
      </c>
      <c r="D289" s="2">
        <v>688</v>
      </c>
      <c r="E289" t="s">
        <v>45</v>
      </c>
      <c r="F289" s="2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 s="2">
        <v>5745</v>
      </c>
      <c r="T289">
        <v>18899</v>
      </c>
      <c r="U289">
        <v>9</v>
      </c>
      <c r="V289" t="s">
        <v>42</v>
      </c>
      <c r="W289" t="s">
        <v>43</v>
      </c>
      <c r="X289" s="2">
        <v>14</v>
      </c>
      <c r="Y289">
        <v>3</v>
      </c>
      <c r="Z289">
        <v>2</v>
      </c>
      <c r="AA289">
        <v>80</v>
      </c>
      <c r="AB289">
        <v>1</v>
      </c>
      <c r="AC289" s="2">
        <v>10</v>
      </c>
      <c r="AD289">
        <v>2</v>
      </c>
      <c r="AE289">
        <v>3</v>
      </c>
      <c r="AF289" s="2">
        <v>2</v>
      </c>
      <c r="AG289">
        <v>2</v>
      </c>
      <c r="AH289">
        <v>1</v>
      </c>
      <c r="AI289">
        <v>2</v>
      </c>
      <c r="AJ289" s="2" t="str">
        <f>IF(A289 A289 &lt;= 25, "18-25", IF(A289 &lt;=35, "26-35", IF(A289 &lt;=45, "36-45", IF(Table3[[#This Row],[Age]] &lt;=55, "46-55", "56+"))))</f>
        <v>36-45</v>
      </c>
      <c r="AK289" t="str">
        <f t="shared" si="4"/>
        <v>Medium</v>
      </c>
      <c r="AL289" s="2" t="str">
        <f>IF(AF289 &lt; 3, "0-2 Years", IF(AF289 &lt;= 5, "3-5 Years", IF(AF289 &lt;= 10, "6-10 Years",IF(Table3[[#This Row],[Years At Company]]&lt;=20, "11-20 Years","20+ Years"))))</f>
        <v>0-2 Years</v>
      </c>
    </row>
    <row r="290" spans="1:38" x14ac:dyDescent="0.25">
      <c r="A290" s="2">
        <v>26</v>
      </c>
      <c r="B290" t="s">
        <v>35</v>
      </c>
      <c r="C290" t="s">
        <v>36</v>
      </c>
      <c r="D290" s="2">
        <v>1449</v>
      </c>
      <c r="E290" t="s">
        <v>45</v>
      </c>
      <c r="F290" s="2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 s="2">
        <v>2373</v>
      </c>
      <c r="T290">
        <v>14180</v>
      </c>
      <c r="U290">
        <v>2</v>
      </c>
      <c r="V290" t="s">
        <v>42</v>
      </c>
      <c r="W290" t="s">
        <v>35</v>
      </c>
      <c r="X290" s="2">
        <v>13</v>
      </c>
      <c r="Y290">
        <v>3</v>
      </c>
      <c r="Z290">
        <v>4</v>
      </c>
      <c r="AA290">
        <v>80</v>
      </c>
      <c r="AB290">
        <v>1</v>
      </c>
      <c r="AC290" s="2">
        <v>5</v>
      </c>
      <c r="AD290">
        <v>2</v>
      </c>
      <c r="AE290">
        <v>3</v>
      </c>
      <c r="AF290" s="2">
        <v>3</v>
      </c>
      <c r="AG290">
        <v>2</v>
      </c>
      <c r="AH290">
        <v>0</v>
      </c>
      <c r="AI290">
        <v>2</v>
      </c>
      <c r="AJ290" s="2" t="str">
        <f>IF(A290 A290 &lt;= 25, "18-25", IF(A290 &lt;=35, "26-35", IF(A290 &lt;=45, "36-45", IF(Table3[[#This Row],[Age]] &lt;=55, "46-55", "56+"))))</f>
        <v>26-35</v>
      </c>
      <c r="AK290" t="str">
        <f t="shared" si="4"/>
        <v>Low</v>
      </c>
      <c r="AL290" s="2" t="str">
        <f>IF(AF290 &lt; 3, "0-2 Years", IF(AF290 &lt;= 5, "3-5 Years", IF(AF290 &lt;= 10, "6-10 Years",IF(Table3[[#This Row],[Years At Company]]&lt;=20, "11-20 Years","20+ Years"))))</f>
        <v>3-5 Years</v>
      </c>
    </row>
    <row r="291" spans="1:38" x14ac:dyDescent="0.25">
      <c r="A291" s="2">
        <v>28</v>
      </c>
      <c r="B291" t="s">
        <v>43</v>
      </c>
      <c r="C291" t="s">
        <v>36</v>
      </c>
      <c r="D291" s="2">
        <v>1117</v>
      </c>
      <c r="E291" t="s">
        <v>45</v>
      </c>
      <c r="F291" s="2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 s="2">
        <v>3310</v>
      </c>
      <c r="T291">
        <v>4488</v>
      </c>
      <c r="U291">
        <v>1</v>
      </c>
      <c r="V291" t="s">
        <v>42</v>
      </c>
      <c r="W291" t="s">
        <v>43</v>
      </c>
      <c r="X291" s="2">
        <v>21</v>
      </c>
      <c r="Y291">
        <v>4</v>
      </c>
      <c r="Z291">
        <v>4</v>
      </c>
      <c r="AA291">
        <v>80</v>
      </c>
      <c r="AB291">
        <v>0</v>
      </c>
      <c r="AC291" s="2">
        <v>5</v>
      </c>
      <c r="AD291">
        <v>3</v>
      </c>
      <c r="AE291">
        <v>3</v>
      </c>
      <c r="AF291" s="2">
        <v>5</v>
      </c>
      <c r="AG291">
        <v>3</v>
      </c>
      <c r="AH291">
        <v>0</v>
      </c>
      <c r="AI291">
        <v>2</v>
      </c>
      <c r="AJ291" s="2" t="str">
        <f>IF(A291 A291 &lt;= 25, "18-25", IF(A291 &lt;=35, "26-35", IF(A291 &lt;=45, "36-45", IF(Table3[[#This Row],[Age]] &lt;=55, "46-55", "56+"))))</f>
        <v>26-35</v>
      </c>
      <c r="AK291" t="str">
        <f t="shared" si="4"/>
        <v>Low</v>
      </c>
      <c r="AL291" s="2" t="str">
        <f>IF(AF291 &lt; 3, "0-2 Years", IF(AF291 &lt;= 5, "3-5 Years", IF(AF291 &lt;= 10, "6-10 Years",IF(Table3[[#This Row],[Years At Company]]&lt;=20, "11-20 Years","20+ Years"))))</f>
        <v>3-5 Years</v>
      </c>
    </row>
    <row r="292" spans="1:38" x14ac:dyDescent="0.25">
      <c r="A292" s="2">
        <v>49</v>
      </c>
      <c r="B292" t="s">
        <v>43</v>
      </c>
      <c r="C292" t="s">
        <v>44</v>
      </c>
      <c r="D292" s="2">
        <v>636</v>
      </c>
      <c r="E292" t="s">
        <v>45</v>
      </c>
      <c r="F292" s="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 s="2">
        <v>18665</v>
      </c>
      <c r="T292">
        <v>25594</v>
      </c>
      <c r="U292">
        <v>9</v>
      </c>
      <c r="V292" t="s">
        <v>42</v>
      </c>
      <c r="W292" t="s">
        <v>35</v>
      </c>
      <c r="X292" s="2">
        <v>11</v>
      </c>
      <c r="Y292">
        <v>3</v>
      </c>
      <c r="Z292">
        <v>4</v>
      </c>
      <c r="AA292">
        <v>80</v>
      </c>
      <c r="AB292">
        <v>0</v>
      </c>
      <c r="AC292" s="2">
        <v>22</v>
      </c>
      <c r="AD292">
        <v>4</v>
      </c>
      <c r="AE292">
        <v>3</v>
      </c>
      <c r="AF292" s="2">
        <v>3</v>
      </c>
      <c r="AG292">
        <v>2</v>
      </c>
      <c r="AH292">
        <v>1</v>
      </c>
      <c r="AI292">
        <v>2</v>
      </c>
      <c r="AJ292" s="2" t="str">
        <f>IF(A292 A292 &lt;= 25, "18-25", IF(A292 &lt;=35, "26-35", IF(A292 &lt;=45, "36-45", IF(Table3[[#This Row],[Age]] &lt;=55, "46-55", "56+"))))</f>
        <v>46-55</v>
      </c>
      <c r="AK292" t="str">
        <f t="shared" si="4"/>
        <v>High</v>
      </c>
      <c r="AL292" s="2" t="str">
        <f>IF(AF292 &lt; 3, "0-2 Years", IF(AF292 &lt;= 5, "3-5 Years", IF(AF292 &lt;= 10, "6-10 Years",IF(Table3[[#This Row],[Years At Company]]&lt;=20, "11-20 Years","20+ Years"))))</f>
        <v>3-5 Years</v>
      </c>
    </row>
    <row r="293" spans="1:38" x14ac:dyDescent="0.25">
      <c r="A293" s="2">
        <v>36</v>
      </c>
      <c r="B293" t="s">
        <v>43</v>
      </c>
      <c r="C293" t="s">
        <v>36</v>
      </c>
      <c r="D293" s="2">
        <v>506</v>
      </c>
      <c r="E293" t="s">
        <v>45</v>
      </c>
      <c r="F293" s="2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 s="2">
        <v>4485</v>
      </c>
      <c r="T293">
        <v>26285</v>
      </c>
      <c r="U293">
        <v>4</v>
      </c>
      <c r="V293" t="s">
        <v>42</v>
      </c>
      <c r="W293" t="s">
        <v>43</v>
      </c>
      <c r="X293" s="2">
        <v>12</v>
      </c>
      <c r="Y293">
        <v>3</v>
      </c>
      <c r="Z293">
        <v>4</v>
      </c>
      <c r="AA293">
        <v>80</v>
      </c>
      <c r="AB293">
        <v>0</v>
      </c>
      <c r="AC293" s="2">
        <v>10</v>
      </c>
      <c r="AD293">
        <v>2</v>
      </c>
      <c r="AE293">
        <v>3</v>
      </c>
      <c r="AF293" s="2">
        <v>8</v>
      </c>
      <c r="AG293">
        <v>0</v>
      </c>
      <c r="AH293">
        <v>7</v>
      </c>
      <c r="AI293">
        <v>7</v>
      </c>
      <c r="AJ293" s="2" t="str">
        <f>IF(A293 A293 &lt;= 25, "18-25", IF(A293 &lt;=35, "26-35", IF(A293 &lt;=45, "36-45", IF(Table3[[#This Row],[Age]] &lt;=55, "46-55", "56+"))))</f>
        <v>36-45</v>
      </c>
      <c r="AK293" t="str">
        <f t="shared" si="4"/>
        <v>Low</v>
      </c>
      <c r="AL293" s="2" t="str">
        <f>IF(AF293 &lt; 3, "0-2 Years", IF(AF293 &lt;= 5, "3-5 Years", IF(AF293 &lt;= 10, "6-10 Years",IF(Table3[[#This Row],[Years At Company]]&lt;=20, "11-20 Years","20+ Years"))))</f>
        <v>6-10 Years</v>
      </c>
    </row>
    <row r="294" spans="1:38" x14ac:dyDescent="0.25">
      <c r="A294" s="2">
        <v>31</v>
      </c>
      <c r="B294" t="s">
        <v>43</v>
      </c>
      <c r="C294" t="s">
        <v>44</v>
      </c>
      <c r="D294" s="2">
        <v>444</v>
      </c>
      <c r="E294" t="s">
        <v>37</v>
      </c>
      <c r="F294" s="2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 s="2">
        <v>2789</v>
      </c>
      <c r="T294">
        <v>3909</v>
      </c>
      <c r="U294">
        <v>1</v>
      </c>
      <c r="V294" t="s">
        <v>42</v>
      </c>
      <c r="W294" t="s">
        <v>43</v>
      </c>
      <c r="X294" s="2">
        <v>11</v>
      </c>
      <c r="Y294">
        <v>3</v>
      </c>
      <c r="Z294">
        <v>3</v>
      </c>
      <c r="AA294">
        <v>80</v>
      </c>
      <c r="AB294">
        <v>1</v>
      </c>
      <c r="AC294" s="2">
        <v>2</v>
      </c>
      <c r="AD294">
        <v>5</v>
      </c>
      <c r="AE294">
        <v>2</v>
      </c>
      <c r="AF294" s="2">
        <v>2</v>
      </c>
      <c r="AG294">
        <v>2</v>
      </c>
      <c r="AH294">
        <v>2</v>
      </c>
      <c r="AI294">
        <v>2</v>
      </c>
      <c r="AJ294" s="2" t="str">
        <f>IF(A294 A294 &lt;= 25, "18-25", IF(A294 &lt;=35, "26-35", IF(A294 &lt;=45, "36-45", IF(Table3[[#This Row],[Age]] &lt;=55, "46-55", "56+"))))</f>
        <v>26-35</v>
      </c>
      <c r="AK294" t="str">
        <f t="shared" si="4"/>
        <v>Low</v>
      </c>
      <c r="AL294" s="2" t="str">
        <f>IF(AF294 &lt; 3, "0-2 Years", IF(AF294 &lt;= 5, "3-5 Years", IF(AF294 &lt;= 10, "6-10 Years",IF(Table3[[#This Row],[Years At Company]]&lt;=20, "11-20 Years","20+ Years"))))</f>
        <v>0-2 Years</v>
      </c>
    </row>
    <row r="295" spans="1:38" x14ac:dyDescent="0.25">
      <c r="A295" s="2">
        <v>26</v>
      </c>
      <c r="B295" t="s">
        <v>35</v>
      </c>
      <c r="C295" t="s">
        <v>36</v>
      </c>
      <c r="D295" s="2">
        <v>950</v>
      </c>
      <c r="E295" t="s">
        <v>37</v>
      </c>
      <c r="F295" s="2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 s="2">
        <v>5828</v>
      </c>
      <c r="T295">
        <v>8450</v>
      </c>
      <c r="U295">
        <v>1</v>
      </c>
      <c r="V295" t="s">
        <v>42</v>
      </c>
      <c r="W295" t="s">
        <v>35</v>
      </c>
      <c r="X295" s="2">
        <v>12</v>
      </c>
      <c r="Y295">
        <v>3</v>
      </c>
      <c r="Z295">
        <v>2</v>
      </c>
      <c r="AA295">
        <v>80</v>
      </c>
      <c r="AB295">
        <v>0</v>
      </c>
      <c r="AC295" s="2">
        <v>8</v>
      </c>
      <c r="AD295">
        <v>0</v>
      </c>
      <c r="AE295">
        <v>3</v>
      </c>
      <c r="AF295" s="2">
        <v>8</v>
      </c>
      <c r="AG295">
        <v>7</v>
      </c>
      <c r="AH295">
        <v>7</v>
      </c>
      <c r="AI295">
        <v>4</v>
      </c>
      <c r="AJ295" s="2" t="str">
        <f>IF(A295 A295 &lt;= 25, "18-25", IF(A295 &lt;=35, "26-35", IF(A295 &lt;=45, "36-45", IF(Table3[[#This Row],[Age]] &lt;=55, "46-55", "56+"))))</f>
        <v>26-35</v>
      </c>
      <c r="AK295" t="str">
        <f t="shared" si="4"/>
        <v>Medium</v>
      </c>
      <c r="AL295" s="2" t="str">
        <f>IF(AF295 &lt; 3, "0-2 Years", IF(AF295 &lt;= 5, "3-5 Years", IF(AF295 &lt;= 10, "6-10 Years",IF(Table3[[#This Row],[Years At Company]]&lt;=20, "11-20 Years","20+ Years"))))</f>
        <v>6-10 Years</v>
      </c>
    </row>
    <row r="296" spans="1:38" x14ac:dyDescent="0.25">
      <c r="A296" s="2">
        <v>37</v>
      </c>
      <c r="B296" t="s">
        <v>43</v>
      </c>
      <c r="C296" t="s">
        <v>44</v>
      </c>
      <c r="D296" s="2">
        <v>889</v>
      </c>
      <c r="E296" t="s">
        <v>45</v>
      </c>
      <c r="F296" s="2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 s="2">
        <v>2326</v>
      </c>
      <c r="T296">
        <v>11411</v>
      </c>
      <c r="U296">
        <v>1</v>
      </c>
      <c r="V296" t="s">
        <v>42</v>
      </c>
      <c r="W296" t="s">
        <v>35</v>
      </c>
      <c r="X296" s="2">
        <v>12</v>
      </c>
      <c r="Y296">
        <v>3</v>
      </c>
      <c r="Z296">
        <v>3</v>
      </c>
      <c r="AA296">
        <v>80</v>
      </c>
      <c r="AB296">
        <v>3</v>
      </c>
      <c r="AC296" s="2">
        <v>4</v>
      </c>
      <c r="AD296">
        <v>3</v>
      </c>
      <c r="AE296">
        <v>2</v>
      </c>
      <c r="AF296" s="2">
        <v>4</v>
      </c>
      <c r="AG296">
        <v>2</v>
      </c>
      <c r="AH296">
        <v>1</v>
      </c>
      <c r="AI296">
        <v>2</v>
      </c>
      <c r="AJ296" s="2" t="str">
        <f>IF(A296 A296 &lt;= 25, "18-25", IF(A296 &lt;=35, "26-35", IF(A296 &lt;=45, "36-45", IF(Table3[[#This Row],[Age]] &lt;=55, "46-55", "56+"))))</f>
        <v>36-45</v>
      </c>
      <c r="AK296" t="str">
        <f t="shared" si="4"/>
        <v>Low</v>
      </c>
      <c r="AL296" s="2" t="str">
        <f>IF(AF296 &lt; 3, "0-2 Years", IF(AF296 &lt;= 5, "3-5 Years", IF(AF296 &lt;= 10, "6-10 Years",IF(Table3[[#This Row],[Years At Company]]&lt;=20, "11-20 Years","20+ Years"))))</f>
        <v>3-5 Years</v>
      </c>
    </row>
    <row r="297" spans="1:38" x14ac:dyDescent="0.25">
      <c r="A297" s="2">
        <v>42</v>
      </c>
      <c r="B297" t="s">
        <v>43</v>
      </c>
      <c r="C297" t="s">
        <v>44</v>
      </c>
      <c r="D297" s="2">
        <v>555</v>
      </c>
      <c r="E297" t="s">
        <v>37</v>
      </c>
      <c r="F297" s="2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 s="2">
        <v>13525</v>
      </c>
      <c r="T297">
        <v>14864</v>
      </c>
      <c r="U297">
        <v>5</v>
      </c>
      <c r="V297" t="s">
        <v>42</v>
      </c>
      <c r="W297" t="s">
        <v>43</v>
      </c>
      <c r="X297" s="2">
        <v>14</v>
      </c>
      <c r="Y297">
        <v>3</v>
      </c>
      <c r="Z297">
        <v>4</v>
      </c>
      <c r="AA297">
        <v>80</v>
      </c>
      <c r="AB297">
        <v>1</v>
      </c>
      <c r="AC297" s="2">
        <v>23</v>
      </c>
      <c r="AD297">
        <v>2</v>
      </c>
      <c r="AE297">
        <v>4</v>
      </c>
      <c r="AF297" s="2">
        <v>20</v>
      </c>
      <c r="AG297">
        <v>4</v>
      </c>
      <c r="AH297">
        <v>4</v>
      </c>
      <c r="AI297">
        <v>8</v>
      </c>
      <c r="AJ297" s="2" t="str">
        <f>IF(A297 A297 &lt;= 25, "18-25", IF(A297 &lt;=35, "26-35", IF(A297 &lt;=45, "36-45", IF(Table3[[#This Row],[Age]] &lt;=55, "46-55", "56+"))))</f>
        <v>36-45</v>
      </c>
      <c r="AK297" t="str">
        <f t="shared" si="4"/>
        <v>High</v>
      </c>
      <c r="AL297" s="2" t="str">
        <f>IF(AF297 &lt; 3, "0-2 Years", IF(AF297 &lt;= 5, "3-5 Years", IF(AF297 &lt;= 10, "6-10 Years",IF(Table3[[#This Row],[Years At Company]]&lt;=20, "11-20 Years","20+ Years"))))</f>
        <v>11-20 Years</v>
      </c>
    </row>
    <row r="298" spans="1:38" x14ac:dyDescent="0.25">
      <c r="A298" s="2">
        <v>18</v>
      </c>
      <c r="B298" t="s">
        <v>35</v>
      </c>
      <c r="C298" t="s">
        <v>36</v>
      </c>
      <c r="D298" s="2">
        <v>230</v>
      </c>
      <c r="E298" t="s">
        <v>45</v>
      </c>
      <c r="F298" s="2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 s="2">
        <v>1420</v>
      </c>
      <c r="T298">
        <v>25233</v>
      </c>
      <c r="U298">
        <v>1</v>
      </c>
      <c r="V298" t="s">
        <v>42</v>
      </c>
      <c r="W298" t="s">
        <v>43</v>
      </c>
      <c r="X298" s="2">
        <v>13</v>
      </c>
      <c r="Y298">
        <v>3</v>
      </c>
      <c r="Z298">
        <v>3</v>
      </c>
      <c r="AA298">
        <v>80</v>
      </c>
      <c r="AB298">
        <v>0</v>
      </c>
      <c r="AC298" s="2">
        <v>0</v>
      </c>
      <c r="AD298">
        <v>2</v>
      </c>
      <c r="AE298">
        <v>3</v>
      </c>
      <c r="AF298" s="2">
        <v>0</v>
      </c>
      <c r="AG298">
        <v>0</v>
      </c>
      <c r="AH298">
        <v>0</v>
      </c>
      <c r="AI298">
        <v>0</v>
      </c>
      <c r="AJ298" s="2" t="str">
        <f>IF(A298 A298 &lt;= 25, "18-25", IF(A298 &lt;=35, "26-35", IF(A298 &lt;=45, "36-45", IF(Table3[[#This Row],[Age]] &lt;=55, "46-55", "56+"))))</f>
        <v>18-25</v>
      </c>
      <c r="AK298" t="str">
        <f t="shared" si="4"/>
        <v>Low</v>
      </c>
      <c r="AL298" s="2" t="str">
        <f>IF(AF298 &lt; 3, "0-2 Years", IF(AF298 &lt;= 5, "3-5 Years", IF(AF298 &lt;= 10, "6-10 Years",IF(Table3[[#This Row],[Years At Company]]&lt;=20, "11-20 Years","20+ Years"))))</f>
        <v>0-2 Years</v>
      </c>
    </row>
    <row r="299" spans="1:38" x14ac:dyDescent="0.25">
      <c r="A299" s="2">
        <v>35</v>
      </c>
      <c r="B299" t="s">
        <v>43</v>
      </c>
      <c r="C299" t="s">
        <v>36</v>
      </c>
      <c r="D299" s="2">
        <v>1232</v>
      </c>
      <c r="E299" t="s">
        <v>37</v>
      </c>
      <c r="F299" s="2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 s="2">
        <v>8020</v>
      </c>
      <c r="T299">
        <v>5100</v>
      </c>
      <c r="U299">
        <v>0</v>
      </c>
      <c r="V299" t="s">
        <v>42</v>
      </c>
      <c r="W299" t="s">
        <v>43</v>
      </c>
      <c r="X299" s="2">
        <v>15</v>
      </c>
      <c r="Y299">
        <v>3</v>
      </c>
      <c r="Z299">
        <v>3</v>
      </c>
      <c r="AA299">
        <v>80</v>
      </c>
      <c r="AB299">
        <v>2</v>
      </c>
      <c r="AC299" s="2">
        <v>12</v>
      </c>
      <c r="AD299">
        <v>3</v>
      </c>
      <c r="AE299">
        <v>2</v>
      </c>
      <c r="AF299" s="2">
        <v>11</v>
      </c>
      <c r="AG299">
        <v>9</v>
      </c>
      <c r="AH299">
        <v>6</v>
      </c>
      <c r="AI299">
        <v>9</v>
      </c>
      <c r="AJ299" s="2" t="str">
        <f>IF(A299 A299 &lt;= 25, "18-25", IF(A299 &lt;=35, "26-35", IF(A299 &lt;=45, "36-45", IF(Table3[[#This Row],[Age]] &lt;=55, "46-55", "56+"))))</f>
        <v>26-35</v>
      </c>
      <c r="AK299" t="str">
        <f t="shared" si="4"/>
        <v>Medium</v>
      </c>
      <c r="AL299" s="2" t="str">
        <f>IF(AF299 &lt; 3, "0-2 Years", IF(AF299 &lt;= 5, "3-5 Years", IF(AF299 &lt;= 10, "6-10 Years",IF(Table3[[#This Row],[Years At Company]]&lt;=20, "11-20 Years","20+ Years"))))</f>
        <v>11-20 Years</v>
      </c>
    </row>
    <row r="300" spans="1:38" x14ac:dyDescent="0.25">
      <c r="A300" s="2">
        <v>36</v>
      </c>
      <c r="B300" t="s">
        <v>43</v>
      </c>
      <c r="C300" t="s">
        <v>44</v>
      </c>
      <c r="D300" s="2">
        <v>566</v>
      </c>
      <c r="E300" t="s">
        <v>45</v>
      </c>
      <c r="F300" s="2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 s="2">
        <v>3688</v>
      </c>
      <c r="T300">
        <v>7122</v>
      </c>
      <c r="U300">
        <v>4</v>
      </c>
      <c r="V300" t="s">
        <v>42</v>
      </c>
      <c r="W300" t="s">
        <v>43</v>
      </c>
      <c r="X300" s="2">
        <v>18</v>
      </c>
      <c r="Y300">
        <v>3</v>
      </c>
      <c r="Z300">
        <v>4</v>
      </c>
      <c r="AA300">
        <v>80</v>
      </c>
      <c r="AB300">
        <v>2</v>
      </c>
      <c r="AC300" s="2">
        <v>4</v>
      </c>
      <c r="AD300">
        <v>2</v>
      </c>
      <c r="AE300">
        <v>3</v>
      </c>
      <c r="AF300" s="2">
        <v>1</v>
      </c>
      <c r="AG300">
        <v>0</v>
      </c>
      <c r="AH300">
        <v>0</v>
      </c>
      <c r="AI300">
        <v>0</v>
      </c>
      <c r="AJ300" s="2" t="str">
        <f>IF(A300 A300 &lt;= 25, "18-25", IF(A300 &lt;=35, "26-35", IF(A300 &lt;=45, "36-45", IF(Table3[[#This Row],[Age]] &lt;=55, "46-55", "56+"))))</f>
        <v>36-45</v>
      </c>
      <c r="AK300" t="str">
        <f t="shared" si="4"/>
        <v>Low</v>
      </c>
      <c r="AL300" s="2" t="str">
        <f>IF(AF300 &lt; 3, "0-2 Years", IF(AF300 &lt;= 5, "3-5 Years", IF(AF300 &lt;= 10, "6-10 Years",IF(Table3[[#This Row],[Years At Company]]&lt;=20, "11-20 Years","20+ Years"))))</f>
        <v>0-2 Years</v>
      </c>
    </row>
    <row r="301" spans="1:38" x14ac:dyDescent="0.25">
      <c r="A301" s="2">
        <v>51</v>
      </c>
      <c r="B301" t="s">
        <v>43</v>
      </c>
      <c r="C301" t="s">
        <v>36</v>
      </c>
      <c r="D301" s="2">
        <v>1302</v>
      </c>
      <c r="E301" t="s">
        <v>45</v>
      </c>
      <c r="F301" s="2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 s="2">
        <v>5482</v>
      </c>
      <c r="T301">
        <v>16321</v>
      </c>
      <c r="U301">
        <v>5</v>
      </c>
      <c r="V301" t="s">
        <v>42</v>
      </c>
      <c r="W301" t="s">
        <v>43</v>
      </c>
      <c r="X301" s="2">
        <v>18</v>
      </c>
      <c r="Y301">
        <v>3</v>
      </c>
      <c r="Z301">
        <v>4</v>
      </c>
      <c r="AA301">
        <v>80</v>
      </c>
      <c r="AB301">
        <v>1</v>
      </c>
      <c r="AC301" s="2">
        <v>13</v>
      </c>
      <c r="AD301">
        <v>3</v>
      </c>
      <c r="AE301">
        <v>3</v>
      </c>
      <c r="AF301" s="2">
        <v>4</v>
      </c>
      <c r="AG301">
        <v>1</v>
      </c>
      <c r="AH301">
        <v>1</v>
      </c>
      <c r="AI301">
        <v>2</v>
      </c>
      <c r="AJ301" s="2" t="str">
        <f>IF(A301 A301 &lt;= 25, "18-25", IF(A301 &lt;=35, "26-35", IF(A301 &lt;=45, "36-45", IF(Table3[[#This Row],[Age]] &lt;=55, "46-55", "56+"))))</f>
        <v>46-55</v>
      </c>
      <c r="AK301" t="str">
        <f t="shared" si="4"/>
        <v>Medium</v>
      </c>
      <c r="AL301" s="2" t="str">
        <f>IF(AF301 &lt; 3, "0-2 Years", IF(AF301 &lt;= 5, "3-5 Years", IF(AF301 &lt;= 10, "6-10 Years",IF(Table3[[#This Row],[Years At Company]]&lt;=20, "11-20 Years","20+ Years"))))</f>
        <v>3-5 Years</v>
      </c>
    </row>
    <row r="302" spans="1:38" x14ac:dyDescent="0.25">
      <c r="A302" s="2">
        <v>41</v>
      </c>
      <c r="B302" t="s">
        <v>43</v>
      </c>
      <c r="C302" t="s">
        <v>36</v>
      </c>
      <c r="D302" s="2">
        <v>334</v>
      </c>
      <c r="E302" t="s">
        <v>37</v>
      </c>
      <c r="F302" s="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 s="2">
        <v>16015</v>
      </c>
      <c r="T302">
        <v>15896</v>
      </c>
      <c r="U302">
        <v>1</v>
      </c>
      <c r="V302" t="s">
        <v>42</v>
      </c>
      <c r="W302" t="s">
        <v>43</v>
      </c>
      <c r="X302" s="2">
        <v>19</v>
      </c>
      <c r="Y302">
        <v>3</v>
      </c>
      <c r="Z302">
        <v>2</v>
      </c>
      <c r="AA302">
        <v>80</v>
      </c>
      <c r="AB302">
        <v>0</v>
      </c>
      <c r="AC302" s="2">
        <v>22</v>
      </c>
      <c r="AD302">
        <v>2</v>
      </c>
      <c r="AE302">
        <v>3</v>
      </c>
      <c r="AF302" s="2">
        <v>22</v>
      </c>
      <c r="AG302">
        <v>10</v>
      </c>
      <c r="AH302">
        <v>0</v>
      </c>
      <c r="AI302">
        <v>4</v>
      </c>
      <c r="AJ302" s="2" t="str">
        <f>IF(A302 A302 &lt;= 25, "18-25", IF(A302 &lt;=35, "26-35", IF(A302 &lt;=45, "36-45", IF(Table3[[#This Row],[Age]] &lt;=55, "46-55", "56+"))))</f>
        <v>36-45</v>
      </c>
      <c r="AK302" t="str">
        <f t="shared" si="4"/>
        <v>High</v>
      </c>
      <c r="AL302" s="2" t="str">
        <f>IF(AF302 &lt; 3, "0-2 Years", IF(AF302 &lt;= 5, "3-5 Years", IF(AF302 &lt;= 10, "6-10 Years",IF(Table3[[#This Row],[Years At Company]]&lt;=20, "11-20 Years","20+ Years"))))</f>
        <v>20+ Years</v>
      </c>
    </row>
    <row r="303" spans="1:38" x14ac:dyDescent="0.25">
      <c r="A303" s="2">
        <v>18</v>
      </c>
      <c r="B303" t="s">
        <v>43</v>
      </c>
      <c r="C303" t="s">
        <v>36</v>
      </c>
      <c r="D303" s="2">
        <v>812</v>
      </c>
      <c r="E303" t="s">
        <v>37</v>
      </c>
      <c r="F303" s="2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 s="2">
        <v>1200</v>
      </c>
      <c r="T303">
        <v>9724</v>
      </c>
      <c r="U303">
        <v>1</v>
      </c>
      <c r="V303" t="s">
        <v>42</v>
      </c>
      <c r="W303" t="s">
        <v>43</v>
      </c>
      <c r="X303" s="2">
        <v>12</v>
      </c>
      <c r="Y303">
        <v>3</v>
      </c>
      <c r="Z303">
        <v>1</v>
      </c>
      <c r="AA303">
        <v>80</v>
      </c>
      <c r="AB303">
        <v>0</v>
      </c>
      <c r="AC303" s="2">
        <v>0</v>
      </c>
      <c r="AD303">
        <v>2</v>
      </c>
      <c r="AE303">
        <v>3</v>
      </c>
      <c r="AF303" s="2">
        <v>0</v>
      </c>
      <c r="AG303">
        <v>0</v>
      </c>
      <c r="AH303">
        <v>0</v>
      </c>
      <c r="AI303">
        <v>0</v>
      </c>
      <c r="AJ303" s="2" t="str">
        <f>IF(A303 A303 &lt;= 25, "18-25", IF(A303 &lt;=35, "26-35", IF(A303 &lt;=45, "36-45", IF(Table3[[#This Row],[Age]] &lt;=55, "46-55", "56+"))))</f>
        <v>18-25</v>
      </c>
      <c r="AK303" t="str">
        <f t="shared" si="4"/>
        <v>Low</v>
      </c>
      <c r="AL303" s="2" t="str">
        <f>IF(AF303 &lt; 3, "0-2 Years", IF(AF303 &lt;= 5, "3-5 Years", IF(AF303 &lt;= 10, "6-10 Years",IF(Table3[[#This Row],[Years At Company]]&lt;=20, "11-20 Years","20+ Years"))))</f>
        <v>0-2 Years</v>
      </c>
    </row>
    <row r="304" spans="1:38" x14ac:dyDescent="0.25">
      <c r="A304" s="2">
        <v>28</v>
      </c>
      <c r="B304" t="s">
        <v>43</v>
      </c>
      <c r="C304" t="s">
        <v>36</v>
      </c>
      <c r="D304" s="2">
        <v>1476</v>
      </c>
      <c r="E304" t="s">
        <v>45</v>
      </c>
      <c r="F304" s="2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 s="2">
        <v>5661</v>
      </c>
      <c r="T304">
        <v>4824</v>
      </c>
      <c r="U304">
        <v>0</v>
      </c>
      <c r="V304" t="s">
        <v>42</v>
      </c>
      <c r="W304" t="s">
        <v>43</v>
      </c>
      <c r="X304" s="2">
        <v>19</v>
      </c>
      <c r="Y304">
        <v>3</v>
      </c>
      <c r="Z304">
        <v>3</v>
      </c>
      <c r="AA304">
        <v>80</v>
      </c>
      <c r="AB304">
        <v>0</v>
      </c>
      <c r="AC304" s="2">
        <v>9</v>
      </c>
      <c r="AD304">
        <v>2</v>
      </c>
      <c r="AE304">
        <v>3</v>
      </c>
      <c r="AF304" s="2">
        <v>8</v>
      </c>
      <c r="AG304">
        <v>3</v>
      </c>
      <c r="AH304">
        <v>0</v>
      </c>
      <c r="AI304">
        <v>7</v>
      </c>
      <c r="AJ304" s="2" t="str">
        <f>IF(A304 A304 &lt;= 25, "18-25", IF(A304 &lt;=35, "26-35", IF(A304 &lt;=45, "36-45", IF(Table3[[#This Row],[Age]] &lt;=55, "46-55", "56+"))))</f>
        <v>26-35</v>
      </c>
      <c r="AK304" t="str">
        <f t="shared" si="4"/>
        <v>Medium</v>
      </c>
      <c r="AL304" s="2" t="str">
        <f>IF(AF304 &lt; 3, "0-2 Years", IF(AF304 &lt;= 5, "3-5 Years", IF(AF304 &lt;= 10, "6-10 Years",IF(Table3[[#This Row],[Years At Company]]&lt;=20, "11-20 Years","20+ Years"))))</f>
        <v>6-10 Years</v>
      </c>
    </row>
    <row r="305" spans="1:38" x14ac:dyDescent="0.25">
      <c r="A305" s="2">
        <v>31</v>
      </c>
      <c r="B305" t="s">
        <v>43</v>
      </c>
      <c r="C305" t="s">
        <v>36</v>
      </c>
      <c r="D305" s="2">
        <v>218</v>
      </c>
      <c r="E305" t="s">
        <v>37</v>
      </c>
      <c r="F305" s="2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 s="2">
        <v>6929</v>
      </c>
      <c r="T305">
        <v>12241</v>
      </c>
      <c r="U305">
        <v>4</v>
      </c>
      <c r="V305" t="s">
        <v>42</v>
      </c>
      <c r="W305" t="s">
        <v>43</v>
      </c>
      <c r="X305" s="2">
        <v>11</v>
      </c>
      <c r="Y305">
        <v>3</v>
      </c>
      <c r="Z305">
        <v>2</v>
      </c>
      <c r="AA305">
        <v>80</v>
      </c>
      <c r="AB305">
        <v>1</v>
      </c>
      <c r="AC305" s="2">
        <v>10</v>
      </c>
      <c r="AD305">
        <v>3</v>
      </c>
      <c r="AE305">
        <v>2</v>
      </c>
      <c r="AF305" s="2">
        <v>8</v>
      </c>
      <c r="AG305">
        <v>7</v>
      </c>
      <c r="AH305">
        <v>7</v>
      </c>
      <c r="AI305">
        <v>7</v>
      </c>
      <c r="AJ305" s="2" t="str">
        <f>IF(A305 A305 &lt;= 25, "18-25", IF(A305 &lt;=35, "26-35", IF(A305 &lt;=45, "36-45", IF(Table3[[#This Row],[Age]] &lt;=55, "46-55", "56+"))))</f>
        <v>26-35</v>
      </c>
      <c r="AK305" t="str">
        <f t="shared" si="4"/>
        <v>Medium</v>
      </c>
      <c r="AL305" s="2" t="str">
        <f>IF(AF305 &lt; 3, "0-2 Years", IF(AF305 &lt;= 5, "3-5 Years", IF(AF305 &lt;= 10, "6-10 Years",IF(Table3[[#This Row],[Years At Company]]&lt;=20, "11-20 Years","20+ Years"))))</f>
        <v>6-10 Years</v>
      </c>
    </row>
    <row r="306" spans="1:38" x14ac:dyDescent="0.25">
      <c r="A306" s="2">
        <v>39</v>
      </c>
      <c r="B306" t="s">
        <v>43</v>
      </c>
      <c r="C306" t="s">
        <v>36</v>
      </c>
      <c r="D306" s="2">
        <v>1132</v>
      </c>
      <c r="E306" t="s">
        <v>45</v>
      </c>
      <c r="F306" s="2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 s="2">
        <v>9613</v>
      </c>
      <c r="T306">
        <v>10942</v>
      </c>
      <c r="U306">
        <v>0</v>
      </c>
      <c r="V306" t="s">
        <v>42</v>
      </c>
      <c r="W306" t="s">
        <v>43</v>
      </c>
      <c r="X306" s="2">
        <v>17</v>
      </c>
      <c r="Y306">
        <v>3</v>
      </c>
      <c r="Z306">
        <v>1</v>
      </c>
      <c r="AA306">
        <v>80</v>
      </c>
      <c r="AB306">
        <v>3</v>
      </c>
      <c r="AC306" s="2">
        <v>19</v>
      </c>
      <c r="AD306">
        <v>5</v>
      </c>
      <c r="AE306">
        <v>2</v>
      </c>
      <c r="AF306" s="2">
        <v>18</v>
      </c>
      <c r="AG306">
        <v>10</v>
      </c>
      <c r="AH306">
        <v>3</v>
      </c>
      <c r="AI306">
        <v>7</v>
      </c>
      <c r="AJ306" s="2" t="str">
        <f>IF(A306 A306 &lt;= 25, "18-25", IF(A306 &lt;=35, "26-35", IF(A306 &lt;=45, "36-45", IF(Table3[[#This Row],[Age]] &lt;=55, "46-55", "56+"))))</f>
        <v>36-45</v>
      </c>
      <c r="AK306" t="str">
        <f t="shared" si="4"/>
        <v>Medium</v>
      </c>
      <c r="AL306" s="2" t="str">
        <f>IF(AF306 &lt; 3, "0-2 Years", IF(AF306 &lt;= 5, "3-5 Years", IF(AF306 &lt;= 10, "6-10 Years",IF(Table3[[#This Row],[Years At Company]]&lt;=20, "11-20 Years","20+ Years"))))</f>
        <v>11-20 Years</v>
      </c>
    </row>
    <row r="307" spans="1:38" x14ac:dyDescent="0.25">
      <c r="A307" s="2">
        <v>36</v>
      </c>
      <c r="B307" t="s">
        <v>43</v>
      </c>
      <c r="C307" t="s">
        <v>55</v>
      </c>
      <c r="D307" s="2">
        <v>1105</v>
      </c>
      <c r="E307" t="s">
        <v>45</v>
      </c>
      <c r="F307" s="2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 s="2">
        <v>5674</v>
      </c>
      <c r="T307">
        <v>6927</v>
      </c>
      <c r="U307">
        <v>7</v>
      </c>
      <c r="V307" t="s">
        <v>42</v>
      </c>
      <c r="W307" t="s">
        <v>43</v>
      </c>
      <c r="X307" s="2">
        <v>15</v>
      </c>
      <c r="Y307">
        <v>3</v>
      </c>
      <c r="Z307">
        <v>3</v>
      </c>
      <c r="AA307">
        <v>80</v>
      </c>
      <c r="AB307">
        <v>1</v>
      </c>
      <c r="AC307" s="2">
        <v>11</v>
      </c>
      <c r="AD307">
        <v>3</v>
      </c>
      <c r="AE307">
        <v>3</v>
      </c>
      <c r="AF307" s="2">
        <v>9</v>
      </c>
      <c r="AG307">
        <v>8</v>
      </c>
      <c r="AH307">
        <v>0</v>
      </c>
      <c r="AI307">
        <v>8</v>
      </c>
      <c r="AJ307" s="2" t="str">
        <f>IF(A307 A307 &lt;= 25, "18-25", IF(A307 &lt;=35, "26-35", IF(A307 &lt;=45, "36-45", IF(Table3[[#This Row],[Age]] &lt;=55, "46-55", "56+"))))</f>
        <v>36-45</v>
      </c>
      <c r="AK307" t="str">
        <f t="shared" si="4"/>
        <v>Medium</v>
      </c>
      <c r="AL307" s="2" t="str">
        <f>IF(AF307 &lt; 3, "0-2 Years", IF(AF307 &lt;= 5, "3-5 Years", IF(AF307 &lt;= 10, "6-10 Years",IF(Table3[[#This Row],[Years At Company]]&lt;=20, "11-20 Years","20+ Years"))))</f>
        <v>6-10 Years</v>
      </c>
    </row>
    <row r="308" spans="1:38" x14ac:dyDescent="0.25">
      <c r="A308" s="2">
        <v>32</v>
      </c>
      <c r="B308" t="s">
        <v>43</v>
      </c>
      <c r="C308" t="s">
        <v>36</v>
      </c>
      <c r="D308" s="2">
        <v>906</v>
      </c>
      <c r="E308" t="s">
        <v>37</v>
      </c>
      <c r="F308" s="2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 s="2">
        <v>5484</v>
      </c>
      <c r="T308">
        <v>16985</v>
      </c>
      <c r="U308">
        <v>1</v>
      </c>
      <c r="V308" t="s">
        <v>42</v>
      </c>
      <c r="W308" t="s">
        <v>43</v>
      </c>
      <c r="X308" s="2">
        <v>14</v>
      </c>
      <c r="Y308">
        <v>3</v>
      </c>
      <c r="Z308">
        <v>3</v>
      </c>
      <c r="AA308">
        <v>80</v>
      </c>
      <c r="AB308">
        <v>1</v>
      </c>
      <c r="AC308" s="2">
        <v>13</v>
      </c>
      <c r="AD308">
        <v>3</v>
      </c>
      <c r="AE308">
        <v>2</v>
      </c>
      <c r="AF308" s="2">
        <v>13</v>
      </c>
      <c r="AG308">
        <v>8</v>
      </c>
      <c r="AH308">
        <v>4</v>
      </c>
      <c r="AI308">
        <v>8</v>
      </c>
      <c r="AJ308" s="2" t="str">
        <f>IF(A308 A308 &lt;= 25, "18-25", IF(A308 &lt;=35, "26-35", IF(A308 &lt;=45, "36-45", IF(Table3[[#This Row],[Age]] &lt;=55, "46-55", "56+"))))</f>
        <v>26-35</v>
      </c>
      <c r="AK308" t="str">
        <f t="shared" si="4"/>
        <v>Medium</v>
      </c>
      <c r="AL308" s="2" t="str">
        <f>IF(AF308 &lt; 3, "0-2 Years", IF(AF308 &lt;= 5, "3-5 Years", IF(AF308 &lt;= 10, "6-10 Years",IF(Table3[[#This Row],[Years At Company]]&lt;=20, "11-20 Years","20+ Years"))))</f>
        <v>11-20 Years</v>
      </c>
    </row>
    <row r="309" spans="1:38" x14ac:dyDescent="0.25">
      <c r="A309" s="2">
        <v>38</v>
      </c>
      <c r="B309" t="s">
        <v>43</v>
      </c>
      <c r="C309" t="s">
        <v>36</v>
      </c>
      <c r="D309" s="2">
        <v>849</v>
      </c>
      <c r="E309" t="s">
        <v>45</v>
      </c>
      <c r="F309" s="2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 s="2">
        <v>12061</v>
      </c>
      <c r="T309">
        <v>26707</v>
      </c>
      <c r="U309">
        <v>3</v>
      </c>
      <c r="V309" t="s">
        <v>42</v>
      </c>
      <c r="W309" t="s">
        <v>43</v>
      </c>
      <c r="X309" s="2">
        <v>17</v>
      </c>
      <c r="Y309">
        <v>3</v>
      </c>
      <c r="Z309">
        <v>3</v>
      </c>
      <c r="AA309">
        <v>80</v>
      </c>
      <c r="AB309">
        <v>1</v>
      </c>
      <c r="AC309" s="2">
        <v>19</v>
      </c>
      <c r="AD309">
        <v>2</v>
      </c>
      <c r="AE309">
        <v>3</v>
      </c>
      <c r="AF309" s="2">
        <v>10</v>
      </c>
      <c r="AG309">
        <v>8</v>
      </c>
      <c r="AH309">
        <v>0</v>
      </c>
      <c r="AI309">
        <v>1</v>
      </c>
      <c r="AJ309" s="2" t="str">
        <f>IF(A309 A309 &lt;= 25, "18-25", IF(A309 &lt;=35, "26-35", IF(A309 &lt;=45, "36-45", IF(Table3[[#This Row],[Age]] &lt;=55, "46-55", "56+"))))</f>
        <v>36-45</v>
      </c>
      <c r="AK309" t="str">
        <f t="shared" si="4"/>
        <v>High</v>
      </c>
      <c r="AL309" s="2" t="str">
        <f>IF(AF309 &lt; 3, "0-2 Years", IF(AF309 &lt;= 5, "3-5 Years", IF(AF309 &lt;= 10, "6-10 Years",IF(Table3[[#This Row],[Years At Company]]&lt;=20, "11-20 Years","20+ Years"))))</f>
        <v>6-10 Years</v>
      </c>
    </row>
    <row r="310" spans="1:38" x14ac:dyDescent="0.25">
      <c r="A310" s="2">
        <v>58</v>
      </c>
      <c r="B310" t="s">
        <v>43</v>
      </c>
      <c r="C310" t="s">
        <v>55</v>
      </c>
      <c r="D310" s="2">
        <v>390</v>
      </c>
      <c r="E310" t="s">
        <v>45</v>
      </c>
      <c r="F310" s="2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 s="2">
        <v>5660</v>
      </c>
      <c r="T310">
        <v>17056</v>
      </c>
      <c r="U310">
        <v>2</v>
      </c>
      <c r="V310" t="s">
        <v>42</v>
      </c>
      <c r="W310" t="s">
        <v>35</v>
      </c>
      <c r="X310" s="2">
        <v>13</v>
      </c>
      <c r="Y310">
        <v>3</v>
      </c>
      <c r="Z310">
        <v>4</v>
      </c>
      <c r="AA310">
        <v>80</v>
      </c>
      <c r="AB310">
        <v>1</v>
      </c>
      <c r="AC310" s="2">
        <v>12</v>
      </c>
      <c r="AD310">
        <v>2</v>
      </c>
      <c r="AE310">
        <v>3</v>
      </c>
      <c r="AF310" s="2">
        <v>5</v>
      </c>
      <c r="AG310">
        <v>3</v>
      </c>
      <c r="AH310">
        <v>1</v>
      </c>
      <c r="AI310">
        <v>2</v>
      </c>
      <c r="AJ310" s="2" t="str">
        <f>IF(A310 A310 &lt;= 25, "18-25", IF(A310 &lt;=35, "26-35", IF(A310 &lt;=45, "36-45", IF(Table3[[#This Row],[Age]] &lt;=55, "46-55", "56+"))))</f>
        <v>56+</v>
      </c>
      <c r="AK310" t="str">
        <f t="shared" si="4"/>
        <v>Medium</v>
      </c>
      <c r="AL310" s="2" t="str">
        <f>IF(AF310 &lt; 3, "0-2 Years", IF(AF310 &lt;= 5, "3-5 Years", IF(AF310 &lt;= 10, "6-10 Years",IF(Table3[[#This Row],[Years At Company]]&lt;=20, "11-20 Years","20+ Years"))))</f>
        <v>3-5 Years</v>
      </c>
    </row>
    <row r="311" spans="1:38" x14ac:dyDescent="0.25">
      <c r="A311" s="2">
        <v>31</v>
      </c>
      <c r="B311" t="s">
        <v>43</v>
      </c>
      <c r="C311" t="s">
        <v>36</v>
      </c>
      <c r="D311" s="2">
        <v>691</v>
      </c>
      <c r="E311" t="s">
        <v>45</v>
      </c>
      <c r="F311" s="2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 s="2">
        <v>4821</v>
      </c>
      <c r="T311">
        <v>10077</v>
      </c>
      <c r="U311">
        <v>0</v>
      </c>
      <c r="V311" t="s">
        <v>42</v>
      </c>
      <c r="W311" t="s">
        <v>35</v>
      </c>
      <c r="X311" s="2">
        <v>12</v>
      </c>
      <c r="Y311">
        <v>3</v>
      </c>
      <c r="Z311">
        <v>3</v>
      </c>
      <c r="AA311">
        <v>80</v>
      </c>
      <c r="AB311">
        <v>1</v>
      </c>
      <c r="AC311" s="2">
        <v>6</v>
      </c>
      <c r="AD311">
        <v>4</v>
      </c>
      <c r="AE311">
        <v>3</v>
      </c>
      <c r="AF311" s="2">
        <v>5</v>
      </c>
      <c r="AG311">
        <v>2</v>
      </c>
      <c r="AH311">
        <v>0</v>
      </c>
      <c r="AI311">
        <v>3</v>
      </c>
      <c r="AJ311" s="2" t="str">
        <f>IF(A311 A311 &lt;= 25, "18-25", IF(A311 &lt;=35, "26-35", IF(A311 &lt;=45, "36-45", IF(Table3[[#This Row],[Age]] &lt;=55, "46-55", "56+"))))</f>
        <v>26-35</v>
      </c>
      <c r="AK311" t="str">
        <f t="shared" si="4"/>
        <v>Low</v>
      </c>
      <c r="AL311" s="2" t="str">
        <f>IF(AF311 &lt; 3, "0-2 Years", IF(AF311 &lt;= 5, "3-5 Years", IF(AF311 &lt;= 10, "6-10 Years",IF(Table3[[#This Row],[Years At Company]]&lt;=20, "11-20 Years","20+ Years"))))</f>
        <v>3-5 Years</v>
      </c>
    </row>
    <row r="312" spans="1:38" x14ac:dyDescent="0.25">
      <c r="A312" s="2">
        <v>31</v>
      </c>
      <c r="B312" t="s">
        <v>43</v>
      </c>
      <c r="C312" t="s">
        <v>36</v>
      </c>
      <c r="D312" s="2">
        <v>106</v>
      </c>
      <c r="E312" t="s">
        <v>61</v>
      </c>
      <c r="F312" s="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 s="2">
        <v>6410</v>
      </c>
      <c r="T312">
        <v>17822</v>
      </c>
      <c r="U312">
        <v>3</v>
      </c>
      <c r="V312" t="s">
        <v>42</v>
      </c>
      <c r="W312" t="s">
        <v>43</v>
      </c>
      <c r="X312" s="2">
        <v>12</v>
      </c>
      <c r="Y312">
        <v>3</v>
      </c>
      <c r="Z312">
        <v>4</v>
      </c>
      <c r="AA312">
        <v>80</v>
      </c>
      <c r="AB312">
        <v>0</v>
      </c>
      <c r="AC312" s="2">
        <v>9</v>
      </c>
      <c r="AD312">
        <v>1</v>
      </c>
      <c r="AE312">
        <v>3</v>
      </c>
      <c r="AF312" s="2">
        <v>2</v>
      </c>
      <c r="AG312">
        <v>2</v>
      </c>
      <c r="AH312">
        <v>1</v>
      </c>
      <c r="AI312">
        <v>0</v>
      </c>
      <c r="AJ312" s="2" t="str">
        <f>IF(A312 A312 &lt;= 25, "18-25", IF(A312 &lt;=35, "26-35", IF(A312 &lt;=45, "36-45", IF(Table3[[#This Row],[Age]] &lt;=55, "46-55", "56+"))))</f>
        <v>26-35</v>
      </c>
      <c r="AK312" t="str">
        <f t="shared" si="4"/>
        <v>Medium</v>
      </c>
      <c r="AL312" s="2" t="str">
        <f>IF(AF312 &lt; 3, "0-2 Years", IF(AF312 &lt;= 5, "3-5 Years", IF(AF312 &lt;= 10, "6-10 Years",IF(Table3[[#This Row],[Years At Company]]&lt;=20, "11-20 Years","20+ Years"))))</f>
        <v>0-2 Years</v>
      </c>
    </row>
    <row r="313" spans="1:38" x14ac:dyDescent="0.25">
      <c r="A313" s="2">
        <v>45</v>
      </c>
      <c r="B313" t="s">
        <v>43</v>
      </c>
      <c r="C313" t="s">
        <v>44</v>
      </c>
      <c r="D313" s="2">
        <v>1249</v>
      </c>
      <c r="E313" t="s">
        <v>45</v>
      </c>
      <c r="F313" s="2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 s="2">
        <v>5210</v>
      </c>
      <c r="T313">
        <v>20308</v>
      </c>
      <c r="U313">
        <v>1</v>
      </c>
      <c r="V313" t="s">
        <v>42</v>
      </c>
      <c r="W313" t="s">
        <v>43</v>
      </c>
      <c r="X313" s="2">
        <v>18</v>
      </c>
      <c r="Y313">
        <v>3</v>
      </c>
      <c r="Z313">
        <v>1</v>
      </c>
      <c r="AA313">
        <v>80</v>
      </c>
      <c r="AB313">
        <v>1</v>
      </c>
      <c r="AC313" s="2">
        <v>24</v>
      </c>
      <c r="AD313">
        <v>2</v>
      </c>
      <c r="AE313">
        <v>3</v>
      </c>
      <c r="AF313" s="2">
        <v>24</v>
      </c>
      <c r="AG313">
        <v>9</v>
      </c>
      <c r="AH313">
        <v>9</v>
      </c>
      <c r="AI313">
        <v>11</v>
      </c>
      <c r="AJ313" s="2" t="str">
        <f>IF(A313 A313 &lt;= 25, "18-25", IF(A313 &lt;=35, "26-35", IF(A313 &lt;=45, "36-45", IF(Table3[[#This Row],[Age]] &lt;=55, "46-55", "56+"))))</f>
        <v>36-45</v>
      </c>
      <c r="AK313" t="str">
        <f t="shared" si="4"/>
        <v>Medium</v>
      </c>
      <c r="AL313" s="2" t="str">
        <f>IF(AF313 &lt; 3, "0-2 Years", IF(AF313 &lt;= 5, "3-5 Years", IF(AF313 &lt;= 10, "6-10 Years",IF(Table3[[#This Row],[Years At Company]]&lt;=20, "11-20 Years","20+ Years"))))</f>
        <v>20+ Years</v>
      </c>
    </row>
    <row r="314" spans="1:38" x14ac:dyDescent="0.25">
      <c r="A314" s="2">
        <v>31</v>
      </c>
      <c r="B314" t="s">
        <v>43</v>
      </c>
      <c r="C314" t="s">
        <v>36</v>
      </c>
      <c r="D314" s="2">
        <v>192</v>
      </c>
      <c r="E314" t="s">
        <v>45</v>
      </c>
      <c r="F314" s="2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 s="2">
        <v>2695</v>
      </c>
      <c r="T314">
        <v>7747</v>
      </c>
      <c r="U314">
        <v>0</v>
      </c>
      <c r="V314" t="s">
        <v>42</v>
      </c>
      <c r="W314" t="s">
        <v>35</v>
      </c>
      <c r="X314" s="2">
        <v>18</v>
      </c>
      <c r="Y314">
        <v>3</v>
      </c>
      <c r="Z314">
        <v>2</v>
      </c>
      <c r="AA314">
        <v>80</v>
      </c>
      <c r="AB314">
        <v>1</v>
      </c>
      <c r="AC314" s="2">
        <v>3</v>
      </c>
      <c r="AD314">
        <v>2</v>
      </c>
      <c r="AE314">
        <v>1</v>
      </c>
      <c r="AF314" s="2">
        <v>2</v>
      </c>
      <c r="AG314">
        <v>2</v>
      </c>
      <c r="AH314">
        <v>2</v>
      </c>
      <c r="AI314">
        <v>2</v>
      </c>
      <c r="AJ314" s="2" t="str">
        <f>IF(A314 A314 &lt;= 25, "18-25", IF(A314 &lt;=35, "26-35", IF(A314 &lt;=45, "36-45", IF(Table3[[#This Row],[Age]] &lt;=55, "46-55", "56+"))))</f>
        <v>26-35</v>
      </c>
      <c r="AK314" t="str">
        <f t="shared" si="4"/>
        <v>Low</v>
      </c>
      <c r="AL314" s="2" t="str">
        <f>IF(AF314 &lt; 3, "0-2 Years", IF(AF314 &lt;= 5, "3-5 Years", IF(AF314 &lt;= 10, "6-10 Years",IF(Table3[[#This Row],[Years At Company]]&lt;=20, "11-20 Years","20+ Years"))))</f>
        <v>0-2 Years</v>
      </c>
    </row>
    <row r="315" spans="1:38" x14ac:dyDescent="0.25">
      <c r="A315" s="2">
        <v>33</v>
      </c>
      <c r="B315" t="s">
        <v>43</v>
      </c>
      <c r="C315" t="s">
        <v>44</v>
      </c>
      <c r="D315" s="2">
        <v>553</v>
      </c>
      <c r="E315" t="s">
        <v>45</v>
      </c>
      <c r="F315" s="2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 s="2">
        <v>11878</v>
      </c>
      <c r="T315">
        <v>23364</v>
      </c>
      <c r="U315">
        <v>6</v>
      </c>
      <c r="V315" t="s">
        <v>42</v>
      </c>
      <c r="W315" t="s">
        <v>43</v>
      </c>
      <c r="X315" s="2">
        <v>11</v>
      </c>
      <c r="Y315">
        <v>3</v>
      </c>
      <c r="Z315">
        <v>2</v>
      </c>
      <c r="AA315">
        <v>80</v>
      </c>
      <c r="AB315">
        <v>2</v>
      </c>
      <c r="AC315" s="2">
        <v>12</v>
      </c>
      <c r="AD315">
        <v>2</v>
      </c>
      <c r="AE315">
        <v>3</v>
      </c>
      <c r="AF315" s="2">
        <v>10</v>
      </c>
      <c r="AG315">
        <v>6</v>
      </c>
      <c r="AH315">
        <v>8</v>
      </c>
      <c r="AI315">
        <v>8</v>
      </c>
      <c r="AJ315" s="2" t="str">
        <f>IF(A315 A315 &lt;= 25, "18-25", IF(A315 &lt;=35, "26-35", IF(A315 &lt;=45, "36-45", IF(Table3[[#This Row],[Age]] &lt;=55, "46-55", "56+"))))</f>
        <v>26-35</v>
      </c>
      <c r="AK315" t="str">
        <f t="shared" si="4"/>
        <v>High</v>
      </c>
      <c r="AL315" s="2" t="str">
        <f>IF(AF315 &lt; 3, "0-2 Years", IF(AF315 &lt;= 5, "3-5 Years", IF(AF315 &lt;= 10, "6-10 Years",IF(Table3[[#This Row],[Years At Company]]&lt;=20, "11-20 Years","20+ Years"))))</f>
        <v>6-10 Years</v>
      </c>
    </row>
    <row r="316" spans="1:38" x14ac:dyDescent="0.25">
      <c r="A316" s="2">
        <v>39</v>
      </c>
      <c r="B316" t="s">
        <v>43</v>
      </c>
      <c r="C316" t="s">
        <v>36</v>
      </c>
      <c r="D316" s="2">
        <v>117</v>
      </c>
      <c r="E316" t="s">
        <v>45</v>
      </c>
      <c r="F316" s="2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 s="2">
        <v>17068</v>
      </c>
      <c r="T316">
        <v>5355</v>
      </c>
      <c r="U316">
        <v>1</v>
      </c>
      <c r="V316" t="s">
        <v>42</v>
      </c>
      <c r="W316" t="s">
        <v>35</v>
      </c>
      <c r="X316" s="2">
        <v>14</v>
      </c>
      <c r="Y316">
        <v>3</v>
      </c>
      <c r="Z316">
        <v>4</v>
      </c>
      <c r="AA316">
        <v>80</v>
      </c>
      <c r="AB316">
        <v>0</v>
      </c>
      <c r="AC316" s="2">
        <v>21</v>
      </c>
      <c r="AD316">
        <v>3</v>
      </c>
      <c r="AE316">
        <v>3</v>
      </c>
      <c r="AF316" s="2">
        <v>21</v>
      </c>
      <c r="AG316">
        <v>9</v>
      </c>
      <c r="AH316">
        <v>11</v>
      </c>
      <c r="AI316">
        <v>10</v>
      </c>
      <c r="AJ316" s="2" t="str">
        <f>IF(A316 A316 &lt;= 25, "18-25", IF(A316 &lt;=35, "26-35", IF(A316 &lt;=45, "36-45", IF(Table3[[#This Row],[Age]] &lt;=55, "46-55", "56+"))))</f>
        <v>36-45</v>
      </c>
      <c r="AK316" t="str">
        <f t="shared" si="4"/>
        <v>High</v>
      </c>
      <c r="AL316" s="2" t="str">
        <f>IF(AF316 &lt; 3, "0-2 Years", IF(AF316 &lt;= 5, "3-5 Years", IF(AF316 &lt;= 10, "6-10 Years",IF(Table3[[#This Row],[Years At Company]]&lt;=20, "11-20 Years","20+ Years"))))</f>
        <v>20+ Years</v>
      </c>
    </row>
    <row r="317" spans="1:38" x14ac:dyDescent="0.25">
      <c r="A317" s="2">
        <v>43</v>
      </c>
      <c r="B317" t="s">
        <v>43</v>
      </c>
      <c r="C317" t="s">
        <v>44</v>
      </c>
      <c r="D317" s="2">
        <v>185</v>
      </c>
      <c r="E317" t="s">
        <v>45</v>
      </c>
      <c r="F317" s="2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 s="2">
        <v>2455</v>
      </c>
      <c r="T317">
        <v>10675</v>
      </c>
      <c r="U317">
        <v>0</v>
      </c>
      <c r="V317" t="s">
        <v>42</v>
      </c>
      <c r="W317" t="s">
        <v>43</v>
      </c>
      <c r="X317" s="2">
        <v>19</v>
      </c>
      <c r="Y317">
        <v>3</v>
      </c>
      <c r="Z317">
        <v>1</v>
      </c>
      <c r="AA317">
        <v>80</v>
      </c>
      <c r="AB317">
        <v>0</v>
      </c>
      <c r="AC317" s="2">
        <v>9</v>
      </c>
      <c r="AD317">
        <v>5</v>
      </c>
      <c r="AE317">
        <v>3</v>
      </c>
      <c r="AF317" s="2">
        <v>8</v>
      </c>
      <c r="AG317">
        <v>7</v>
      </c>
      <c r="AH317">
        <v>1</v>
      </c>
      <c r="AI317">
        <v>7</v>
      </c>
      <c r="AJ317" s="2" t="str">
        <f>IF(A317 A317 &lt;= 25, "18-25", IF(A317 &lt;=35, "26-35", IF(A317 &lt;=45, "36-45", IF(Table3[[#This Row],[Age]] &lt;=55, "46-55", "56+"))))</f>
        <v>36-45</v>
      </c>
      <c r="AK317" t="str">
        <f t="shared" si="4"/>
        <v>Low</v>
      </c>
      <c r="AL317" s="2" t="str">
        <f>IF(AF317 &lt; 3, "0-2 Years", IF(AF317 &lt;= 5, "3-5 Years", IF(AF317 &lt;= 10, "6-10 Years",IF(Table3[[#This Row],[Years At Company]]&lt;=20, "11-20 Years","20+ Years"))))</f>
        <v>6-10 Years</v>
      </c>
    </row>
    <row r="318" spans="1:38" x14ac:dyDescent="0.25">
      <c r="A318" s="2">
        <v>49</v>
      </c>
      <c r="B318" t="s">
        <v>43</v>
      </c>
      <c r="C318" t="s">
        <v>36</v>
      </c>
      <c r="D318" s="2">
        <v>1091</v>
      </c>
      <c r="E318" t="s">
        <v>45</v>
      </c>
      <c r="F318" s="2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 s="2">
        <v>13964</v>
      </c>
      <c r="T318">
        <v>17810</v>
      </c>
      <c r="U318">
        <v>7</v>
      </c>
      <c r="V318" t="s">
        <v>42</v>
      </c>
      <c r="W318" t="s">
        <v>35</v>
      </c>
      <c r="X318" s="2">
        <v>12</v>
      </c>
      <c r="Y318">
        <v>3</v>
      </c>
      <c r="Z318">
        <v>4</v>
      </c>
      <c r="AA318">
        <v>80</v>
      </c>
      <c r="AB318">
        <v>0</v>
      </c>
      <c r="AC318" s="2">
        <v>25</v>
      </c>
      <c r="AD318">
        <v>2</v>
      </c>
      <c r="AE318">
        <v>3</v>
      </c>
      <c r="AF318" s="2">
        <v>7</v>
      </c>
      <c r="AG318">
        <v>1</v>
      </c>
      <c r="AH318">
        <v>0</v>
      </c>
      <c r="AI318">
        <v>7</v>
      </c>
      <c r="AJ318" s="2" t="str">
        <f>IF(A318 A318 &lt;= 25, "18-25", IF(A318 &lt;=35, "26-35", IF(A318 &lt;=45, "36-45", IF(Table3[[#This Row],[Age]] &lt;=55, "46-55", "56+"))))</f>
        <v>46-55</v>
      </c>
      <c r="AK318" t="str">
        <f t="shared" si="4"/>
        <v>High</v>
      </c>
      <c r="AL318" s="2" t="str">
        <f>IF(AF318 &lt; 3, "0-2 Years", IF(AF318 &lt;= 5, "3-5 Years", IF(AF318 &lt;= 10, "6-10 Years",IF(Table3[[#This Row],[Years At Company]]&lt;=20, "11-20 Years","20+ Years"))))</f>
        <v>6-10 Years</v>
      </c>
    </row>
    <row r="319" spans="1:38" x14ac:dyDescent="0.25">
      <c r="A319" s="2">
        <v>52</v>
      </c>
      <c r="B319" t="s">
        <v>35</v>
      </c>
      <c r="C319" t="s">
        <v>36</v>
      </c>
      <c r="D319" s="2">
        <v>723</v>
      </c>
      <c r="E319" t="s">
        <v>45</v>
      </c>
      <c r="F319" s="2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 s="2">
        <v>4941</v>
      </c>
      <c r="T319">
        <v>17747</v>
      </c>
      <c r="U319">
        <v>2</v>
      </c>
      <c r="V319" t="s">
        <v>42</v>
      </c>
      <c r="W319" t="s">
        <v>43</v>
      </c>
      <c r="X319" s="2">
        <v>15</v>
      </c>
      <c r="Y319">
        <v>3</v>
      </c>
      <c r="Z319">
        <v>1</v>
      </c>
      <c r="AA319">
        <v>80</v>
      </c>
      <c r="AB319">
        <v>0</v>
      </c>
      <c r="AC319" s="2">
        <v>11</v>
      </c>
      <c r="AD319">
        <v>3</v>
      </c>
      <c r="AE319">
        <v>2</v>
      </c>
      <c r="AF319" s="2">
        <v>8</v>
      </c>
      <c r="AG319">
        <v>2</v>
      </c>
      <c r="AH319">
        <v>7</v>
      </c>
      <c r="AI319">
        <v>7</v>
      </c>
      <c r="AJ319" s="2" t="str">
        <f>IF(A319 A319 &lt;= 25, "18-25", IF(A319 &lt;=35, "26-35", IF(A319 &lt;=45, "36-45", IF(Table3[[#This Row],[Age]] &lt;=55, "46-55", "56+"))))</f>
        <v>46-55</v>
      </c>
      <c r="AK319" t="str">
        <f t="shared" si="4"/>
        <v>Low</v>
      </c>
      <c r="AL319" s="2" t="str">
        <f>IF(AF319 &lt; 3, "0-2 Years", IF(AF319 &lt;= 5, "3-5 Years", IF(AF319 &lt;= 10, "6-10 Years",IF(Table3[[#This Row],[Years At Company]]&lt;=20, "11-20 Years","20+ Years"))))</f>
        <v>6-10 Years</v>
      </c>
    </row>
    <row r="320" spans="1:38" x14ac:dyDescent="0.25">
      <c r="A320" s="2">
        <v>27</v>
      </c>
      <c r="B320" t="s">
        <v>43</v>
      </c>
      <c r="C320" t="s">
        <v>36</v>
      </c>
      <c r="D320" s="2">
        <v>1220</v>
      </c>
      <c r="E320" t="s">
        <v>45</v>
      </c>
      <c r="F320" s="2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 s="2">
        <v>2478</v>
      </c>
      <c r="T320">
        <v>20938</v>
      </c>
      <c r="U320">
        <v>1</v>
      </c>
      <c r="V320" t="s">
        <v>42</v>
      </c>
      <c r="W320" t="s">
        <v>35</v>
      </c>
      <c r="X320" s="2">
        <v>12</v>
      </c>
      <c r="Y320">
        <v>3</v>
      </c>
      <c r="Z320">
        <v>2</v>
      </c>
      <c r="AA320">
        <v>80</v>
      </c>
      <c r="AB320">
        <v>0</v>
      </c>
      <c r="AC320" s="2">
        <v>4</v>
      </c>
      <c r="AD320">
        <v>2</v>
      </c>
      <c r="AE320">
        <v>2</v>
      </c>
      <c r="AF320" s="2">
        <v>4</v>
      </c>
      <c r="AG320">
        <v>3</v>
      </c>
      <c r="AH320">
        <v>1</v>
      </c>
      <c r="AI320">
        <v>2</v>
      </c>
      <c r="AJ320" s="2" t="str">
        <f>IF(A320 A320 &lt;= 25, "18-25", IF(A320 &lt;=35, "26-35", IF(A320 &lt;=45, "36-45", IF(Table3[[#This Row],[Age]] &lt;=55, "46-55", "56+"))))</f>
        <v>26-35</v>
      </c>
      <c r="AK320" t="str">
        <f t="shared" si="4"/>
        <v>Low</v>
      </c>
      <c r="AL320" s="2" t="str">
        <f>IF(AF320 &lt; 3, "0-2 Years", IF(AF320 &lt;= 5, "3-5 Years", IF(AF320 &lt;= 10, "6-10 Years",IF(Table3[[#This Row],[Years At Company]]&lt;=20, "11-20 Years","20+ Years"))))</f>
        <v>3-5 Years</v>
      </c>
    </row>
    <row r="321" spans="1:38" x14ac:dyDescent="0.25">
      <c r="A321" s="2">
        <v>32</v>
      </c>
      <c r="B321" t="s">
        <v>43</v>
      </c>
      <c r="C321" t="s">
        <v>36</v>
      </c>
      <c r="D321" s="2">
        <v>588</v>
      </c>
      <c r="E321" t="s">
        <v>37</v>
      </c>
      <c r="F321" s="2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 s="2">
        <v>5228</v>
      </c>
      <c r="T321">
        <v>24624</v>
      </c>
      <c r="U321">
        <v>1</v>
      </c>
      <c r="V321" t="s">
        <v>42</v>
      </c>
      <c r="W321" t="s">
        <v>35</v>
      </c>
      <c r="X321" s="2">
        <v>11</v>
      </c>
      <c r="Y321">
        <v>3</v>
      </c>
      <c r="Z321">
        <v>4</v>
      </c>
      <c r="AA321">
        <v>80</v>
      </c>
      <c r="AB321">
        <v>0</v>
      </c>
      <c r="AC321" s="2">
        <v>13</v>
      </c>
      <c r="AD321">
        <v>2</v>
      </c>
      <c r="AE321">
        <v>3</v>
      </c>
      <c r="AF321" s="2">
        <v>13</v>
      </c>
      <c r="AG321">
        <v>12</v>
      </c>
      <c r="AH321">
        <v>11</v>
      </c>
      <c r="AI321">
        <v>9</v>
      </c>
      <c r="AJ321" s="2" t="str">
        <f>IF(A321 A321 &lt;= 25, "18-25", IF(A321 &lt;=35, "26-35", IF(A321 &lt;=45, "36-45", IF(Table3[[#This Row],[Age]] &lt;=55, "46-55", "56+"))))</f>
        <v>26-35</v>
      </c>
      <c r="AK321" t="str">
        <f t="shared" si="4"/>
        <v>Medium</v>
      </c>
      <c r="AL321" s="2" t="str">
        <f>IF(AF321 &lt; 3, "0-2 Years", IF(AF321 &lt;= 5, "3-5 Years", IF(AF321 &lt;= 10, "6-10 Years",IF(Table3[[#This Row],[Years At Company]]&lt;=20, "11-20 Years","20+ Years"))))</f>
        <v>11-20 Years</v>
      </c>
    </row>
    <row r="322" spans="1:38" x14ac:dyDescent="0.25">
      <c r="A322" s="2">
        <v>27</v>
      </c>
      <c r="B322" t="s">
        <v>43</v>
      </c>
      <c r="C322" t="s">
        <v>36</v>
      </c>
      <c r="D322" s="2">
        <v>1377</v>
      </c>
      <c r="E322" t="s">
        <v>37</v>
      </c>
      <c r="F322" s="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 s="2">
        <v>4478</v>
      </c>
      <c r="T322">
        <v>5242</v>
      </c>
      <c r="U322">
        <v>1</v>
      </c>
      <c r="V322" t="s">
        <v>42</v>
      </c>
      <c r="W322" t="s">
        <v>35</v>
      </c>
      <c r="X322" s="2">
        <v>11</v>
      </c>
      <c r="Y322">
        <v>3</v>
      </c>
      <c r="Z322">
        <v>1</v>
      </c>
      <c r="AA322">
        <v>80</v>
      </c>
      <c r="AB322">
        <v>0</v>
      </c>
      <c r="AC322" s="2">
        <v>5</v>
      </c>
      <c r="AD322">
        <v>3</v>
      </c>
      <c r="AE322">
        <v>3</v>
      </c>
      <c r="AF322" s="2">
        <v>5</v>
      </c>
      <c r="AG322">
        <v>4</v>
      </c>
      <c r="AH322">
        <v>0</v>
      </c>
      <c r="AI322">
        <v>4</v>
      </c>
      <c r="AJ322" s="2" t="str">
        <f>IF(A322 A322 &lt;= 25, "18-25", IF(A322 &lt;=35, "26-35", IF(A322 &lt;=45, "36-45", IF(Table3[[#This Row],[Age]] &lt;=55, "46-55", "56+"))))</f>
        <v>26-35</v>
      </c>
      <c r="AK322" t="str">
        <f t="shared" ref="AK322:AK385" si="5">IF(S322 &lt; 5000, "Low",IF(S322 &lt;=9999, "Medium", "High"))</f>
        <v>Low</v>
      </c>
      <c r="AL322" s="2" t="str">
        <f>IF(AF322 &lt; 3, "0-2 Years", IF(AF322 &lt;= 5, "3-5 Years", IF(AF322 &lt;= 10, "6-10 Years",IF(Table3[[#This Row],[Years At Company]]&lt;=20, "11-20 Years","20+ Years"))))</f>
        <v>3-5 Years</v>
      </c>
    </row>
    <row r="323" spans="1:38" x14ac:dyDescent="0.25">
      <c r="A323" s="2">
        <v>31</v>
      </c>
      <c r="B323" t="s">
        <v>43</v>
      </c>
      <c r="C323" t="s">
        <v>36</v>
      </c>
      <c r="D323" s="2">
        <v>691</v>
      </c>
      <c r="E323" t="s">
        <v>37</v>
      </c>
      <c r="F323" s="2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 s="2">
        <v>7547</v>
      </c>
      <c r="T323">
        <v>7143</v>
      </c>
      <c r="U323">
        <v>4</v>
      </c>
      <c r="V323" t="s">
        <v>42</v>
      </c>
      <c r="W323" t="s">
        <v>43</v>
      </c>
      <c r="X323" s="2">
        <v>12</v>
      </c>
      <c r="Y323">
        <v>3</v>
      </c>
      <c r="Z323">
        <v>4</v>
      </c>
      <c r="AA323">
        <v>80</v>
      </c>
      <c r="AB323">
        <v>3</v>
      </c>
      <c r="AC323" s="2">
        <v>13</v>
      </c>
      <c r="AD323">
        <v>3</v>
      </c>
      <c r="AE323">
        <v>3</v>
      </c>
      <c r="AF323" s="2">
        <v>7</v>
      </c>
      <c r="AG323">
        <v>7</v>
      </c>
      <c r="AH323">
        <v>1</v>
      </c>
      <c r="AI323">
        <v>7</v>
      </c>
      <c r="AJ323" s="2" t="str">
        <f>IF(A323 A323 &lt;= 25, "18-25", IF(A323 &lt;=35, "26-35", IF(A323 &lt;=45, "36-45", IF(Table3[[#This Row],[Age]] &lt;=55, "46-55", "56+"))))</f>
        <v>26-35</v>
      </c>
      <c r="AK323" t="str">
        <f t="shared" si="5"/>
        <v>Medium</v>
      </c>
      <c r="AL323" s="2" t="str">
        <f>IF(AF323 &lt; 3, "0-2 Years", IF(AF323 &lt;= 5, "3-5 Years", IF(AF323 &lt;= 10, "6-10 Years",IF(Table3[[#This Row],[Years At Company]]&lt;=20, "11-20 Years","20+ Years"))))</f>
        <v>6-10 Years</v>
      </c>
    </row>
    <row r="324" spans="1:38" x14ac:dyDescent="0.25">
      <c r="A324" s="2">
        <v>32</v>
      </c>
      <c r="B324" t="s">
        <v>43</v>
      </c>
      <c r="C324" t="s">
        <v>36</v>
      </c>
      <c r="D324" s="2">
        <v>1018</v>
      </c>
      <c r="E324" t="s">
        <v>45</v>
      </c>
      <c r="F324" s="2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 s="2">
        <v>5055</v>
      </c>
      <c r="T324">
        <v>10557</v>
      </c>
      <c r="U324">
        <v>7</v>
      </c>
      <c r="V324" t="s">
        <v>42</v>
      </c>
      <c r="W324" t="s">
        <v>43</v>
      </c>
      <c r="X324" s="2">
        <v>16</v>
      </c>
      <c r="Y324">
        <v>3</v>
      </c>
      <c r="Z324">
        <v>3</v>
      </c>
      <c r="AA324">
        <v>80</v>
      </c>
      <c r="AB324">
        <v>0</v>
      </c>
      <c r="AC324" s="2">
        <v>10</v>
      </c>
      <c r="AD324">
        <v>0</v>
      </c>
      <c r="AE324">
        <v>2</v>
      </c>
      <c r="AF324" s="2">
        <v>7</v>
      </c>
      <c r="AG324">
        <v>7</v>
      </c>
      <c r="AH324">
        <v>0</v>
      </c>
      <c r="AI324">
        <v>7</v>
      </c>
      <c r="AJ324" s="2" t="str">
        <f>IF(A324 A324 &lt;= 25, "18-25", IF(A324 &lt;=35, "26-35", IF(A324 &lt;=45, "36-45", IF(Table3[[#This Row],[Age]] &lt;=55, "46-55", "56+"))))</f>
        <v>26-35</v>
      </c>
      <c r="AK324" t="str">
        <f t="shared" si="5"/>
        <v>Medium</v>
      </c>
      <c r="AL324" s="2" t="str">
        <f>IF(AF324 &lt; 3, "0-2 Years", IF(AF324 &lt;= 5, "3-5 Years", IF(AF324 &lt;= 10, "6-10 Years",IF(Table3[[#This Row],[Years At Company]]&lt;=20, "11-20 Years","20+ Years"))))</f>
        <v>6-10 Years</v>
      </c>
    </row>
    <row r="325" spans="1:38" x14ac:dyDescent="0.25">
      <c r="A325" s="2">
        <v>28</v>
      </c>
      <c r="B325" t="s">
        <v>35</v>
      </c>
      <c r="C325" t="s">
        <v>36</v>
      </c>
      <c r="D325" s="2">
        <v>1157</v>
      </c>
      <c r="E325" t="s">
        <v>45</v>
      </c>
      <c r="F325" s="2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 s="2">
        <v>3464</v>
      </c>
      <c r="T325">
        <v>24737</v>
      </c>
      <c r="U325">
        <v>5</v>
      </c>
      <c r="V325" t="s">
        <v>42</v>
      </c>
      <c r="W325" t="s">
        <v>35</v>
      </c>
      <c r="X325" s="2">
        <v>13</v>
      </c>
      <c r="Y325">
        <v>3</v>
      </c>
      <c r="Z325">
        <v>4</v>
      </c>
      <c r="AA325">
        <v>80</v>
      </c>
      <c r="AB325">
        <v>0</v>
      </c>
      <c r="AC325" s="2">
        <v>5</v>
      </c>
      <c r="AD325">
        <v>4</v>
      </c>
      <c r="AE325">
        <v>2</v>
      </c>
      <c r="AF325" s="2">
        <v>3</v>
      </c>
      <c r="AG325">
        <v>2</v>
      </c>
      <c r="AH325">
        <v>2</v>
      </c>
      <c r="AI325">
        <v>2</v>
      </c>
      <c r="AJ325" s="2" t="str">
        <f>IF(A325 A325 &lt;= 25, "18-25", IF(A325 &lt;=35, "26-35", IF(A325 &lt;=45, "36-45", IF(Table3[[#This Row],[Age]] &lt;=55, "46-55", "56+"))))</f>
        <v>26-35</v>
      </c>
      <c r="AK325" t="str">
        <f t="shared" si="5"/>
        <v>Low</v>
      </c>
      <c r="AL325" s="2" t="str">
        <f>IF(AF325 &lt; 3, "0-2 Years", IF(AF325 &lt;= 5, "3-5 Years", IF(AF325 &lt;= 10, "6-10 Years",IF(Table3[[#This Row],[Years At Company]]&lt;=20, "11-20 Years","20+ Years"))))</f>
        <v>3-5 Years</v>
      </c>
    </row>
    <row r="326" spans="1:38" x14ac:dyDescent="0.25">
      <c r="A326" s="2">
        <v>30</v>
      </c>
      <c r="B326" t="s">
        <v>43</v>
      </c>
      <c r="C326" t="s">
        <v>36</v>
      </c>
      <c r="D326" s="2">
        <v>1275</v>
      </c>
      <c r="E326" t="s">
        <v>45</v>
      </c>
      <c r="F326" s="2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 s="2">
        <v>5775</v>
      </c>
      <c r="T326">
        <v>11934</v>
      </c>
      <c r="U326">
        <v>1</v>
      </c>
      <c r="V326" t="s">
        <v>42</v>
      </c>
      <c r="W326" t="s">
        <v>43</v>
      </c>
      <c r="X326" s="2">
        <v>13</v>
      </c>
      <c r="Y326">
        <v>3</v>
      </c>
      <c r="Z326">
        <v>4</v>
      </c>
      <c r="AA326">
        <v>80</v>
      </c>
      <c r="AB326">
        <v>2</v>
      </c>
      <c r="AC326" s="2">
        <v>11</v>
      </c>
      <c r="AD326">
        <v>2</v>
      </c>
      <c r="AE326">
        <v>3</v>
      </c>
      <c r="AF326" s="2">
        <v>10</v>
      </c>
      <c r="AG326">
        <v>8</v>
      </c>
      <c r="AH326">
        <v>1</v>
      </c>
      <c r="AI326">
        <v>9</v>
      </c>
      <c r="AJ326" s="2" t="str">
        <f>IF(A326 A326 &lt;= 25, "18-25", IF(A326 &lt;=35, "26-35", IF(A326 &lt;=45, "36-45", IF(Table3[[#This Row],[Age]] &lt;=55, "46-55", "56+"))))</f>
        <v>26-35</v>
      </c>
      <c r="AK326" t="str">
        <f t="shared" si="5"/>
        <v>Medium</v>
      </c>
      <c r="AL326" s="2" t="str">
        <f>IF(AF326 &lt; 3, "0-2 Years", IF(AF326 &lt;= 5, "3-5 Years", IF(AF326 &lt;= 10, "6-10 Years",IF(Table3[[#This Row],[Years At Company]]&lt;=20, "11-20 Years","20+ Years"))))</f>
        <v>6-10 Years</v>
      </c>
    </row>
    <row r="327" spans="1:38" x14ac:dyDescent="0.25">
      <c r="A327" s="2">
        <v>31</v>
      </c>
      <c r="B327" t="s">
        <v>43</v>
      </c>
      <c r="C327" t="s">
        <v>44</v>
      </c>
      <c r="D327" s="2">
        <v>798</v>
      </c>
      <c r="E327" t="s">
        <v>45</v>
      </c>
      <c r="F327" s="2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 s="2">
        <v>8943</v>
      </c>
      <c r="T327">
        <v>14034</v>
      </c>
      <c r="U327">
        <v>1</v>
      </c>
      <c r="V327" t="s">
        <v>42</v>
      </c>
      <c r="W327" t="s">
        <v>43</v>
      </c>
      <c r="X327" s="2">
        <v>24</v>
      </c>
      <c r="Y327">
        <v>4</v>
      </c>
      <c r="Z327">
        <v>1</v>
      </c>
      <c r="AA327">
        <v>80</v>
      </c>
      <c r="AB327">
        <v>1</v>
      </c>
      <c r="AC327" s="2">
        <v>10</v>
      </c>
      <c r="AD327">
        <v>2</v>
      </c>
      <c r="AE327">
        <v>3</v>
      </c>
      <c r="AF327" s="2">
        <v>10</v>
      </c>
      <c r="AG327">
        <v>9</v>
      </c>
      <c r="AH327">
        <v>8</v>
      </c>
      <c r="AI327">
        <v>9</v>
      </c>
      <c r="AJ327" s="2" t="str">
        <f>IF(A327 A327 &lt;= 25, "18-25", IF(A327 &lt;=35, "26-35", IF(A327 &lt;=45, "36-45", IF(Table3[[#This Row],[Age]] &lt;=55, "46-55", "56+"))))</f>
        <v>26-35</v>
      </c>
      <c r="AK327" t="str">
        <f t="shared" si="5"/>
        <v>Medium</v>
      </c>
      <c r="AL327" s="2" t="str">
        <f>IF(AF327 &lt; 3, "0-2 Years", IF(AF327 &lt;= 5, "3-5 Years", IF(AF327 &lt;= 10, "6-10 Years",IF(Table3[[#This Row],[Years At Company]]&lt;=20, "11-20 Years","20+ Years"))))</f>
        <v>6-10 Years</v>
      </c>
    </row>
    <row r="328" spans="1:38" x14ac:dyDescent="0.25">
      <c r="A328" s="2">
        <v>39</v>
      </c>
      <c r="B328" t="s">
        <v>43</v>
      </c>
      <c r="C328" t="s">
        <v>44</v>
      </c>
      <c r="D328" s="2">
        <v>672</v>
      </c>
      <c r="E328" t="s">
        <v>45</v>
      </c>
      <c r="F328" s="2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 s="2">
        <v>19272</v>
      </c>
      <c r="T328">
        <v>21141</v>
      </c>
      <c r="U328">
        <v>1</v>
      </c>
      <c r="V328" t="s">
        <v>42</v>
      </c>
      <c r="W328" t="s">
        <v>43</v>
      </c>
      <c r="X328" s="2">
        <v>15</v>
      </c>
      <c r="Y328">
        <v>3</v>
      </c>
      <c r="Z328">
        <v>1</v>
      </c>
      <c r="AA328">
        <v>80</v>
      </c>
      <c r="AB328">
        <v>1</v>
      </c>
      <c r="AC328" s="2">
        <v>21</v>
      </c>
      <c r="AD328">
        <v>2</v>
      </c>
      <c r="AE328">
        <v>3</v>
      </c>
      <c r="AF328" s="2">
        <v>21</v>
      </c>
      <c r="AG328">
        <v>9</v>
      </c>
      <c r="AH328">
        <v>13</v>
      </c>
      <c r="AI328">
        <v>3</v>
      </c>
      <c r="AJ328" s="2" t="str">
        <f>IF(A328 A328 &lt;= 25, "18-25", IF(A328 &lt;=35, "26-35", IF(A328 &lt;=45, "36-45", IF(Table3[[#This Row],[Age]] &lt;=55, "46-55", "56+"))))</f>
        <v>36-45</v>
      </c>
      <c r="AK328" t="str">
        <f t="shared" si="5"/>
        <v>High</v>
      </c>
      <c r="AL328" s="2" t="str">
        <f>IF(AF328 &lt; 3, "0-2 Years", IF(AF328 &lt;= 5, "3-5 Years", IF(AF328 &lt;= 10, "6-10 Years",IF(Table3[[#This Row],[Years At Company]]&lt;=20, "11-20 Years","20+ Years"))))</f>
        <v>20+ Years</v>
      </c>
    </row>
    <row r="329" spans="1:38" x14ac:dyDescent="0.25">
      <c r="A329" s="2">
        <v>39</v>
      </c>
      <c r="B329" t="s">
        <v>35</v>
      </c>
      <c r="C329" t="s">
        <v>36</v>
      </c>
      <c r="D329" s="2">
        <v>1162</v>
      </c>
      <c r="E329" t="s">
        <v>37</v>
      </c>
      <c r="F329" s="2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 s="2">
        <v>5238</v>
      </c>
      <c r="T329">
        <v>17778</v>
      </c>
      <c r="U329">
        <v>4</v>
      </c>
      <c r="V329" t="s">
        <v>42</v>
      </c>
      <c r="W329" t="s">
        <v>35</v>
      </c>
      <c r="X329" s="2">
        <v>18</v>
      </c>
      <c r="Y329">
        <v>3</v>
      </c>
      <c r="Z329">
        <v>1</v>
      </c>
      <c r="AA329">
        <v>80</v>
      </c>
      <c r="AB329">
        <v>0</v>
      </c>
      <c r="AC329" s="2">
        <v>12</v>
      </c>
      <c r="AD329">
        <v>3</v>
      </c>
      <c r="AE329">
        <v>2</v>
      </c>
      <c r="AF329" s="2">
        <v>1</v>
      </c>
      <c r="AG329">
        <v>0</v>
      </c>
      <c r="AH329">
        <v>0</v>
      </c>
      <c r="AI329">
        <v>0</v>
      </c>
      <c r="AJ329" s="2" t="str">
        <f>IF(A329 A329 &lt;= 25, "18-25", IF(A329 &lt;=35, "26-35", IF(A329 &lt;=45, "36-45", IF(Table3[[#This Row],[Age]] &lt;=55, "46-55", "56+"))))</f>
        <v>36-45</v>
      </c>
      <c r="AK329" t="str">
        <f t="shared" si="5"/>
        <v>Medium</v>
      </c>
      <c r="AL329" s="2" t="str">
        <f>IF(AF329 &lt; 3, "0-2 Years", IF(AF329 &lt;= 5, "3-5 Years", IF(AF329 &lt;= 10, "6-10 Years",IF(Table3[[#This Row],[Years At Company]]&lt;=20, "11-20 Years","20+ Years"))))</f>
        <v>0-2 Years</v>
      </c>
    </row>
    <row r="330" spans="1:38" x14ac:dyDescent="0.25">
      <c r="A330" s="2">
        <v>33</v>
      </c>
      <c r="B330" t="s">
        <v>43</v>
      </c>
      <c r="C330" t="s">
        <v>44</v>
      </c>
      <c r="D330" s="2">
        <v>508</v>
      </c>
      <c r="E330" t="s">
        <v>37</v>
      </c>
      <c r="F330" s="2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 s="2">
        <v>4682</v>
      </c>
      <c r="T330">
        <v>4317</v>
      </c>
      <c r="U330">
        <v>3</v>
      </c>
      <c r="V330" t="s">
        <v>42</v>
      </c>
      <c r="W330" t="s">
        <v>43</v>
      </c>
      <c r="X330" s="2">
        <v>14</v>
      </c>
      <c r="Y330">
        <v>3</v>
      </c>
      <c r="Z330">
        <v>3</v>
      </c>
      <c r="AA330">
        <v>80</v>
      </c>
      <c r="AB330">
        <v>0</v>
      </c>
      <c r="AC330" s="2">
        <v>9</v>
      </c>
      <c r="AD330">
        <v>6</v>
      </c>
      <c r="AE330">
        <v>2</v>
      </c>
      <c r="AF330" s="2">
        <v>7</v>
      </c>
      <c r="AG330">
        <v>7</v>
      </c>
      <c r="AH330">
        <v>0</v>
      </c>
      <c r="AI330">
        <v>1</v>
      </c>
      <c r="AJ330" s="2" t="str">
        <f>IF(A330 A330 &lt;= 25, "18-25", IF(A330 &lt;=35, "26-35", IF(A330 &lt;=45, "36-45", IF(Table3[[#This Row],[Age]] &lt;=55, "46-55", "56+"))))</f>
        <v>26-35</v>
      </c>
      <c r="AK330" t="str">
        <f t="shared" si="5"/>
        <v>Low</v>
      </c>
      <c r="AL330" s="2" t="str">
        <f>IF(AF330 &lt; 3, "0-2 Years", IF(AF330 &lt;= 5, "3-5 Years", IF(AF330 &lt;= 10, "6-10 Years",IF(Table3[[#This Row],[Years At Company]]&lt;=20, "11-20 Years","20+ Years"))))</f>
        <v>6-10 Years</v>
      </c>
    </row>
    <row r="331" spans="1:38" x14ac:dyDescent="0.25">
      <c r="A331" s="2">
        <v>47</v>
      </c>
      <c r="B331" t="s">
        <v>43</v>
      </c>
      <c r="C331" t="s">
        <v>36</v>
      </c>
      <c r="D331" s="2">
        <v>1482</v>
      </c>
      <c r="E331" t="s">
        <v>45</v>
      </c>
      <c r="F331" s="2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 s="2">
        <v>18300</v>
      </c>
      <c r="T331">
        <v>16375</v>
      </c>
      <c r="U331">
        <v>4</v>
      </c>
      <c r="V331" t="s">
        <v>42</v>
      </c>
      <c r="W331" t="s">
        <v>43</v>
      </c>
      <c r="X331" s="2">
        <v>11</v>
      </c>
      <c r="Y331">
        <v>3</v>
      </c>
      <c r="Z331">
        <v>2</v>
      </c>
      <c r="AA331">
        <v>80</v>
      </c>
      <c r="AB331">
        <v>1</v>
      </c>
      <c r="AC331" s="2">
        <v>21</v>
      </c>
      <c r="AD331">
        <v>2</v>
      </c>
      <c r="AE331">
        <v>3</v>
      </c>
      <c r="AF331" s="2">
        <v>3</v>
      </c>
      <c r="AG331">
        <v>2</v>
      </c>
      <c r="AH331">
        <v>1</v>
      </c>
      <c r="AI331">
        <v>1</v>
      </c>
      <c r="AJ331" s="2" t="str">
        <f>IF(A331 A331 &lt;= 25, "18-25", IF(A331 &lt;=35, "26-35", IF(A331 &lt;=45, "36-45", IF(Table3[[#This Row],[Age]] &lt;=55, "46-55", "56+"))))</f>
        <v>46-55</v>
      </c>
      <c r="AK331" t="str">
        <f t="shared" si="5"/>
        <v>High</v>
      </c>
      <c r="AL331" s="2" t="str">
        <f>IF(AF331 &lt; 3, "0-2 Years", IF(AF331 &lt;= 5, "3-5 Years", IF(AF331 &lt;= 10, "6-10 Years",IF(Table3[[#This Row],[Years At Company]]&lt;=20, "11-20 Years","20+ Years"))))</f>
        <v>3-5 Years</v>
      </c>
    </row>
    <row r="332" spans="1:38" x14ac:dyDescent="0.25">
      <c r="A332" s="2">
        <v>43</v>
      </c>
      <c r="B332" t="s">
        <v>43</v>
      </c>
      <c r="C332" t="s">
        <v>44</v>
      </c>
      <c r="D332" s="2">
        <v>559</v>
      </c>
      <c r="E332" t="s">
        <v>45</v>
      </c>
      <c r="F332" s="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 s="2">
        <v>5257</v>
      </c>
      <c r="T332">
        <v>6227</v>
      </c>
      <c r="U332">
        <v>1</v>
      </c>
      <c r="V332" t="s">
        <v>42</v>
      </c>
      <c r="W332" t="s">
        <v>43</v>
      </c>
      <c r="X332" s="2">
        <v>11</v>
      </c>
      <c r="Y332">
        <v>3</v>
      </c>
      <c r="Z332">
        <v>2</v>
      </c>
      <c r="AA332">
        <v>80</v>
      </c>
      <c r="AB332">
        <v>1</v>
      </c>
      <c r="AC332" s="2">
        <v>9</v>
      </c>
      <c r="AD332">
        <v>3</v>
      </c>
      <c r="AE332">
        <v>4</v>
      </c>
      <c r="AF332" s="2">
        <v>9</v>
      </c>
      <c r="AG332">
        <v>7</v>
      </c>
      <c r="AH332">
        <v>0</v>
      </c>
      <c r="AI332">
        <v>0</v>
      </c>
      <c r="AJ332" s="2" t="str">
        <f>IF(A332 A332 &lt;= 25, "18-25", IF(A332 &lt;=35, "26-35", IF(A332 &lt;=45, "36-45", IF(Table3[[#This Row],[Age]] &lt;=55, "46-55", "56+"))))</f>
        <v>36-45</v>
      </c>
      <c r="AK332" t="str">
        <f t="shared" si="5"/>
        <v>Medium</v>
      </c>
      <c r="AL332" s="2" t="str">
        <f>IF(AF332 &lt; 3, "0-2 Years", IF(AF332 &lt;= 5, "3-5 Years", IF(AF332 &lt;= 10, "6-10 Years",IF(Table3[[#This Row],[Years At Company]]&lt;=20, "11-20 Years","20+ Years"))))</f>
        <v>6-10 Years</v>
      </c>
    </row>
    <row r="333" spans="1:38" x14ac:dyDescent="0.25">
      <c r="A333" s="2">
        <v>27</v>
      </c>
      <c r="B333" t="s">
        <v>43</v>
      </c>
      <c r="C333" t="s">
        <v>55</v>
      </c>
      <c r="D333" s="2">
        <v>210</v>
      </c>
      <c r="E333" t="s">
        <v>37</v>
      </c>
      <c r="F333" s="2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 s="2">
        <v>6349</v>
      </c>
      <c r="T333">
        <v>22107</v>
      </c>
      <c r="U333">
        <v>0</v>
      </c>
      <c r="V333" t="s">
        <v>42</v>
      </c>
      <c r="W333" t="s">
        <v>35</v>
      </c>
      <c r="X333" s="2">
        <v>13</v>
      </c>
      <c r="Y333">
        <v>3</v>
      </c>
      <c r="Z333">
        <v>4</v>
      </c>
      <c r="AA333">
        <v>80</v>
      </c>
      <c r="AB333">
        <v>1</v>
      </c>
      <c r="AC333" s="2">
        <v>6</v>
      </c>
      <c r="AD333">
        <v>0</v>
      </c>
      <c r="AE333">
        <v>3</v>
      </c>
      <c r="AF333" s="2">
        <v>5</v>
      </c>
      <c r="AG333">
        <v>4</v>
      </c>
      <c r="AH333">
        <v>1</v>
      </c>
      <c r="AI333">
        <v>4</v>
      </c>
      <c r="AJ333" s="2" t="str">
        <f>IF(A333 A333 &lt;= 25, "18-25", IF(A333 &lt;=35, "26-35", IF(A333 &lt;=45, "36-45", IF(Table3[[#This Row],[Age]] &lt;=55, "46-55", "56+"))))</f>
        <v>26-35</v>
      </c>
      <c r="AK333" t="str">
        <f t="shared" si="5"/>
        <v>Medium</v>
      </c>
      <c r="AL333" s="2" t="str">
        <f>IF(AF333 &lt; 3, "0-2 Years", IF(AF333 &lt;= 5, "3-5 Years", IF(AF333 &lt;= 10, "6-10 Years",IF(Table3[[#This Row],[Years At Company]]&lt;=20, "11-20 Years","20+ Years"))))</f>
        <v>3-5 Years</v>
      </c>
    </row>
    <row r="334" spans="1:38" x14ac:dyDescent="0.25">
      <c r="A334" s="2">
        <v>54</v>
      </c>
      <c r="B334" t="s">
        <v>43</v>
      </c>
      <c r="C334" t="s">
        <v>44</v>
      </c>
      <c r="D334" s="2">
        <v>928</v>
      </c>
      <c r="E334" t="s">
        <v>45</v>
      </c>
      <c r="F334" s="2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 s="2">
        <v>4869</v>
      </c>
      <c r="T334">
        <v>16885</v>
      </c>
      <c r="U334">
        <v>3</v>
      </c>
      <c r="V334" t="s">
        <v>42</v>
      </c>
      <c r="W334" t="s">
        <v>43</v>
      </c>
      <c r="X334" s="2">
        <v>12</v>
      </c>
      <c r="Y334">
        <v>3</v>
      </c>
      <c r="Z334">
        <v>4</v>
      </c>
      <c r="AA334">
        <v>80</v>
      </c>
      <c r="AB334">
        <v>0</v>
      </c>
      <c r="AC334" s="2">
        <v>20</v>
      </c>
      <c r="AD334">
        <v>4</v>
      </c>
      <c r="AE334">
        <v>2</v>
      </c>
      <c r="AF334" s="2">
        <v>4</v>
      </c>
      <c r="AG334">
        <v>3</v>
      </c>
      <c r="AH334">
        <v>0</v>
      </c>
      <c r="AI334">
        <v>3</v>
      </c>
      <c r="AJ334" s="2" t="str">
        <f>IF(A334 A334 &lt;= 25, "18-25", IF(A334 &lt;=35, "26-35", IF(A334 &lt;=45, "36-45", IF(Table3[[#This Row],[Age]] &lt;=55, "46-55", "56+"))))</f>
        <v>46-55</v>
      </c>
      <c r="AK334" t="str">
        <f t="shared" si="5"/>
        <v>Low</v>
      </c>
      <c r="AL334" s="2" t="str">
        <f>IF(AF334 &lt; 3, "0-2 Years", IF(AF334 &lt;= 5, "3-5 Years", IF(AF334 &lt;= 10, "6-10 Years",IF(Table3[[#This Row],[Years At Company]]&lt;=20, "11-20 Years","20+ Years"))))</f>
        <v>3-5 Years</v>
      </c>
    </row>
    <row r="335" spans="1:38" x14ac:dyDescent="0.25">
      <c r="A335" s="2">
        <v>43</v>
      </c>
      <c r="B335" t="s">
        <v>43</v>
      </c>
      <c r="C335" t="s">
        <v>36</v>
      </c>
      <c r="D335" s="2">
        <v>1001</v>
      </c>
      <c r="E335" t="s">
        <v>45</v>
      </c>
      <c r="F335" s="2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 s="2">
        <v>9985</v>
      </c>
      <c r="T335">
        <v>9262</v>
      </c>
      <c r="U335">
        <v>8</v>
      </c>
      <c r="V335" t="s">
        <v>42</v>
      </c>
      <c r="W335" t="s">
        <v>43</v>
      </c>
      <c r="X335" s="2">
        <v>16</v>
      </c>
      <c r="Y335">
        <v>3</v>
      </c>
      <c r="Z335">
        <v>1</v>
      </c>
      <c r="AA335">
        <v>80</v>
      </c>
      <c r="AB335">
        <v>1</v>
      </c>
      <c r="AC335" s="2">
        <v>10</v>
      </c>
      <c r="AD335">
        <v>1</v>
      </c>
      <c r="AE335">
        <v>2</v>
      </c>
      <c r="AF335" s="2">
        <v>1</v>
      </c>
      <c r="AG335">
        <v>0</v>
      </c>
      <c r="AH335">
        <v>0</v>
      </c>
      <c r="AI335">
        <v>0</v>
      </c>
      <c r="AJ335" s="2" t="str">
        <f>IF(A335 A335 &lt;= 25, "18-25", IF(A335 &lt;=35, "26-35", IF(A335 &lt;=45, "36-45", IF(Table3[[#This Row],[Age]] &lt;=55, "46-55", "56+"))))</f>
        <v>36-45</v>
      </c>
      <c r="AK335" t="str">
        <f t="shared" si="5"/>
        <v>Medium</v>
      </c>
      <c r="AL335" s="2" t="str">
        <f>IF(AF335 &lt; 3, "0-2 Years", IF(AF335 &lt;= 5, "3-5 Years", IF(AF335 &lt;= 10, "6-10 Years",IF(Table3[[#This Row],[Years At Company]]&lt;=20, "11-20 Years","20+ Years"))))</f>
        <v>0-2 Years</v>
      </c>
    </row>
    <row r="336" spans="1:38" x14ac:dyDescent="0.25">
      <c r="A336" s="2">
        <v>45</v>
      </c>
      <c r="B336" t="s">
        <v>43</v>
      </c>
      <c r="C336" t="s">
        <v>36</v>
      </c>
      <c r="D336" s="2">
        <v>549</v>
      </c>
      <c r="E336" t="s">
        <v>45</v>
      </c>
      <c r="F336" s="2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 s="2">
        <v>3697</v>
      </c>
      <c r="T336">
        <v>9278</v>
      </c>
      <c r="U336">
        <v>9</v>
      </c>
      <c r="V336" t="s">
        <v>42</v>
      </c>
      <c r="W336" t="s">
        <v>43</v>
      </c>
      <c r="X336" s="2">
        <v>14</v>
      </c>
      <c r="Y336">
        <v>3</v>
      </c>
      <c r="Z336">
        <v>1</v>
      </c>
      <c r="AA336">
        <v>80</v>
      </c>
      <c r="AB336">
        <v>2</v>
      </c>
      <c r="AC336" s="2">
        <v>12</v>
      </c>
      <c r="AD336">
        <v>3</v>
      </c>
      <c r="AE336">
        <v>3</v>
      </c>
      <c r="AF336" s="2">
        <v>10</v>
      </c>
      <c r="AG336">
        <v>9</v>
      </c>
      <c r="AH336">
        <v>9</v>
      </c>
      <c r="AI336">
        <v>8</v>
      </c>
      <c r="AJ336" s="2" t="str">
        <f>IF(A336 A336 &lt;= 25, "18-25", IF(A336 &lt;=35, "26-35", IF(A336 &lt;=45, "36-45", IF(Table3[[#This Row],[Age]] &lt;=55, "46-55", "56+"))))</f>
        <v>36-45</v>
      </c>
      <c r="AK336" t="str">
        <f t="shared" si="5"/>
        <v>Low</v>
      </c>
      <c r="AL336" s="2" t="str">
        <f>IF(AF336 &lt; 3, "0-2 Years", IF(AF336 &lt;= 5, "3-5 Years", IF(AF336 &lt;= 10, "6-10 Years",IF(Table3[[#This Row],[Years At Company]]&lt;=20, "11-20 Years","20+ Years"))))</f>
        <v>6-10 Years</v>
      </c>
    </row>
    <row r="337" spans="1:38" x14ac:dyDescent="0.25">
      <c r="A337" s="2">
        <v>40</v>
      </c>
      <c r="B337" t="s">
        <v>43</v>
      </c>
      <c r="C337" t="s">
        <v>36</v>
      </c>
      <c r="D337" s="2">
        <v>1124</v>
      </c>
      <c r="E337" t="s">
        <v>37</v>
      </c>
      <c r="F337" s="2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 s="2">
        <v>7457</v>
      </c>
      <c r="T337">
        <v>13273</v>
      </c>
      <c r="U337">
        <v>2</v>
      </c>
      <c r="V337" t="s">
        <v>42</v>
      </c>
      <c r="W337" t="s">
        <v>35</v>
      </c>
      <c r="X337" s="2">
        <v>22</v>
      </c>
      <c r="Y337">
        <v>4</v>
      </c>
      <c r="Z337">
        <v>3</v>
      </c>
      <c r="AA337">
        <v>80</v>
      </c>
      <c r="AB337">
        <v>3</v>
      </c>
      <c r="AC337" s="2">
        <v>6</v>
      </c>
      <c r="AD337">
        <v>2</v>
      </c>
      <c r="AE337">
        <v>2</v>
      </c>
      <c r="AF337" s="2">
        <v>4</v>
      </c>
      <c r="AG337">
        <v>3</v>
      </c>
      <c r="AH337">
        <v>0</v>
      </c>
      <c r="AI337">
        <v>2</v>
      </c>
      <c r="AJ337" s="2" t="str">
        <f>IF(A337 A337 &lt;= 25, "18-25", IF(A337 &lt;=35, "26-35", IF(A337 &lt;=45, "36-45", IF(Table3[[#This Row],[Age]] &lt;=55, "46-55", "56+"))))</f>
        <v>36-45</v>
      </c>
      <c r="AK337" t="str">
        <f t="shared" si="5"/>
        <v>Medium</v>
      </c>
      <c r="AL337" s="2" t="str">
        <f>IF(AF337 &lt; 3, "0-2 Years", IF(AF337 &lt;= 5, "3-5 Years", IF(AF337 &lt;= 10, "6-10 Years",IF(Table3[[#This Row],[Years At Company]]&lt;=20, "11-20 Years","20+ Years"))))</f>
        <v>3-5 Years</v>
      </c>
    </row>
    <row r="338" spans="1:38" x14ac:dyDescent="0.25">
      <c r="A338" s="2">
        <v>29</v>
      </c>
      <c r="B338" t="s">
        <v>35</v>
      </c>
      <c r="C338" t="s">
        <v>36</v>
      </c>
      <c r="D338" s="2">
        <v>318</v>
      </c>
      <c r="E338" t="s">
        <v>45</v>
      </c>
      <c r="F338" s="2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 s="2">
        <v>2119</v>
      </c>
      <c r="T338">
        <v>4759</v>
      </c>
      <c r="U338">
        <v>1</v>
      </c>
      <c r="V338" t="s">
        <v>42</v>
      </c>
      <c r="W338" t="s">
        <v>35</v>
      </c>
      <c r="X338" s="2">
        <v>11</v>
      </c>
      <c r="Y338">
        <v>3</v>
      </c>
      <c r="Z338">
        <v>4</v>
      </c>
      <c r="AA338">
        <v>80</v>
      </c>
      <c r="AB338">
        <v>0</v>
      </c>
      <c r="AC338" s="2">
        <v>7</v>
      </c>
      <c r="AD338">
        <v>4</v>
      </c>
      <c r="AE338">
        <v>2</v>
      </c>
      <c r="AF338" s="2">
        <v>7</v>
      </c>
      <c r="AG338">
        <v>7</v>
      </c>
      <c r="AH338">
        <v>0</v>
      </c>
      <c r="AI338">
        <v>7</v>
      </c>
      <c r="AJ338" s="2" t="str">
        <f>IF(A338 A338 &lt;= 25, "18-25", IF(A338 &lt;=35, "26-35", IF(A338 &lt;=45, "36-45", IF(Table3[[#This Row],[Age]] &lt;=55, "46-55", "56+"))))</f>
        <v>26-35</v>
      </c>
      <c r="AK338" t="str">
        <f t="shared" si="5"/>
        <v>Low</v>
      </c>
      <c r="AL338" s="2" t="str">
        <f>IF(AF338 &lt; 3, "0-2 Years", IF(AF338 &lt;= 5, "3-5 Years", IF(AF338 &lt;= 10, "6-10 Years",IF(Table3[[#This Row],[Years At Company]]&lt;=20, "11-20 Years","20+ Years"))))</f>
        <v>6-10 Years</v>
      </c>
    </row>
    <row r="339" spans="1:38" x14ac:dyDescent="0.25">
      <c r="A339" s="2">
        <v>29</v>
      </c>
      <c r="B339" t="s">
        <v>43</v>
      </c>
      <c r="C339" t="s">
        <v>36</v>
      </c>
      <c r="D339" s="2">
        <v>738</v>
      </c>
      <c r="E339" t="s">
        <v>45</v>
      </c>
      <c r="F339" s="2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 s="2">
        <v>3983</v>
      </c>
      <c r="T339">
        <v>7621</v>
      </c>
      <c r="U339">
        <v>0</v>
      </c>
      <c r="V339" t="s">
        <v>42</v>
      </c>
      <c r="W339" t="s">
        <v>43</v>
      </c>
      <c r="X339" s="2">
        <v>17</v>
      </c>
      <c r="Y339">
        <v>3</v>
      </c>
      <c r="Z339">
        <v>3</v>
      </c>
      <c r="AA339">
        <v>80</v>
      </c>
      <c r="AB339">
        <v>0</v>
      </c>
      <c r="AC339" s="2">
        <v>4</v>
      </c>
      <c r="AD339">
        <v>2</v>
      </c>
      <c r="AE339">
        <v>3</v>
      </c>
      <c r="AF339" s="2">
        <v>3</v>
      </c>
      <c r="AG339">
        <v>2</v>
      </c>
      <c r="AH339">
        <v>2</v>
      </c>
      <c r="AI339">
        <v>2</v>
      </c>
      <c r="AJ339" s="2" t="str">
        <f>IF(A339 A339 &lt;= 25, "18-25", IF(A339 &lt;=35, "26-35", IF(A339 &lt;=45, "36-45", IF(Table3[[#This Row],[Age]] &lt;=55, "46-55", "56+"))))</f>
        <v>26-35</v>
      </c>
      <c r="AK339" t="str">
        <f t="shared" si="5"/>
        <v>Low</v>
      </c>
      <c r="AL339" s="2" t="str">
        <f>IF(AF339 &lt; 3, "0-2 Years", IF(AF339 &lt;= 5, "3-5 Years", IF(AF339 &lt;= 10, "6-10 Years",IF(Table3[[#This Row],[Years At Company]]&lt;=20, "11-20 Years","20+ Years"))))</f>
        <v>3-5 Years</v>
      </c>
    </row>
    <row r="340" spans="1:38" x14ac:dyDescent="0.25">
      <c r="A340" s="2">
        <v>30</v>
      </c>
      <c r="B340" t="s">
        <v>43</v>
      </c>
      <c r="C340" t="s">
        <v>36</v>
      </c>
      <c r="D340" s="2">
        <v>570</v>
      </c>
      <c r="E340" t="s">
        <v>37</v>
      </c>
      <c r="F340" s="2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 s="2">
        <v>6118</v>
      </c>
      <c r="T340">
        <v>5431</v>
      </c>
      <c r="U340">
        <v>1</v>
      </c>
      <c r="V340" t="s">
        <v>42</v>
      </c>
      <c r="W340" t="s">
        <v>43</v>
      </c>
      <c r="X340" s="2">
        <v>13</v>
      </c>
      <c r="Y340">
        <v>3</v>
      </c>
      <c r="Z340">
        <v>3</v>
      </c>
      <c r="AA340">
        <v>80</v>
      </c>
      <c r="AB340">
        <v>3</v>
      </c>
      <c r="AC340" s="2">
        <v>10</v>
      </c>
      <c r="AD340">
        <v>2</v>
      </c>
      <c r="AE340">
        <v>3</v>
      </c>
      <c r="AF340" s="2">
        <v>10</v>
      </c>
      <c r="AG340">
        <v>9</v>
      </c>
      <c r="AH340">
        <v>1</v>
      </c>
      <c r="AI340">
        <v>2</v>
      </c>
      <c r="AJ340" s="2" t="str">
        <f>IF(A340 A340 &lt;= 25, "18-25", IF(A340 &lt;=35, "26-35", IF(A340 &lt;=45, "36-45", IF(Table3[[#This Row],[Age]] &lt;=55, "46-55", "56+"))))</f>
        <v>26-35</v>
      </c>
      <c r="AK340" t="str">
        <f t="shared" si="5"/>
        <v>Medium</v>
      </c>
      <c r="AL340" s="2" t="str">
        <f>IF(AF340 &lt; 3, "0-2 Years", IF(AF340 &lt;= 5, "3-5 Years", IF(AF340 &lt;= 10, "6-10 Years",IF(Table3[[#This Row],[Years At Company]]&lt;=20, "11-20 Years","20+ Years"))))</f>
        <v>6-10 Years</v>
      </c>
    </row>
    <row r="341" spans="1:38" x14ac:dyDescent="0.25">
      <c r="A341" s="2">
        <v>27</v>
      </c>
      <c r="B341" t="s">
        <v>43</v>
      </c>
      <c r="C341" t="s">
        <v>36</v>
      </c>
      <c r="D341" s="2">
        <v>1130</v>
      </c>
      <c r="E341" t="s">
        <v>37</v>
      </c>
      <c r="F341" s="2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 s="2">
        <v>6214</v>
      </c>
      <c r="T341">
        <v>3415</v>
      </c>
      <c r="U341">
        <v>1</v>
      </c>
      <c r="V341" t="s">
        <v>42</v>
      </c>
      <c r="W341" t="s">
        <v>43</v>
      </c>
      <c r="X341" s="2">
        <v>18</v>
      </c>
      <c r="Y341">
        <v>3</v>
      </c>
      <c r="Z341">
        <v>1</v>
      </c>
      <c r="AA341">
        <v>80</v>
      </c>
      <c r="AB341">
        <v>1</v>
      </c>
      <c r="AC341" s="2">
        <v>8</v>
      </c>
      <c r="AD341">
        <v>3</v>
      </c>
      <c r="AE341">
        <v>3</v>
      </c>
      <c r="AF341" s="2">
        <v>8</v>
      </c>
      <c r="AG341">
        <v>7</v>
      </c>
      <c r="AH341">
        <v>0</v>
      </c>
      <c r="AI341">
        <v>7</v>
      </c>
      <c r="AJ341" s="2" t="str">
        <f>IF(A341 A341 &lt;= 25, "18-25", IF(A341 &lt;=35, "26-35", IF(A341 &lt;=45, "36-45", IF(Table3[[#This Row],[Age]] &lt;=55, "46-55", "56+"))))</f>
        <v>26-35</v>
      </c>
      <c r="AK341" t="str">
        <f t="shared" si="5"/>
        <v>Medium</v>
      </c>
      <c r="AL341" s="2" t="str">
        <f>IF(AF341 &lt; 3, "0-2 Years", IF(AF341 &lt;= 5, "3-5 Years", IF(AF341 &lt;= 10, "6-10 Years",IF(Table3[[#This Row],[Years At Company]]&lt;=20, "11-20 Years","20+ Years"))))</f>
        <v>6-10 Years</v>
      </c>
    </row>
    <row r="342" spans="1:38" x14ac:dyDescent="0.25">
      <c r="A342" s="2">
        <v>37</v>
      </c>
      <c r="B342" t="s">
        <v>43</v>
      </c>
      <c r="C342" t="s">
        <v>36</v>
      </c>
      <c r="D342" s="2">
        <v>1192</v>
      </c>
      <c r="E342" t="s">
        <v>45</v>
      </c>
      <c r="F342" s="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 s="2">
        <v>6347</v>
      </c>
      <c r="T342">
        <v>23177</v>
      </c>
      <c r="U342">
        <v>7</v>
      </c>
      <c r="V342" t="s">
        <v>42</v>
      </c>
      <c r="W342" t="s">
        <v>43</v>
      </c>
      <c r="X342" s="2">
        <v>16</v>
      </c>
      <c r="Y342">
        <v>3</v>
      </c>
      <c r="Z342">
        <v>3</v>
      </c>
      <c r="AA342">
        <v>80</v>
      </c>
      <c r="AB342">
        <v>2</v>
      </c>
      <c r="AC342" s="2">
        <v>8</v>
      </c>
      <c r="AD342">
        <v>2</v>
      </c>
      <c r="AE342">
        <v>2</v>
      </c>
      <c r="AF342" s="2">
        <v>6</v>
      </c>
      <c r="AG342">
        <v>2</v>
      </c>
      <c r="AH342">
        <v>0</v>
      </c>
      <c r="AI342">
        <v>4</v>
      </c>
      <c r="AJ342" s="2" t="str">
        <f>IF(A342 A342 &lt;= 25, "18-25", IF(A342 &lt;=35, "26-35", IF(A342 &lt;=45, "36-45", IF(Table3[[#This Row],[Age]] &lt;=55, "46-55", "56+"))))</f>
        <v>36-45</v>
      </c>
      <c r="AK342" t="str">
        <f t="shared" si="5"/>
        <v>Medium</v>
      </c>
      <c r="AL342" s="2" t="str">
        <f>IF(AF342 &lt; 3, "0-2 Years", IF(AF342 &lt;= 5, "3-5 Years", IF(AF342 &lt;= 10, "6-10 Years",IF(Table3[[#This Row],[Years At Company]]&lt;=20, "11-20 Years","20+ Years"))))</f>
        <v>6-10 Years</v>
      </c>
    </row>
    <row r="343" spans="1:38" x14ac:dyDescent="0.25">
      <c r="A343" s="2">
        <v>38</v>
      </c>
      <c r="B343" t="s">
        <v>43</v>
      </c>
      <c r="C343" t="s">
        <v>36</v>
      </c>
      <c r="D343" s="2">
        <v>343</v>
      </c>
      <c r="E343" t="s">
        <v>45</v>
      </c>
      <c r="F343" s="2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 s="2">
        <v>11510</v>
      </c>
      <c r="T343">
        <v>15682</v>
      </c>
      <c r="U343">
        <v>0</v>
      </c>
      <c r="V343" t="s">
        <v>42</v>
      </c>
      <c r="W343" t="s">
        <v>35</v>
      </c>
      <c r="X343" s="2">
        <v>14</v>
      </c>
      <c r="Y343">
        <v>3</v>
      </c>
      <c r="Z343">
        <v>2</v>
      </c>
      <c r="AA343">
        <v>80</v>
      </c>
      <c r="AB343">
        <v>1</v>
      </c>
      <c r="AC343" s="2">
        <v>12</v>
      </c>
      <c r="AD343">
        <v>3</v>
      </c>
      <c r="AE343">
        <v>3</v>
      </c>
      <c r="AF343" s="2">
        <v>11</v>
      </c>
      <c r="AG343">
        <v>10</v>
      </c>
      <c r="AH343">
        <v>2</v>
      </c>
      <c r="AI343">
        <v>9</v>
      </c>
      <c r="AJ343" s="2" t="str">
        <f>IF(A343 A343 &lt;= 25, "18-25", IF(A343 &lt;=35, "26-35", IF(A343 &lt;=45, "36-45", IF(Table3[[#This Row],[Age]] &lt;=55, "46-55", "56+"))))</f>
        <v>36-45</v>
      </c>
      <c r="AK343" t="str">
        <f t="shared" si="5"/>
        <v>High</v>
      </c>
      <c r="AL343" s="2" t="str">
        <f>IF(AF343 &lt; 3, "0-2 Years", IF(AF343 &lt;= 5, "3-5 Years", IF(AF343 &lt;= 10, "6-10 Years",IF(Table3[[#This Row],[Years At Company]]&lt;=20, "11-20 Years","20+ Years"))))</f>
        <v>11-20 Years</v>
      </c>
    </row>
    <row r="344" spans="1:38" x14ac:dyDescent="0.25">
      <c r="A344" s="2">
        <v>31</v>
      </c>
      <c r="B344" t="s">
        <v>43</v>
      </c>
      <c r="C344" t="s">
        <v>36</v>
      </c>
      <c r="D344" s="2">
        <v>1232</v>
      </c>
      <c r="E344" t="s">
        <v>45</v>
      </c>
      <c r="F344" s="2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 s="2">
        <v>7143</v>
      </c>
      <c r="T344">
        <v>25713</v>
      </c>
      <c r="U344">
        <v>1</v>
      </c>
      <c r="V344" t="s">
        <v>42</v>
      </c>
      <c r="W344" t="s">
        <v>35</v>
      </c>
      <c r="X344" s="2">
        <v>14</v>
      </c>
      <c r="Y344">
        <v>3</v>
      </c>
      <c r="Z344">
        <v>3</v>
      </c>
      <c r="AA344">
        <v>80</v>
      </c>
      <c r="AB344">
        <v>0</v>
      </c>
      <c r="AC344" s="2">
        <v>11</v>
      </c>
      <c r="AD344">
        <v>2</v>
      </c>
      <c r="AE344">
        <v>2</v>
      </c>
      <c r="AF344" s="2">
        <v>11</v>
      </c>
      <c r="AG344">
        <v>9</v>
      </c>
      <c r="AH344">
        <v>4</v>
      </c>
      <c r="AI344">
        <v>10</v>
      </c>
      <c r="AJ344" s="2" t="str">
        <f>IF(A344 A344 &lt;= 25, "18-25", IF(A344 &lt;=35, "26-35", IF(A344 &lt;=45, "36-45", IF(Table3[[#This Row],[Age]] &lt;=55, "46-55", "56+"))))</f>
        <v>26-35</v>
      </c>
      <c r="AK344" t="str">
        <f t="shared" si="5"/>
        <v>Medium</v>
      </c>
      <c r="AL344" s="2" t="str">
        <f>IF(AF344 &lt; 3, "0-2 Years", IF(AF344 &lt;= 5, "3-5 Years", IF(AF344 &lt;= 10, "6-10 Years",IF(Table3[[#This Row],[Years At Company]]&lt;=20, "11-20 Years","20+ Years"))))</f>
        <v>11-20 Years</v>
      </c>
    </row>
    <row r="345" spans="1:38" x14ac:dyDescent="0.25">
      <c r="A345" s="2">
        <v>29</v>
      </c>
      <c r="B345" t="s">
        <v>43</v>
      </c>
      <c r="C345" t="s">
        <v>36</v>
      </c>
      <c r="D345" s="2">
        <v>144</v>
      </c>
      <c r="E345" t="s">
        <v>37</v>
      </c>
      <c r="F345" s="2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 s="2">
        <v>8268</v>
      </c>
      <c r="T345">
        <v>11866</v>
      </c>
      <c r="U345">
        <v>1</v>
      </c>
      <c r="V345" t="s">
        <v>42</v>
      </c>
      <c r="W345" t="s">
        <v>35</v>
      </c>
      <c r="X345" s="2">
        <v>14</v>
      </c>
      <c r="Y345">
        <v>3</v>
      </c>
      <c r="Z345">
        <v>1</v>
      </c>
      <c r="AA345">
        <v>80</v>
      </c>
      <c r="AB345">
        <v>2</v>
      </c>
      <c r="AC345" s="2">
        <v>7</v>
      </c>
      <c r="AD345">
        <v>2</v>
      </c>
      <c r="AE345">
        <v>3</v>
      </c>
      <c r="AF345" s="2">
        <v>7</v>
      </c>
      <c r="AG345">
        <v>7</v>
      </c>
      <c r="AH345">
        <v>1</v>
      </c>
      <c r="AI345">
        <v>7</v>
      </c>
      <c r="AJ345" s="2" t="str">
        <f>IF(A345 A345 &lt;= 25, "18-25", IF(A345 &lt;=35, "26-35", IF(A345 &lt;=45, "36-45", IF(Table3[[#This Row],[Age]] &lt;=55, "46-55", "56+"))))</f>
        <v>26-35</v>
      </c>
      <c r="AK345" t="str">
        <f t="shared" si="5"/>
        <v>Medium</v>
      </c>
      <c r="AL345" s="2" t="str">
        <f>IF(AF345 &lt; 3, "0-2 Years", IF(AF345 &lt;= 5, "3-5 Years", IF(AF345 &lt;= 10, "6-10 Years",IF(Table3[[#This Row],[Years At Company]]&lt;=20, "11-20 Years","20+ Years"))))</f>
        <v>6-10 Years</v>
      </c>
    </row>
    <row r="346" spans="1:38" x14ac:dyDescent="0.25">
      <c r="A346" s="2">
        <v>35</v>
      </c>
      <c r="B346" t="s">
        <v>43</v>
      </c>
      <c r="C346" t="s">
        <v>36</v>
      </c>
      <c r="D346" s="2">
        <v>1296</v>
      </c>
      <c r="E346" t="s">
        <v>45</v>
      </c>
      <c r="F346" s="2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 s="2">
        <v>8095</v>
      </c>
      <c r="T346">
        <v>18264</v>
      </c>
      <c r="U346">
        <v>0</v>
      </c>
      <c r="V346" t="s">
        <v>42</v>
      </c>
      <c r="W346" t="s">
        <v>43</v>
      </c>
      <c r="X346" s="2">
        <v>13</v>
      </c>
      <c r="Y346">
        <v>3</v>
      </c>
      <c r="Z346">
        <v>4</v>
      </c>
      <c r="AA346">
        <v>80</v>
      </c>
      <c r="AB346">
        <v>0</v>
      </c>
      <c r="AC346" s="2">
        <v>17</v>
      </c>
      <c r="AD346">
        <v>5</v>
      </c>
      <c r="AE346">
        <v>3</v>
      </c>
      <c r="AF346" s="2">
        <v>16</v>
      </c>
      <c r="AG346">
        <v>6</v>
      </c>
      <c r="AH346">
        <v>0</v>
      </c>
      <c r="AI346">
        <v>13</v>
      </c>
      <c r="AJ346" s="2" t="str">
        <f>IF(A346 A346 &lt;= 25, "18-25", IF(A346 &lt;=35, "26-35", IF(A346 &lt;=45, "36-45", IF(Table3[[#This Row],[Age]] &lt;=55, "46-55", "56+"))))</f>
        <v>26-35</v>
      </c>
      <c r="AK346" t="str">
        <f t="shared" si="5"/>
        <v>Medium</v>
      </c>
      <c r="AL346" s="2" t="str">
        <f>IF(AF346 &lt; 3, "0-2 Years", IF(AF346 &lt;= 5, "3-5 Years", IF(AF346 &lt;= 10, "6-10 Years",IF(Table3[[#This Row],[Years At Company]]&lt;=20, "11-20 Years","20+ Years"))))</f>
        <v>11-20 Years</v>
      </c>
    </row>
    <row r="347" spans="1:38" x14ac:dyDescent="0.25">
      <c r="A347" s="2">
        <v>23</v>
      </c>
      <c r="B347" t="s">
        <v>43</v>
      </c>
      <c r="C347" t="s">
        <v>36</v>
      </c>
      <c r="D347" s="2">
        <v>1309</v>
      </c>
      <c r="E347" t="s">
        <v>45</v>
      </c>
      <c r="F347" s="2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 s="2">
        <v>2904</v>
      </c>
      <c r="T347">
        <v>16092</v>
      </c>
      <c r="U347">
        <v>1</v>
      </c>
      <c r="V347" t="s">
        <v>42</v>
      </c>
      <c r="W347" t="s">
        <v>43</v>
      </c>
      <c r="X347" s="2">
        <v>12</v>
      </c>
      <c r="Y347">
        <v>3</v>
      </c>
      <c r="Z347">
        <v>3</v>
      </c>
      <c r="AA347">
        <v>80</v>
      </c>
      <c r="AB347">
        <v>2</v>
      </c>
      <c r="AC347" s="2">
        <v>4</v>
      </c>
      <c r="AD347">
        <v>2</v>
      </c>
      <c r="AE347">
        <v>2</v>
      </c>
      <c r="AF347" s="2">
        <v>4</v>
      </c>
      <c r="AG347">
        <v>2</v>
      </c>
      <c r="AH347">
        <v>0</v>
      </c>
      <c r="AI347">
        <v>2</v>
      </c>
      <c r="AJ347" s="2" t="str">
        <f>IF(A347 A347 &lt;= 25, "18-25", IF(A347 &lt;=35, "26-35", IF(A347 &lt;=45, "36-45", IF(Table3[[#This Row],[Age]] &lt;=55, "46-55", "56+"))))</f>
        <v>18-25</v>
      </c>
      <c r="AK347" t="str">
        <f t="shared" si="5"/>
        <v>Low</v>
      </c>
      <c r="AL347" s="2" t="str">
        <f>IF(AF347 &lt; 3, "0-2 Years", IF(AF347 &lt;= 5, "3-5 Years", IF(AF347 &lt;= 10, "6-10 Years",IF(Table3[[#This Row],[Years At Company]]&lt;=20, "11-20 Years","20+ Years"))))</f>
        <v>3-5 Years</v>
      </c>
    </row>
    <row r="348" spans="1:38" x14ac:dyDescent="0.25">
      <c r="A348" s="2">
        <v>41</v>
      </c>
      <c r="B348" t="s">
        <v>43</v>
      </c>
      <c r="C348" t="s">
        <v>36</v>
      </c>
      <c r="D348" s="2">
        <v>483</v>
      </c>
      <c r="E348" t="s">
        <v>45</v>
      </c>
      <c r="F348" s="2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 s="2">
        <v>6032</v>
      </c>
      <c r="T348">
        <v>10110</v>
      </c>
      <c r="U348">
        <v>6</v>
      </c>
      <c r="V348" t="s">
        <v>42</v>
      </c>
      <c r="W348" t="s">
        <v>35</v>
      </c>
      <c r="X348" s="2">
        <v>15</v>
      </c>
      <c r="Y348">
        <v>3</v>
      </c>
      <c r="Z348">
        <v>4</v>
      </c>
      <c r="AA348">
        <v>80</v>
      </c>
      <c r="AB348">
        <v>0</v>
      </c>
      <c r="AC348" s="2">
        <v>8</v>
      </c>
      <c r="AD348">
        <v>3</v>
      </c>
      <c r="AE348">
        <v>3</v>
      </c>
      <c r="AF348" s="2">
        <v>5</v>
      </c>
      <c r="AG348">
        <v>4</v>
      </c>
      <c r="AH348">
        <v>1</v>
      </c>
      <c r="AI348">
        <v>2</v>
      </c>
      <c r="AJ348" s="2" t="str">
        <f>IF(A348 A348 &lt;= 25, "18-25", IF(A348 &lt;=35, "26-35", IF(A348 &lt;=45, "36-45", IF(Table3[[#This Row],[Age]] &lt;=55, "46-55", "56+"))))</f>
        <v>36-45</v>
      </c>
      <c r="AK348" t="str">
        <f t="shared" si="5"/>
        <v>Medium</v>
      </c>
      <c r="AL348" s="2" t="str">
        <f>IF(AF348 &lt; 3, "0-2 Years", IF(AF348 &lt;= 5, "3-5 Years", IF(AF348 &lt;= 10, "6-10 Years",IF(Table3[[#This Row],[Years At Company]]&lt;=20, "11-20 Years","20+ Years"))))</f>
        <v>3-5 Years</v>
      </c>
    </row>
    <row r="349" spans="1:38" x14ac:dyDescent="0.25">
      <c r="A349" s="2">
        <v>47</v>
      </c>
      <c r="B349" t="s">
        <v>43</v>
      </c>
      <c r="C349" t="s">
        <v>44</v>
      </c>
      <c r="D349" s="2">
        <v>1309</v>
      </c>
      <c r="E349" t="s">
        <v>37</v>
      </c>
      <c r="F349" s="2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 s="2">
        <v>2976</v>
      </c>
      <c r="T349">
        <v>25751</v>
      </c>
      <c r="U349">
        <v>3</v>
      </c>
      <c r="V349" t="s">
        <v>42</v>
      </c>
      <c r="W349" t="s">
        <v>43</v>
      </c>
      <c r="X349" s="2">
        <v>19</v>
      </c>
      <c r="Y349">
        <v>3</v>
      </c>
      <c r="Z349">
        <v>1</v>
      </c>
      <c r="AA349">
        <v>80</v>
      </c>
      <c r="AB349">
        <v>0</v>
      </c>
      <c r="AC349" s="2">
        <v>5</v>
      </c>
      <c r="AD349">
        <v>3</v>
      </c>
      <c r="AE349">
        <v>3</v>
      </c>
      <c r="AF349" s="2">
        <v>0</v>
      </c>
      <c r="AG349">
        <v>0</v>
      </c>
      <c r="AH349">
        <v>0</v>
      </c>
      <c r="AI349">
        <v>0</v>
      </c>
      <c r="AJ349" s="2" t="str">
        <f>IF(A349 A349 &lt;= 25, "18-25", IF(A349 &lt;=35, "26-35", IF(A349 &lt;=45, "36-45", IF(Table3[[#This Row],[Age]] &lt;=55, "46-55", "56+"))))</f>
        <v>46-55</v>
      </c>
      <c r="AK349" t="str">
        <f t="shared" si="5"/>
        <v>Low</v>
      </c>
      <c r="AL349" s="2" t="str">
        <f>IF(AF349 &lt; 3, "0-2 Years", IF(AF349 &lt;= 5, "3-5 Years", IF(AF349 &lt;= 10, "6-10 Years",IF(Table3[[#This Row],[Years At Company]]&lt;=20, "11-20 Years","20+ Years"))))</f>
        <v>0-2 Years</v>
      </c>
    </row>
    <row r="350" spans="1:38" x14ac:dyDescent="0.25">
      <c r="A350" s="2">
        <v>42</v>
      </c>
      <c r="B350" t="s">
        <v>43</v>
      </c>
      <c r="C350" t="s">
        <v>36</v>
      </c>
      <c r="D350" s="2">
        <v>810</v>
      </c>
      <c r="E350" t="s">
        <v>45</v>
      </c>
      <c r="F350" s="2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 s="2">
        <v>15992</v>
      </c>
      <c r="T350">
        <v>15901</v>
      </c>
      <c r="U350">
        <v>2</v>
      </c>
      <c r="V350" t="s">
        <v>42</v>
      </c>
      <c r="W350" t="s">
        <v>43</v>
      </c>
      <c r="X350" s="2">
        <v>14</v>
      </c>
      <c r="Y350">
        <v>3</v>
      </c>
      <c r="Z350">
        <v>2</v>
      </c>
      <c r="AA350">
        <v>80</v>
      </c>
      <c r="AB350">
        <v>0</v>
      </c>
      <c r="AC350" s="2">
        <v>16</v>
      </c>
      <c r="AD350">
        <v>2</v>
      </c>
      <c r="AE350">
        <v>3</v>
      </c>
      <c r="AF350" s="2">
        <v>1</v>
      </c>
      <c r="AG350">
        <v>0</v>
      </c>
      <c r="AH350">
        <v>0</v>
      </c>
      <c r="AI350">
        <v>0</v>
      </c>
      <c r="AJ350" s="2" t="str">
        <f>IF(A350 A350 &lt;= 25, "18-25", IF(A350 &lt;=35, "26-35", IF(A350 &lt;=45, "36-45", IF(Table3[[#This Row],[Age]] &lt;=55, "46-55", "56+"))))</f>
        <v>36-45</v>
      </c>
      <c r="AK350" t="str">
        <f t="shared" si="5"/>
        <v>High</v>
      </c>
      <c r="AL350" s="2" t="str">
        <f>IF(AF350 &lt; 3, "0-2 Years", IF(AF350 &lt;= 5, "3-5 Years", IF(AF350 &lt;= 10, "6-10 Years",IF(Table3[[#This Row],[Years At Company]]&lt;=20, "11-20 Years","20+ Years"))))</f>
        <v>0-2 Years</v>
      </c>
    </row>
    <row r="351" spans="1:38" x14ac:dyDescent="0.25">
      <c r="A351" s="2">
        <v>29</v>
      </c>
      <c r="B351" t="s">
        <v>43</v>
      </c>
      <c r="C351" t="s">
        <v>55</v>
      </c>
      <c r="D351" s="2">
        <v>746</v>
      </c>
      <c r="E351" t="s">
        <v>37</v>
      </c>
      <c r="F351" s="2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 s="2">
        <v>4649</v>
      </c>
      <c r="T351">
        <v>16928</v>
      </c>
      <c r="U351">
        <v>1</v>
      </c>
      <c r="V351" t="s">
        <v>42</v>
      </c>
      <c r="W351" t="s">
        <v>43</v>
      </c>
      <c r="X351" s="2">
        <v>14</v>
      </c>
      <c r="Y351">
        <v>3</v>
      </c>
      <c r="Z351">
        <v>1</v>
      </c>
      <c r="AA351">
        <v>80</v>
      </c>
      <c r="AB351">
        <v>1</v>
      </c>
      <c r="AC351" s="2">
        <v>4</v>
      </c>
      <c r="AD351">
        <v>3</v>
      </c>
      <c r="AE351">
        <v>2</v>
      </c>
      <c r="AF351" s="2">
        <v>4</v>
      </c>
      <c r="AG351">
        <v>3</v>
      </c>
      <c r="AH351">
        <v>0</v>
      </c>
      <c r="AI351">
        <v>2</v>
      </c>
      <c r="AJ351" s="2" t="str">
        <f>IF(A351 A351 &lt;= 25, "18-25", IF(A351 &lt;=35, "26-35", IF(A351 &lt;=45, "36-45", IF(Table3[[#This Row],[Age]] &lt;=55, "46-55", "56+"))))</f>
        <v>26-35</v>
      </c>
      <c r="AK351" t="str">
        <f t="shared" si="5"/>
        <v>Low</v>
      </c>
      <c r="AL351" s="2" t="str">
        <f>IF(AF351 &lt; 3, "0-2 Years", IF(AF351 &lt;= 5, "3-5 Years", IF(AF351 &lt;= 10, "6-10 Years",IF(Table3[[#This Row],[Years At Company]]&lt;=20, "11-20 Years","20+ Years"))))</f>
        <v>3-5 Years</v>
      </c>
    </row>
    <row r="352" spans="1:38" x14ac:dyDescent="0.25">
      <c r="A352" s="2">
        <v>42</v>
      </c>
      <c r="B352" t="s">
        <v>43</v>
      </c>
      <c r="C352" t="s">
        <v>36</v>
      </c>
      <c r="D352" s="2">
        <v>544</v>
      </c>
      <c r="E352" t="s">
        <v>61</v>
      </c>
      <c r="F352" s="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 s="2">
        <v>2696</v>
      </c>
      <c r="T352">
        <v>24017</v>
      </c>
      <c r="U352">
        <v>0</v>
      </c>
      <c r="V352" t="s">
        <v>42</v>
      </c>
      <c r="W352" t="s">
        <v>35</v>
      </c>
      <c r="X352" s="2">
        <v>11</v>
      </c>
      <c r="Y352">
        <v>3</v>
      </c>
      <c r="Z352">
        <v>3</v>
      </c>
      <c r="AA352">
        <v>80</v>
      </c>
      <c r="AB352">
        <v>1</v>
      </c>
      <c r="AC352" s="2">
        <v>4</v>
      </c>
      <c r="AD352">
        <v>5</v>
      </c>
      <c r="AE352">
        <v>3</v>
      </c>
      <c r="AF352" s="2">
        <v>3</v>
      </c>
      <c r="AG352">
        <v>2</v>
      </c>
      <c r="AH352">
        <v>1</v>
      </c>
      <c r="AI352">
        <v>0</v>
      </c>
      <c r="AJ352" s="2" t="str">
        <f>IF(A352 A352 &lt;= 25, "18-25", IF(A352 &lt;=35, "26-35", IF(A352 &lt;=45, "36-45", IF(Table3[[#This Row],[Age]] &lt;=55, "46-55", "56+"))))</f>
        <v>36-45</v>
      </c>
      <c r="AK352" t="str">
        <f t="shared" si="5"/>
        <v>Low</v>
      </c>
      <c r="AL352" s="2" t="str">
        <f>IF(AF352 &lt; 3, "0-2 Years", IF(AF352 &lt;= 5, "3-5 Years", IF(AF352 &lt;= 10, "6-10 Years",IF(Table3[[#This Row],[Years At Company]]&lt;=20, "11-20 Years","20+ Years"))))</f>
        <v>3-5 Years</v>
      </c>
    </row>
    <row r="353" spans="1:38" x14ac:dyDescent="0.25">
      <c r="A353" s="2">
        <v>32</v>
      </c>
      <c r="B353" t="s">
        <v>43</v>
      </c>
      <c r="C353" t="s">
        <v>36</v>
      </c>
      <c r="D353" s="2">
        <v>1062</v>
      </c>
      <c r="E353" t="s">
        <v>45</v>
      </c>
      <c r="F353" s="2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 s="2">
        <v>2370</v>
      </c>
      <c r="T353">
        <v>3956</v>
      </c>
      <c r="U353">
        <v>1</v>
      </c>
      <c r="V353" t="s">
        <v>42</v>
      </c>
      <c r="W353" t="s">
        <v>43</v>
      </c>
      <c r="X353" s="2">
        <v>13</v>
      </c>
      <c r="Y353">
        <v>3</v>
      </c>
      <c r="Z353">
        <v>3</v>
      </c>
      <c r="AA353">
        <v>80</v>
      </c>
      <c r="AB353">
        <v>1</v>
      </c>
      <c r="AC353" s="2">
        <v>8</v>
      </c>
      <c r="AD353">
        <v>4</v>
      </c>
      <c r="AE353">
        <v>3</v>
      </c>
      <c r="AF353" s="2">
        <v>8</v>
      </c>
      <c r="AG353">
        <v>0</v>
      </c>
      <c r="AH353">
        <v>0</v>
      </c>
      <c r="AI353">
        <v>7</v>
      </c>
      <c r="AJ353" s="2" t="str">
        <f>IF(A353 A353 &lt;= 25, "18-25", IF(A353 &lt;=35, "26-35", IF(A353 &lt;=45, "36-45", IF(Table3[[#This Row],[Age]] &lt;=55, "46-55", "56+"))))</f>
        <v>26-35</v>
      </c>
      <c r="AK353" t="str">
        <f t="shared" si="5"/>
        <v>Low</v>
      </c>
      <c r="AL353" s="2" t="str">
        <f>IF(AF353 &lt; 3, "0-2 Years", IF(AF353 &lt;= 5, "3-5 Years", IF(AF353 &lt;= 10, "6-10 Years",IF(Table3[[#This Row],[Years At Company]]&lt;=20, "11-20 Years","20+ Years"))))</f>
        <v>6-10 Years</v>
      </c>
    </row>
    <row r="354" spans="1:38" x14ac:dyDescent="0.25">
      <c r="A354" s="2">
        <v>48</v>
      </c>
      <c r="B354" t="s">
        <v>43</v>
      </c>
      <c r="C354" t="s">
        <v>36</v>
      </c>
      <c r="D354" s="2">
        <v>530</v>
      </c>
      <c r="E354" t="s">
        <v>37</v>
      </c>
      <c r="F354" s="2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 s="2">
        <v>12504</v>
      </c>
      <c r="T354">
        <v>23978</v>
      </c>
      <c r="U354">
        <v>3</v>
      </c>
      <c r="V354" t="s">
        <v>42</v>
      </c>
      <c r="W354" t="s">
        <v>43</v>
      </c>
      <c r="X354" s="2">
        <v>21</v>
      </c>
      <c r="Y354">
        <v>4</v>
      </c>
      <c r="Z354">
        <v>2</v>
      </c>
      <c r="AA354">
        <v>80</v>
      </c>
      <c r="AB354">
        <v>1</v>
      </c>
      <c r="AC354" s="2">
        <v>15</v>
      </c>
      <c r="AD354">
        <v>3</v>
      </c>
      <c r="AE354">
        <v>1</v>
      </c>
      <c r="AF354" s="2">
        <v>0</v>
      </c>
      <c r="AG354">
        <v>0</v>
      </c>
      <c r="AH354">
        <v>0</v>
      </c>
      <c r="AI354">
        <v>0</v>
      </c>
      <c r="AJ354" s="2" t="str">
        <f>IF(A354 A354 &lt;= 25, "18-25", IF(A354 &lt;=35, "26-35", IF(A354 &lt;=45, "36-45", IF(Table3[[#This Row],[Age]] &lt;=55, "46-55", "56+"))))</f>
        <v>46-55</v>
      </c>
      <c r="AK354" t="str">
        <f t="shared" si="5"/>
        <v>High</v>
      </c>
      <c r="AL354" s="2" t="str">
        <f>IF(AF354 &lt; 3, "0-2 Years", IF(AF354 &lt;= 5, "3-5 Years", IF(AF354 &lt;= 10, "6-10 Years",IF(Table3[[#This Row],[Years At Company]]&lt;=20, "11-20 Years","20+ Years"))))</f>
        <v>0-2 Years</v>
      </c>
    </row>
    <row r="355" spans="1:38" x14ac:dyDescent="0.25">
      <c r="A355" s="2">
        <v>37</v>
      </c>
      <c r="B355" t="s">
        <v>43</v>
      </c>
      <c r="C355" t="s">
        <v>36</v>
      </c>
      <c r="D355" s="2">
        <v>1319</v>
      </c>
      <c r="E355" t="s">
        <v>45</v>
      </c>
      <c r="F355" s="2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 s="2">
        <v>5974</v>
      </c>
      <c r="T355">
        <v>17001</v>
      </c>
      <c r="U355">
        <v>4</v>
      </c>
      <c r="V355" t="s">
        <v>42</v>
      </c>
      <c r="W355" t="s">
        <v>35</v>
      </c>
      <c r="X355" s="2">
        <v>13</v>
      </c>
      <c r="Y355">
        <v>3</v>
      </c>
      <c r="Z355">
        <v>1</v>
      </c>
      <c r="AA355">
        <v>80</v>
      </c>
      <c r="AB355">
        <v>2</v>
      </c>
      <c r="AC355" s="2">
        <v>13</v>
      </c>
      <c r="AD355">
        <v>2</v>
      </c>
      <c r="AE355">
        <v>3</v>
      </c>
      <c r="AF355" s="2">
        <v>7</v>
      </c>
      <c r="AG355">
        <v>7</v>
      </c>
      <c r="AH355">
        <v>6</v>
      </c>
      <c r="AI355">
        <v>7</v>
      </c>
      <c r="AJ355" s="2" t="str">
        <f>IF(A355 A355 &lt;= 25, "18-25", IF(A355 &lt;=35, "26-35", IF(A355 &lt;=45, "36-45", IF(Table3[[#This Row],[Age]] &lt;=55, "46-55", "56+"))))</f>
        <v>36-45</v>
      </c>
      <c r="AK355" t="str">
        <f t="shared" si="5"/>
        <v>Medium</v>
      </c>
      <c r="AL355" s="2" t="str">
        <f>IF(AF355 &lt; 3, "0-2 Years", IF(AF355 &lt;= 5, "3-5 Years", IF(AF355 &lt;= 10, "6-10 Years",IF(Table3[[#This Row],[Years At Company]]&lt;=20, "11-20 Years","20+ Years"))))</f>
        <v>6-10 Years</v>
      </c>
    </row>
    <row r="356" spans="1:38" x14ac:dyDescent="0.25">
      <c r="A356" s="2">
        <v>30</v>
      </c>
      <c r="B356" t="s">
        <v>43</v>
      </c>
      <c r="C356" t="s">
        <v>55</v>
      </c>
      <c r="D356" s="2">
        <v>641</v>
      </c>
      <c r="E356" t="s">
        <v>37</v>
      </c>
      <c r="F356" s="2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 s="2">
        <v>4736</v>
      </c>
      <c r="T356">
        <v>6069</v>
      </c>
      <c r="U356">
        <v>7</v>
      </c>
      <c r="V356" t="s">
        <v>42</v>
      </c>
      <c r="W356" t="s">
        <v>35</v>
      </c>
      <c r="X356" s="2">
        <v>12</v>
      </c>
      <c r="Y356">
        <v>3</v>
      </c>
      <c r="Z356">
        <v>2</v>
      </c>
      <c r="AA356">
        <v>80</v>
      </c>
      <c r="AB356">
        <v>1</v>
      </c>
      <c r="AC356" s="2">
        <v>4</v>
      </c>
      <c r="AD356">
        <v>2</v>
      </c>
      <c r="AE356">
        <v>4</v>
      </c>
      <c r="AF356" s="2">
        <v>2</v>
      </c>
      <c r="AG356">
        <v>2</v>
      </c>
      <c r="AH356">
        <v>2</v>
      </c>
      <c r="AI356">
        <v>2</v>
      </c>
      <c r="AJ356" s="2" t="str">
        <f>IF(A356 A356 &lt;= 25, "18-25", IF(A356 &lt;=35, "26-35", IF(A356 &lt;=45, "36-45", IF(Table3[[#This Row],[Age]] &lt;=55, "46-55", "56+"))))</f>
        <v>26-35</v>
      </c>
      <c r="AK356" t="str">
        <f t="shared" si="5"/>
        <v>Low</v>
      </c>
      <c r="AL356" s="2" t="str">
        <f>IF(AF356 &lt; 3, "0-2 Years", IF(AF356 &lt;= 5, "3-5 Years", IF(AF356 &lt;= 10, "6-10 Years",IF(Table3[[#This Row],[Years At Company]]&lt;=20, "11-20 Years","20+ Years"))))</f>
        <v>0-2 Years</v>
      </c>
    </row>
    <row r="357" spans="1:38" x14ac:dyDescent="0.25">
      <c r="A357" s="2">
        <v>26</v>
      </c>
      <c r="B357" t="s">
        <v>43</v>
      </c>
      <c r="C357" t="s">
        <v>36</v>
      </c>
      <c r="D357" s="2">
        <v>933</v>
      </c>
      <c r="E357" t="s">
        <v>37</v>
      </c>
      <c r="F357" s="2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 s="2">
        <v>5296</v>
      </c>
      <c r="T357">
        <v>20156</v>
      </c>
      <c r="U357">
        <v>1</v>
      </c>
      <c r="V357" t="s">
        <v>42</v>
      </c>
      <c r="W357" t="s">
        <v>43</v>
      </c>
      <c r="X357" s="2">
        <v>17</v>
      </c>
      <c r="Y357">
        <v>3</v>
      </c>
      <c r="Z357">
        <v>2</v>
      </c>
      <c r="AA357">
        <v>80</v>
      </c>
      <c r="AB357">
        <v>1</v>
      </c>
      <c r="AC357" s="2">
        <v>8</v>
      </c>
      <c r="AD357">
        <v>3</v>
      </c>
      <c r="AE357">
        <v>3</v>
      </c>
      <c r="AF357" s="2">
        <v>8</v>
      </c>
      <c r="AG357">
        <v>7</v>
      </c>
      <c r="AH357">
        <v>7</v>
      </c>
      <c r="AI357">
        <v>7</v>
      </c>
      <c r="AJ357" s="2" t="str">
        <f>IF(A357 A357 &lt;= 25, "18-25", IF(A357 &lt;=35, "26-35", IF(A357 &lt;=45, "36-45", IF(Table3[[#This Row],[Age]] &lt;=55, "46-55", "56+"))))</f>
        <v>26-35</v>
      </c>
      <c r="AK357" t="str">
        <f t="shared" si="5"/>
        <v>Medium</v>
      </c>
      <c r="AL357" s="2" t="str">
        <f>IF(AF357 &lt; 3, "0-2 Years", IF(AF357 &lt;= 5, "3-5 Years", IF(AF357 &lt;= 10, "6-10 Years",IF(Table3[[#This Row],[Years At Company]]&lt;=20, "11-20 Years","20+ Years"))))</f>
        <v>6-10 Years</v>
      </c>
    </row>
    <row r="358" spans="1:38" x14ac:dyDescent="0.25">
      <c r="A358" s="2">
        <v>42</v>
      </c>
      <c r="B358" t="s">
        <v>43</v>
      </c>
      <c r="C358" t="s">
        <v>36</v>
      </c>
      <c r="D358" s="2">
        <v>1332</v>
      </c>
      <c r="E358" t="s">
        <v>45</v>
      </c>
      <c r="F358" s="2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 s="2">
        <v>6781</v>
      </c>
      <c r="T358">
        <v>17078</v>
      </c>
      <c r="U358">
        <v>3</v>
      </c>
      <c r="V358" t="s">
        <v>42</v>
      </c>
      <c r="W358" t="s">
        <v>43</v>
      </c>
      <c r="X358" s="2">
        <v>23</v>
      </c>
      <c r="Y358">
        <v>4</v>
      </c>
      <c r="Z358">
        <v>2</v>
      </c>
      <c r="AA358">
        <v>80</v>
      </c>
      <c r="AB358">
        <v>0</v>
      </c>
      <c r="AC358" s="2">
        <v>14</v>
      </c>
      <c r="AD358">
        <v>6</v>
      </c>
      <c r="AE358">
        <v>3</v>
      </c>
      <c r="AF358" s="2">
        <v>1</v>
      </c>
      <c r="AG358">
        <v>0</v>
      </c>
      <c r="AH358">
        <v>0</v>
      </c>
      <c r="AI358">
        <v>0</v>
      </c>
      <c r="AJ358" s="2" t="str">
        <f>IF(A358 A358 &lt;= 25, "18-25", IF(A358 &lt;=35, "26-35", IF(A358 &lt;=45, "36-45", IF(Table3[[#This Row],[Age]] &lt;=55, "46-55", "56+"))))</f>
        <v>36-45</v>
      </c>
      <c r="AK358" t="str">
        <f t="shared" si="5"/>
        <v>Medium</v>
      </c>
      <c r="AL358" s="2" t="str">
        <f>IF(AF358 &lt; 3, "0-2 Years", IF(AF358 &lt;= 5, "3-5 Years", IF(AF358 &lt;= 10, "6-10 Years",IF(Table3[[#This Row],[Years At Company]]&lt;=20, "11-20 Years","20+ Years"))))</f>
        <v>0-2 Years</v>
      </c>
    </row>
    <row r="359" spans="1:38" x14ac:dyDescent="0.25">
      <c r="A359" s="2">
        <v>21</v>
      </c>
      <c r="B359" t="s">
        <v>35</v>
      </c>
      <c r="C359" t="s">
        <v>44</v>
      </c>
      <c r="D359" s="2">
        <v>756</v>
      </c>
      <c r="E359" t="s">
        <v>37</v>
      </c>
      <c r="F359" s="2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 s="2">
        <v>2174</v>
      </c>
      <c r="T359">
        <v>9150</v>
      </c>
      <c r="U359">
        <v>1</v>
      </c>
      <c r="V359" t="s">
        <v>42</v>
      </c>
      <c r="W359" t="s">
        <v>35</v>
      </c>
      <c r="X359" s="2">
        <v>11</v>
      </c>
      <c r="Y359">
        <v>3</v>
      </c>
      <c r="Z359">
        <v>3</v>
      </c>
      <c r="AA359">
        <v>80</v>
      </c>
      <c r="AB359">
        <v>0</v>
      </c>
      <c r="AC359" s="2">
        <v>3</v>
      </c>
      <c r="AD359">
        <v>3</v>
      </c>
      <c r="AE359">
        <v>3</v>
      </c>
      <c r="AF359" s="2">
        <v>3</v>
      </c>
      <c r="AG359">
        <v>2</v>
      </c>
      <c r="AH359">
        <v>1</v>
      </c>
      <c r="AI359">
        <v>2</v>
      </c>
      <c r="AJ359" s="2" t="str">
        <f>IF(A359 A359 &lt;= 25, "18-25", IF(A359 &lt;=35, "26-35", IF(A359 &lt;=45, "36-45", IF(Table3[[#This Row],[Age]] &lt;=55, "46-55", "56+"))))</f>
        <v>18-25</v>
      </c>
      <c r="AK359" t="str">
        <f t="shared" si="5"/>
        <v>Low</v>
      </c>
      <c r="AL359" s="2" t="str">
        <f>IF(AF359 &lt; 3, "0-2 Years", IF(AF359 &lt;= 5, "3-5 Years", IF(AF359 &lt;= 10, "6-10 Years",IF(Table3[[#This Row],[Years At Company]]&lt;=20, "11-20 Years","20+ Years"))))</f>
        <v>3-5 Years</v>
      </c>
    </row>
    <row r="360" spans="1:38" x14ac:dyDescent="0.25">
      <c r="A360" s="2">
        <v>36</v>
      </c>
      <c r="B360" t="s">
        <v>43</v>
      </c>
      <c r="C360" t="s">
        <v>55</v>
      </c>
      <c r="D360" s="2">
        <v>845</v>
      </c>
      <c r="E360" t="s">
        <v>37</v>
      </c>
      <c r="F360" s="2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 s="2">
        <v>6653</v>
      </c>
      <c r="T360">
        <v>15276</v>
      </c>
      <c r="U360">
        <v>4</v>
      </c>
      <c r="V360" t="s">
        <v>42</v>
      </c>
      <c r="W360" t="s">
        <v>43</v>
      </c>
      <c r="X360" s="2">
        <v>15</v>
      </c>
      <c r="Y360">
        <v>3</v>
      </c>
      <c r="Z360">
        <v>2</v>
      </c>
      <c r="AA360">
        <v>80</v>
      </c>
      <c r="AB360">
        <v>0</v>
      </c>
      <c r="AC360" s="2">
        <v>7</v>
      </c>
      <c r="AD360">
        <v>6</v>
      </c>
      <c r="AE360">
        <v>3</v>
      </c>
      <c r="AF360" s="2">
        <v>1</v>
      </c>
      <c r="AG360">
        <v>0</v>
      </c>
      <c r="AH360">
        <v>0</v>
      </c>
      <c r="AI360">
        <v>0</v>
      </c>
      <c r="AJ360" s="2" t="str">
        <f>IF(A360 A360 &lt;= 25, "18-25", IF(A360 &lt;=35, "26-35", IF(A360 &lt;=45, "36-45", IF(Table3[[#This Row],[Age]] &lt;=55, "46-55", "56+"))))</f>
        <v>36-45</v>
      </c>
      <c r="AK360" t="str">
        <f t="shared" si="5"/>
        <v>Medium</v>
      </c>
      <c r="AL360" s="2" t="str">
        <f>IF(AF360 &lt; 3, "0-2 Years", IF(AF360 &lt;= 5, "3-5 Years", IF(AF360 &lt;= 10, "6-10 Years",IF(Table3[[#This Row],[Years At Company]]&lt;=20, "11-20 Years","20+ Years"))))</f>
        <v>0-2 Years</v>
      </c>
    </row>
    <row r="361" spans="1:38" x14ac:dyDescent="0.25">
      <c r="A361" s="2">
        <v>36</v>
      </c>
      <c r="B361" t="s">
        <v>43</v>
      </c>
      <c r="C361" t="s">
        <v>44</v>
      </c>
      <c r="D361" s="2">
        <v>541</v>
      </c>
      <c r="E361" t="s">
        <v>37</v>
      </c>
      <c r="F361" s="2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 s="2">
        <v>9699</v>
      </c>
      <c r="T361">
        <v>7246</v>
      </c>
      <c r="U361">
        <v>4</v>
      </c>
      <c r="V361" t="s">
        <v>42</v>
      </c>
      <c r="W361" t="s">
        <v>43</v>
      </c>
      <c r="X361" s="2">
        <v>11</v>
      </c>
      <c r="Y361">
        <v>3</v>
      </c>
      <c r="Z361">
        <v>1</v>
      </c>
      <c r="AA361">
        <v>80</v>
      </c>
      <c r="AB361">
        <v>1</v>
      </c>
      <c r="AC361" s="2">
        <v>16</v>
      </c>
      <c r="AD361">
        <v>2</v>
      </c>
      <c r="AE361">
        <v>3</v>
      </c>
      <c r="AF361" s="2">
        <v>13</v>
      </c>
      <c r="AG361">
        <v>9</v>
      </c>
      <c r="AH361">
        <v>1</v>
      </c>
      <c r="AI361">
        <v>12</v>
      </c>
      <c r="AJ361" s="2" t="str">
        <f>IF(A361 A361 &lt;= 25, "18-25", IF(A361 &lt;=35, "26-35", IF(A361 &lt;=45, "36-45", IF(Table3[[#This Row],[Age]] &lt;=55, "46-55", "56+"))))</f>
        <v>36-45</v>
      </c>
      <c r="AK361" t="str">
        <f t="shared" si="5"/>
        <v>Medium</v>
      </c>
      <c r="AL361" s="2" t="str">
        <f>IF(AF361 &lt; 3, "0-2 Years", IF(AF361 &lt;= 5, "3-5 Years", IF(AF361 &lt;= 10, "6-10 Years",IF(Table3[[#This Row],[Years At Company]]&lt;=20, "11-20 Years","20+ Years"))))</f>
        <v>11-20 Years</v>
      </c>
    </row>
    <row r="362" spans="1:38" x14ac:dyDescent="0.25">
      <c r="A362" s="2">
        <v>57</v>
      </c>
      <c r="B362" t="s">
        <v>43</v>
      </c>
      <c r="C362" t="s">
        <v>36</v>
      </c>
      <c r="D362" s="2">
        <v>593</v>
      </c>
      <c r="E362" t="s">
        <v>45</v>
      </c>
      <c r="F362" s="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 s="2">
        <v>6755</v>
      </c>
      <c r="T362">
        <v>2967</v>
      </c>
      <c r="U362">
        <v>2</v>
      </c>
      <c r="V362" t="s">
        <v>42</v>
      </c>
      <c r="W362" t="s">
        <v>43</v>
      </c>
      <c r="X362" s="2">
        <v>11</v>
      </c>
      <c r="Y362">
        <v>3</v>
      </c>
      <c r="Z362">
        <v>3</v>
      </c>
      <c r="AA362">
        <v>80</v>
      </c>
      <c r="AB362">
        <v>0</v>
      </c>
      <c r="AC362" s="2">
        <v>15</v>
      </c>
      <c r="AD362">
        <v>2</v>
      </c>
      <c r="AE362">
        <v>3</v>
      </c>
      <c r="AF362" s="2">
        <v>3</v>
      </c>
      <c r="AG362">
        <v>2</v>
      </c>
      <c r="AH362">
        <v>1</v>
      </c>
      <c r="AI362">
        <v>2</v>
      </c>
      <c r="AJ362" s="2" t="str">
        <f>IF(A362 A362 &lt;= 25, "18-25", IF(A362 &lt;=35, "26-35", IF(A362 &lt;=45, "36-45", IF(Table3[[#This Row],[Age]] &lt;=55, "46-55", "56+"))))</f>
        <v>56+</v>
      </c>
      <c r="AK362" t="str">
        <f t="shared" si="5"/>
        <v>Medium</v>
      </c>
      <c r="AL362" s="2" t="str">
        <f>IF(AF362 &lt; 3, "0-2 Years", IF(AF362 &lt;= 5, "3-5 Years", IF(AF362 &lt;= 10, "6-10 Years",IF(Table3[[#This Row],[Years At Company]]&lt;=20, "11-20 Years","20+ Years"))))</f>
        <v>3-5 Years</v>
      </c>
    </row>
    <row r="363" spans="1:38" x14ac:dyDescent="0.25">
      <c r="A363" s="2">
        <v>40</v>
      </c>
      <c r="B363" t="s">
        <v>43</v>
      </c>
      <c r="C363" t="s">
        <v>36</v>
      </c>
      <c r="D363" s="2">
        <v>1171</v>
      </c>
      <c r="E363" t="s">
        <v>45</v>
      </c>
      <c r="F363" s="2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 s="2">
        <v>2213</v>
      </c>
      <c r="T363">
        <v>22495</v>
      </c>
      <c r="U363">
        <v>3</v>
      </c>
      <c r="V363" t="s">
        <v>42</v>
      </c>
      <c r="W363" t="s">
        <v>35</v>
      </c>
      <c r="X363" s="2">
        <v>13</v>
      </c>
      <c r="Y363">
        <v>3</v>
      </c>
      <c r="Z363">
        <v>3</v>
      </c>
      <c r="AA363">
        <v>80</v>
      </c>
      <c r="AB363">
        <v>1</v>
      </c>
      <c r="AC363" s="2">
        <v>10</v>
      </c>
      <c r="AD363">
        <v>3</v>
      </c>
      <c r="AE363">
        <v>3</v>
      </c>
      <c r="AF363" s="2">
        <v>7</v>
      </c>
      <c r="AG363">
        <v>7</v>
      </c>
      <c r="AH363">
        <v>1</v>
      </c>
      <c r="AI363">
        <v>7</v>
      </c>
      <c r="AJ363" s="2" t="str">
        <f>IF(A363 A363 &lt;= 25, "18-25", IF(A363 &lt;=35, "26-35", IF(A363 &lt;=45, "36-45", IF(Table3[[#This Row],[Age]] &lt;=55, "46-55", "56+"))))</f>
        <v>36-45</v>
      </c>
      <c r="AK363" t="str">
        <f t="shared" si="5"/>
        <v>Low</v>
      </c>
      <c r="AL363" s="2" t="str">
        <f>IF(AF363 &lt; 3, "0-2 Years", IF(AF363 &lt;= 5, "3-5 Years", IF(AF363 &lt;= 10, "6-10 Years",IF(Table3[[#This Row],[Years At Company]]&lt;=20, "11-20 Years","20+ Years"))))</f>
        <v>6-10 Years</v>
      </c>
    </row>
    <row r="364" spans="1:38" x14ac:dyDescent="0.25">
      <c r="A364" s="2">
        <v>21</v>
      </c>
      <c r="B364" t="s">
        <v>43</v>
      </c>
      <c r="C364" t="s">
        <v>55</v>
      </c>
      <c r="D364" s="2">
        <v>895</v>
      </c>
      <c r="E364" t="s">
        <v>37</v>
      </c>
      <c r="F364" s="2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 s="2">
        <v>2610</v>
      </c>
      <c r="T364">
        <v>2851</v>
      </c>
      <c r="U364">
        <v>1</v>
      </c>
      <c r="V364" t="s">
        <v>42</v>
      </c>
      <c r="W364" t="s">
        <v>43</v>
      </c>
      <c r="X364" s="2">
        <v>24</v>
      </c>
      <c r="Y364">
        <v>4</v>
      </c>
      <c r="Z364">
        <v>3</v>
      </c>
      <c r="AA364">
        <v>80</v>
      </c>
      <c r="AB364">
        <v>0</v>
      </c>
      <c r="AC364" s="2">
        <v>3</v>
      </c>
      <c r="AD364">
        <v>3</v>
      </c>
      <c r="AE364">
        <v>2</v>
      </c>
      <c r="AF364" s="2">
        <v>3</v>
      </c>
      <c r="AG364">
        <v>2</v>
      </c>
      <c r="AH364">
        <v>2</v>
      </c>
      <c r="AI364">
        <v>2</v>
      </c>
      <c r="AJ364" s="2" t="str">
        <f>IF(A364 A364 &lt;= 25, "18-25", IF(A364 &lt;=35, "26-35", IF(A364 &lt;=45, "36-45", IF(Table3[[#This Row],[Age]] &lt;=55, "46-55", "56+"))))</f>
        <v>18-25</v>
      </c>
      <c r="AK364" t="str">
        <f t="shared" si="5"/>
        <v>Low</v>
      </c>
      <c r="AL364" s="2" t="str">
        <f>IF(AF364 &lt; 3, "0-2 Years", IF(AF364 &lt;= 5, "3-5 Years", IF(AF364 &lt;= 10, "6-10 Years",IF(Table3[[#This Row],[Years At Company]]&lt;=20, "11-20 Years","20+ Years"))))</f>
        <v>3-5 Years</v>
      </c>
    </row>
    <row r="365" spans="1:38" x14ac:dyDescent="0.25">
      <c r="A365" s="2">
        <v>33</v>
      </c>
      <c r="B365" t="s">
        <v>35</v>
      </c>
      <c r="C365" t="s">
        <v>36</v>
      </c>
      <c r="D365" s="2">
        <v>350</v>
      </c>
      <c r="E365" t="s">
        <v>37</v>
      </c>
      <c r="F365" s="2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 s="2">
        <v>2851</v>
      </c>
      <c r="T365">
        <v>9150</v>
      </c>
      <c r="U365">
        <v>1</v>
      </c>
      <c r="V365" t="s">
        <v>42</v>
      </c>
      <c r="W365" t="s">
        <v>35</v>
      </c>
      <c r="X365" s="2">
        <v>13</v>
      </c>
      <c r="Y365">
        <v>3</v>
      </c>
      <c r="Z365">
        <v>2</v>
      </c>
      <c r="AA365">
        <v>80</v>
      </c>
      <c r="AB365">
        <v>0</v>
      </c>
      <c r="AC365" s="2">
        <v>1</v>
      </c>
      <c r="AD365">
        <v>2</v>
      </c>
      <c r="AE365">
        <v>3</v>
      </c>
      <c r="AF365" s="2">
        <v>1</v>
      </c>
      <c r="AG365">
        <v>0</v>
      </c>
      <c r="AH365">
        <v>0</v>
      </c>
      <c r="AI365">
        <v>0</v>
      </c>
      <c r="AJ365" s="2" t="str">
        <f>IF(A365 A365 &lt;= 25, "18-25", IF(A365 &lt;=35, "26-35", IF(A365 &lt;=45, "36-45", IF(Table3[[#This Row],[Age]] &lt;=55, "46-55", "56+"))))</f>
        <v>26-35</v>
      </c>
      <c r="AK365" t="str">
        <f t="shared" si="5"/>
        <v>Low</v>
      </c>
      <c r="AL365" s="2" t="str">
        <f>IF(AF365 &lt; 3, "0-2 Years", IF(AF365 &lt;= 5, "3-5 Years", IF(AF365 &lt;= 10, "6-10 Years",IF(Table3[[#This Row],[Years At Company]]&lt;=20, "11-20 Years","20+ Years"))))</f>
        <v>0-2 Years</v>
      </c>
    </row>
    <row r="366" spans="1:38" x14ac:dyDescent="0.25">
      <c r="A366" s="2">
        <v>37</v>
      </c>
      <c r="B366" t="s">
        <v>43</v>
      </c>
      <c r="C366" t="s">
        <v>36</v>
      </c>
      <c r="D366" s="2">
        <v>921</v>
      </c>
      <c r="E366" t="s">
        <v>45</v>
      </c>
      <c r="F366" s="2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 s="2">
        <v>3452</v>
      </c>
      <c r="T366">
        <v>17663</v>
      </c>
      <c r="U366">
        <v>6</v>
      </c>
      <c r="V366" t="s">
        <v>42</v>
      </c>
      <c r="W366" t="s">
        <v>43</v>
      </c>
      <c r="X366" s="2">
        <v>20</v>
      </c>
      <c r="Y366">
        <v>4</v>
      </c>
      <c r="Z366">
        <v>2</v>
      </c>
      <c r="AA366">
        <v>80</v>
      </c>
      <c r="AB366">
        <v>1</v>
      </c>
      <c r="AC366" s="2">
        <v>17</v>
      </c>
      <c r="AD366">
        <v>3</v>
      </c>
      <c r="AE366">
        <v>3</v>
      </c>
      <c r="AF366" s="2">
        <v>5</v>
      </c>
      <c r="AG366">
        <v>4</v>
      </c>
      <c r="AH366">
        <v>0</v>
      </c>
      <c r="AI366">
        <v>3</v>
      </c>
      <c r="AJ366" s="2" t="str">
        <f>IF(A366 A366 &lt;= 25, "18-25", IF(A366 &lt;=35, "26-35", IF(A366 &lt;=45, "36-45", IF(Table3[[#This Row],[Age]] &lt;=55, "46-55", "56+"))))</f>
        <v>36-45</v>
      </c>
      <c r="AK366" t="str">
        <f t="shared" si="5"/>
        <v>Low</v>
      </c>
      <c r="AL366" s="2" t="str">
        <f>IF(AF366 &lt; 3, "0-2 Years", IF(AF366 &lt;= 5, "3-5 Years", IF(AF366 &lt;= 10, "6-10 Years",IF(Table3[[#This Row],[Years At Company]]&lt;=20, "11-20 Years","20+ Years"))))</f>
        <v>3-5 Years</v>
      </c>
    </row>
    <row r="367" spans="1:38" x14ac:dyDescent="0.25">
      <c r="A367" s="2">
        <v>46</v>
      </c>
      <c r="B367" t="s">
        <v>43</v>
      </c>
      <c r="C367" t="s">
        <v>55</v>
      </c>
      <c r="D367" s="2">
        <v>1144</v>
      </c>
      <c r="E367" t="s">
        <v>45</v>
      </c>
      <c r="F367" s="2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 s="2">
        <v>5258</v>
      </c>
      <c r="T367">
        <v>16044</v>
      </c>
      <c r="U367">
        <v>2</v>
      </c>
      <c r="V367" t="s">
        <v>42</v>
      </c>
      <c r="W367" t="s">
        <v>43</v>
      </c>
      <c r="X367" s="2">
        <v>14</v>
      </c>
      <c r="Y367">
        <v>3</v>
      </c>
      <c r="Z367">
        <v>3</v>
      </c>
      <c r="AA367">
        <v>80</v>
      </c>
      <c r="AB367">
        <v>0</v>
      </c>
      <c r="AC367" s="2">
        <v>7</v>
      </c>
      <c r="AD367">
        <v>2</v>
      </c>
      <c r="AE367">
        <v>4</v>
      </c>
      <c r="AF367" s="2">
        <v>1</v>
      </c>
      <c r="AG367">
        <v>0</v>
      </c>
      <c r="AH367">
        <v>0</v>
      </c>
      <c r="AI367">
        <v>0</v>
      </c>
      <c r="AJ367" s="2" t="str">
        <f>IF(A367 A367 &lt;= 25, "18-25", IF(A367 &lt;=35, "26-35", IF(A367 &lt;=45, "36-45", IF(Table3[[#This Row],[Age]] &lt;=55, "46-55", "56+"))))</f>
        <v>46-55</v>
      </c>
      <c r="AK367" t="str">
        <f t="shared" si="5"/>
        <v>Medium</v>
      </c>
      <c r="AL367" s="2" t="str">
        <f>IF(AF367 &lt; 3, "0-2 Years", IF(AF367 &lt;= 5, "3-5 Years", IF(AF367 &lt;= 10, "6-10 Years",IF(Table3[[#This Row],[Years At Company]]&lt;=20, "11-20 Years","20+ Years"))))</f>
        <v>0-2 Years</v>
      </c>
    </row>
    <row r="368" spans="1:38" x14ac:dyDescent="0.25">
      <c r="A368" s="2">
        <v>41</v>
      </c>
      <c r="B368" t="s">
        <v>35</v>
      </c>
      <c r="C368" t="s">
        <v>44</v>
      </c>
      <c r="D368" s="2">
        <v>143</v>
      </c>
      <c r="E368" t="s">
        <v>37</v>
      </c>
      <c r="F368" s="2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 s="2">
        <v>9355</v>
      </c>
      <c r="T368">
        <v>9558</v>
      </c>
      <c r="U368">
        <v>1</v>
      </c>
      <c r="V368" t="s">
        <v>42</v>
      </c>
      <c r="W368" t="s">
        <v>43</v>
      </c>
      <c r="X368" s="2">
        <v>18</v>
      </c>
      <c r="Y368">
        <v>3</v>
      </c>
      <c r="Z368">
        <v>3</v>
      </c>
      <c r="AA368">
        <v>80</v>
      </c>
      <c r="AB368">
        <v>0</v>
      </c>
      <c r="AC368" s="2">
        <v>8</v>
      </c>
      <c r="AD368">
        <v>5</v>
      </c>
      <c r="AE368">
        <v>3</v>
      </c>
      <c r="AF368" s="2">
        <v>8</v>
      </c>
      <c r="AG368">
        <v>7</v>
      </c>
      <c r="AH368">
        <v>7</v>
      </c>
      <c r="AI368">
        <v>7</v>
      </c>
      <c r="AJ368" s="2" t="str">
        <f>IF(A368 A368 &lt;= 25, "18-25", IF(A368 &lt;=35, "26-35", IF(A368 &lt;=45, "36-45", IF(Table3[[#This Row],[Age]] &lt;=55, "46-55", "56+"))))</f>
        <v>36-45</v>
      </c>
      <c r="AK368" t="str">
        <f t="shared" si="5"/>
        <v>Medium</v>
      </c>
      <c r="AL368" s="2" t="str">
        <f>IF(AF368 &lt; 3, "0-2 Years", IF(AF368 &lt;= 5, "3-5 Years", IF(AF368 &lt;= 10, "6-10 Years",IF(Table3[[#This Row],[Years At Company]]&lt;=20, "11-20 Years","20+ Years"))))</f>
        <v>6-10 Years</v>
      </c>
    </row>
    <row r="369" spans="1:38" x14ac:dyDescent="0.25">
      <c r="A369" s="2">
        <v>50</v>
      </c>
      <c r="B369" t="s">
        <v>43</v>
      </c>
      <c r="C369" t="s">
        <v>36</v>
      </c>
      <c r="D369" s="2">
        <v>1046</v>
      </c>
      <c r="E369" t="s">
        <v>45</v>
      </c>
      <c r="F369" s="2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 s="2">
        <v>10496</v>
      </c>
      <c r="T369">
        <v>2755</v>
      </c>
      <c r="U369">
        <v>6</v>
      </c>
      <c r="V369" t="s">
        <v>42</v>
      </c>
      <c r="W369" t="s">
        <v>43</v>
      </c>
      <c r="X369" s="2">
        <v>15</v>
      </c>
      <c r="Y369">
        <v>3</v>
      </c>
      <c r="Z369">
        <v>4</v>
      </c>
      <c r="AA369">
        <v>80</v>
      </c>
      <c r="AB369">
        <v>0</v>
      </c>
      <c r="AC369" s="2">
        <v>20</v>
      </c>
      <c r="AD369">
        <v>2</v>
      </c>
      <c r="AE369">
        <v>3</v>
      </c>
      <c r="AF369" s="2">
        <v>4</v>
      </c>
      <c r="AG369">
        <v>3</v>
      </c>
      <c r="AH369">
        <v>1</v>
      </c>
      <c r="AI369">
        <v>3</v>
      </c>
      <c r="AJ369" s="2" t="str">
        <f>IF(A369 A369 &lt;= 25, "18-25", IF(A369 &lt;=35, "26-35", IF(A369 &lt;=45, "36-45", IF(Table3[[#This Row],[Age]] &lt;=55, "46-55", "56+"))))</f>
        <v>46-55</v>
      </c>
      <c r="AK369" t="str">
        <f t="shared" si="5"/>
        <v>High</v>
      </c>
      <c r="AL369" s="2" t="str">
        <f>IF(AF369 &lt; 3, "0-2 Years", IF(AF369 &lt;= 5, "3-5 Years", IF(AF369 &lt;= 10, "6-10 Years",IF(Table3[[#This Row],[Years At Company]]&lt;=20, "11-20 Years","20+ Years"))))</f>
        <v>3-5 Years</v>
      </c>
    </row>
    <row r="370" spans="1:38" x14ac:dyDescent="0.25">
      <c r="A370" s="2">
        <v>40</v>
      </c>
      <c r="B370" t="s">
        <v>35</v>
      </c>
      <c r="C370" t="s">
        <v>36</v>
      </c>
      <c r="D370" s="2">
        <v>575</v>
      </c>
      <c r="E370" t="s">
        <v>37</v>
      </c>
      <c r="F370" s="2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 s="2">
        <v>6380</v>
      </c>
      <c r="T370">
        <v>6110</v>
      </c>
      <c r="U370">
        <v>2</v>
      </c>
      <c r="V370" t="s">
        <v>42</v>
      </c>
      <c r="W370" t="s">
        <v>35</v>
      </c>
      <c r="X370" s="2">
        <v>12</v>
      </c>
      <c r="Y370">
        <v>3</v>
      </c>
      <c r="Z370">
        <v>1</v>
      </c>
      <c r="AA370">
        <v>80</v>
      </c>
      <c r="AB370">
        <v>2</v>
      </c>
      <c r="AC370" s="2">
        <v>8</v>
      </c>
      <c r="AD370">
        <v>6</v>
      </c>
      <c r="AE370">
        <v>3</v>
      </c>
      <c r="AF370" s="2">
        <v>6</v>
      </c>
      <c r="AG370">
        <v>4</v>
      </c>
      <c r="AH370">
        <v>1</v>
      </c>
      <c r="AI370">
        <v>0</v>
      </c>
      <c r="AJ370" s="2" t="str">
        <f>IF(A370 A370 &lt;= 25, "18-25", IF(A370 &lt;=35, "26-35", IF(A370 &lt;=45, "36-45", IF(Table3[[#This Row],[Age]] &lt;=55, "46-55", "56+"))))</f>
        <v>36-45</v>
      </c>
      <c r="AK370" t="str">
        <f t="shared" si="5"/>
        <v>Medium</v>
      </c>
      <c r="AL370" s="2" t="str">
        <f>IF(AF370 &lt; 3, "0-2 Years", IF(AF370 &lt;= 5, "3-5 Years", IF(AF370 &lt;= 10, "6-10 Years",IF(Table3[[#This Row],[Years At Company]]&lt;=20, "11-20 Years","20+ Years"))))</f>
        <v>6-10 Years</v>
      </c>
    </row>
    <row r="371" spans="1:38" x14ac:dyDescent="0.25">
      <c r="A371" s="2">
        <v>31</v>
      </c>
      <c r="B371" t="s">
        <v>43</v>
      </c>
      <c r="C371" t="s">
        <v>36</v>
      </c>
      <c r="D371" s="2">
        <v>408</v>
      </c>
      <c r="E371" t="s">
        <v>45</v>
      </c>
      <c r="F371" s="2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 s="2">
        <v>2657</v>
      </c>
      <c r="T371">
        <v>7551</v>
      </c>
      <c r="U371">
        <v>0</v>
      </c>
      <c r="V371" t="s">
        <v>42</v>
      </c>
      <c r="W371" t="s">
        <v>35</v>
      </c>
      <c r="X371" s="2">
        <v>16</v>
      </c>
      <c r="Y371">
        <v>3</v>
      </c>
      <c r="Z371">
        <v>4</v>
      </c>
      <c r="AA371">
        <v>80</v>
      </c>
      <c r="AB371">
        <v>0</v>
      </c>
      <c r="AC371" s="2">
        <v>3</v>
      </c>
      <c r="AD371">
        <v>5</v>
      </c>
      <c r="AE371">
        <v>3</v>
      </c>
      <c r="AF371" s="2">
        <v>2</v>
      </c>
      <c r="AG371">
        <v>2</v>
      </c>
      <c r="AH371">
        <v>2</v>
      </c>
      <c r="AI371">
        <v>2</v>
      </c>
      <c r="AJ371" s="2" t="str">
        <f>IF(A371 A371 &lt;= 25, "18-25", IF(A371 &lt;=35, "26-35", IF(A371 &lt;=45, "36-45", IF(Table3[[#This Row],[Age]] &lt;=55, "46-55", "56+"))))</f>
        <v>26-35</v>
      </c>
      <c r="AK371" t="str">
        <f t="shared" si="5"/>
        <v>Low</v>
      </c>
      <c r="AL371" s="2" t="str">
        <f>IF(AF371 &lt; 3, "0-2 Years", IF(AF371 &lt;= 5, "3-5 Years", IF(AF371 &lt;= 10, "6-10 Years",IF(Table3[[#This Row],[Years At Company]]&lt;=20, "11-20 Years","20+ Years"))))</f>
        <v>0-2 Years</v>
      </c>
    </row>
    <row r="372" spans="1:38" x14ac:dyDescent="0.25">
      <c r="A372" s="2">
        <v>21</v>
      </c>
      <c r="B372" t="s">
        <v>35</v>
      </c>
      <c r="C372" t="s">
        <v>36</v>
      </c>
      <c r="D372" s="2">
        <v>156</v>
      </c>
      <c r="E372" t="s">
        <v>37</v>
      </c>
      <c r="F372" s="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 s="2">
        <v>2716</v>
      </c>
      <c r="T372">
        <v>25422</v>
      </c>
      <c r="U372">
        <v>1</v>
      </c>
      <c r="V372" t="s">
        <v>42</v>
      </c>
      <c r="W372" t="s">
        <v>43</v>
      </c>
      <c r="X372" s="2">
        <v>15</v>
      </c>
      <c r="Y372">
        <v>3</v>
      </c>
      <c r="Z372">
        <v>4</v>
      </c>
      <c r="AA372">
        <v>80</v>
      </c>
      <c r="AB372">
        <v>0</v>
      </c>
      <c r="AC372" s="2">
        <v>1</v>
      </c>
      <c r="AD372">
        <v>0</v>
      </c>
      <c r="AE372">
        <v>3</v>
      </c>
      <c r="AF372" s="2">
        <v>1</v>
      </c>
      <c r="AG372">
        <v>0</v>
      </c>
      <c r="AH372">
        <v>0</v>
      </c>
      <c r="AI372">
        <v>0</v>
      </c>
      <c r="AJ372" s="2" t="str">
        <f>IF(A372 A372 &lt;= 25, "18-25", IF(A372 &lt;=35, "26-35", IF(A372 &lt;=45, "36-45", IF(Table3[[#This Row],[Age]] &lt;=55, "46-55", "56+"))))</f>
        <v>18-25</v>
      </c>
      <c r="AK372" t="str">
        <f t="shared" si="5"/>
        <v>Low</v>
      </c>
      <c r="AL372" s="2" t="str">
        <f>IF(AF372 &lt; 3, "0-2 Years", IF(AF372 &lt;= 5, "3-5 Years", IF(AF372 &lt;= 10, "6-10 Years",IF(Table3[[#This Row],[Years At Company]]&lt;=20, "11-20 Years","20+ Years"))))</f>
        <v>0-2 Years</v>
      </c>
    </row>
    <row r="373" spans="1:38" x14ac:dyDescent="0.25">
      <c r="A373" s="2">
        <v>29</v>
      </c>
      <c r="B373" t="s">
        <v>43</v>
      </c>
      <c r="C373" t="s">
        <v>36</v>
      </c>
      <c r="D373" s="2">
        <v>1283</v>
      </c>
      <c r="E373" t="s">
        <v>45</v>
      </c>
      <c r="F373" s="2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 s="2">
        <v>2201</v>
      </c>
      <c r="T373">
        <v>18168</v>
      </c>
      <c r="U373">
        <v>9</v>
      </c>
      <c r="V373" t="s">
        <v>42</v>
      </c>
      <c r="W373" t="s">
        <v>43</v>
      </c>
      <c r="X373" s="2">
        <v>16</v>
      </c>
      <c r="Y373">
        <v>3</v>
      </c>
      <c r="Z373">
        <v>4</v>
      </c>
      <c r="AA373">
        <v>80</v>
      </c>
      <c r="AB373">
        <v>0</v>
      </c>
      <c r="AC373" s="2">
        <v>6</v>
      </c>
      <c r="AD373">
        <v>4</v>
      </c>
      <c r="AE373">
        <v>3</v>
      </c>
      <c r="AF373" s="2">
        <v>3</v>
      </c>
      <c r="AG373">
        <v>2</v>
      </c>
      <c r="AH373">
        <v>1</v>
      </c>
      <c r="AI373">
        <v>2</v>
      </c>
      <c r="AJ373" s="2" t="str">
        <f>IF(A373 A373 &lt;= 25, "18-25", IF(A373 &lt;=35, "26-35", IF(A373 &lt;=45, "36-45", IF(Table3[[#This Row],[Age]] &lt;=55, "46-55", "56+"))))</f>
        <v>26-35</v>
      </c>
      <c r="AK373" t="str">
        <f t="shared" si="5"/>
        <v>Low</v>
      </c>
      <c r="AL373" s="2" t="str">
        <f>IF(AF373 &lt; 3, "0-2 Years", IF(AF373 &lt;= 5, "3-5 Years", IF(AF373 &lt;= 10, "6-10 Years",IF(Table3[[#This Row],[Years At Company]]&lt;=20, "11-20 Years","20+ Years"))))</f>
        <v>3-5 Years</v>
      </c>
    </row>
    <row r="374" spans="1:38" x14ac:dyDescent="0.25">
      <c r="A374" s="2">
        <v>35</v>
      </c>
      <c r="B374" t="s">
        <v>43</v>
      </c>
      <c r="C374" t="s">
        <v>36</v>
      </c>
      <c r="D374" s="2">
        <v>755</v>
      </c>
      <c r="E374" t="s">
        <v>45</v>
      </c>
      <c r="F374" s="2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 s="2">
        <v>6540</v>
      </c>
      <c r="T374">
        <v>19394</v>
      </c>
      <c r="U374">
        <v>9</v>
      </c>
      <c r="V374" t="s">
        <v>42</v>
      </c>
      <c r="W374" t="s">
        <v>43</v>
      </c>
      <c r="X374" s="2">
        <v>19</v>
      </c>
      <c r="Y374">
        <v>3</v>
      </c>
      <c r="Z374">
        <v>3</v>
      </c>
      <c r="AA374">
        <v>80</v>
      </c>
      <c r="AB374">
        <v>0</v>
      </c>
      <c r="AC374" s="2">
        <v>10</v>
      </c>
      <c r="AD374">
        <v>5</v>
      </c>
      <c r="AE374">
        <v>3</v>
      </c>
      <c r="AF374" s="2">
        <v>1</v>
      </c>
      <c r="AG374">
        <v>1</v>
      </c>
      <c r="AH374">
        <v>0</v>
      </c>
      <c r="AI374">
        <v>0</v>
      </c>
      <c r="AJ374" s="2" t="str">
        <f>IF(A374 A374 &lt;= 25, "18-25", IF(A374 &lt;=35, "26-35", IF(A374 &lt;=45, "36-45", IF(Table3[[#This Row],[Age]] &lt;=55, "46-55", "56+"))))</f>
        <v>26-35</v>
      </c>
      <c r="AK374" t="str">
        <f t="shared" si="5"/>
        <v>Medium</v>
      </c>
      <c r="AL374" s="2" t="str">
        <f>IF(AF374 &lt; 3, "0-2 Years", IF(AF374 &lt;= 5, "3-5 Years", IF(AF374 &lt;= 10, "6-10 Years",IF(Table3[[#This Row],[Years At Company]]&lt;=20, "11-20 Years","20+ Years"))))</f>
        <v>0-2 Years</v>
      </c>
    </row>
    <row r="375" spans="1:38" x14ac:dyDescent="0.25">
      <c r="A375" s="2">
        <v>27</v>
      </c>
      <c r="B375" t="s">
        <v>43</v>
      </c>
      <c r="C375" t="s">
        <v>36</v>
      </c>
      <c r="D375" s="2">
        <v>1469</v>
      </c>
      <c r="E375" t="s">
        <v>45</v>
      </c>
      <c r="F375" s="2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 s="2">
        <v>3816</v>
      </c>
      <c r="T375">
        <v>17881</v>
      </c>
      <c r="U375">
        <v>1</v>
      </c>
      <c r="V375" t="s">
        <v>42</v>
      </c>
      <c r="W375" t="s">
        <v>43</v>
      </c>
      <c r="X375" s="2">
        <v>11</v>
      </c>
      <c r="Y375">
        <v>3</v>
      </c>
      <c r="Z375">
        <v>2</v>
      </c>
      <c r="AA375">
        <v>80</v>
      </c>
      <c r="AB375">
        <v>1</v>
      </c>
      <c r="AC375" s="2">
        <v>5</v>
      </c>
      <c r="AD375">
        <v>2</v>
      </c>
      <c r="AE375">
        <v>3</v>
      </c>
      <c r="AF375" s="2">
        <v>5</v>
      </c>
      <c r="AG375">
        <v>2</v>
      </c>
      <c r="AH375">
        <v>0</v>
      </c>
      <c r="AI375">
        <v>4</v>
      </c>
      <c r="AJ375" s="2" t="str">
        <f>IF(A375 A375 &lt;= 25, "18-25", IF(A375 &lt;=35, "26-35", IF(A375 &lt;=45, "36-45", IF(Table3[[#This Row],[Age]] &lt;=55, "46-55", "56+"))))</f>
        <v>26-35</v>
      </c>
      <c r="AK375" t="str">
        <f t="shared" si="5"/>
        <v>Low</v>
      </c>
      <c r="AL375" s="2" t="str">
        <f>IF(AF375 &lt; 3, "0-2 Years", IF(AF375 &lt;= 5, "3-5 Years", IF(AF375 &lt;= 10, "6-10 Years",IF(Table3[[#This Row],[Years At Company]]&lt;=20, "11-20 Years","20+ Years"))))</f>
        <v>3-5 Years</v>
      </c>
    </row>
    <row r="376" spans="1:38" x14ac:dyDescent="0.25">
      <c r="A376" s="2">
        <v>28</v>
      </c>
      <c r="B376" t="s">
        <v>43</v>
      </c>
      <c r="C376" t="s">
        <v>36</v>
      </c>
      <c r="D376" s="2">
        <v>304</v>
      </c>
      <c r="E376" t="s">
        <v>37</v>
      </c>
      <c r="F376" s="2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 s="2">
        <v>5253</v>
      </c>
      <c r="T376">
        <v>20750</v>
      </c>
      <c r="U376">
        <v>1</v>
      </c>
      <c r="V376" t="s">
        <v>42</v>
      </c>
      <c r="W376" t="s">
        <v>43</v>
      </c>
      <c r="X376" s="2">
        <v>16</v>
      </c>
      <c r="Y376">
        <v>3</v>
      </c>
      <c r="Z376">
        <v>4</v>
      </c>
      <c r="AA376">
        <v>80</v>
      </c>
      <c r="AB376">
        <v>0</v>
      </c>
      <c r="AC376" s="2">
        <v>7</v>
      </c>
      <c r="AD376">
        <v>1</v>
      </c>
      <c r="AE376">
        <v>3</v>
      </c>
      <c r="AF376" s="2">
        <v>7</v>
      </c>
      <c r="AG376">
        <v>5</v>
      </c>
      <c r="AH376">
        <v>0</v>
      </c>
      <c r="AI376">
        <v>7</v>
      </c>
      <c r="AJ376" s="2" t="str">
        <f>IF(A376 A376 &lt;= 25, "18-25", IF(A376 &lt;=35, "26-35", IF(A376 &lt;=45, "36-45", IF(Table3[[#This Row],[Age]] &lt;=55, "46-55", "56+"))))</f>
        <v>26-35</v>
      </c>
      <c r="AK376" t="str">
        <f t="shared" si="5"/>
        <v>Medium</v>
      </c>
      <c r="AL376" s="2" t="str">
        <f>IF(AF376 &lt; 3, "0-2 Years", IF(AF376 &lt;= 5, "3-5 Years", IF(AF376 &lt;= 10, "6-10 Years",IF(Table3[[#This Row],[Years At Company]]&lt;=20, "11-20 Years","20+ Years"))))</f>
        <v>6-10 Years</v>
      </c>
    </row>
    <row r="377" spans="1:38" x14ac:dyDescent="0.25">
      <c r="A377" s="2">
        <v>49</v>
      </c>
      <c r="B377" t="s">
        <v>43</v>
      </c>
      <c r="C377" t="s">
        <v>36</v>
      </c>
      <c r="D377" s="2">
        <v>1261</v>
      </c>
      <c r="E377" t="s">
        <v>45</v>
      </c>
      <c r="F377" s="2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 s="2">
        <v>10965</v>
      </c>
      <c r="T377">
        <v>12066</v>
      </c>
      <c r="U377">
        <v>8</v>
      </c>
      <c r="V377" t="s">
        <v>42</v>
      </c>
      <c r="W377" t="s">
        <v>43</v>
      </c>
      <c r="X377" s="2">
        <v>24</v>
      </c>
      <c r="Y377">
        <v>4</v>
      </c>
      <c r="Z377">
        <v>3</v>
      </c>
      <c r="AA377">
        <v>80</v>
      </c>
      <c r="AB377">
        <v>0</v>
      </c>
      <c r="AC377" s="2">
        <v>26</v>
      </c>
      <c r="AD377">
        <v>2</v>
      </c>
      <c r="AE377">
        <v>3</v>
      </c>
      <c r="AF377" s="2">
        <v>5</v>
      </c>
      <c r="AG377">
        <v>2</v>
      </c>
      <c r="AH377">
        <v>0</v>
      </c>
      <c r="AI377">
        <v>0</v>
      </c>
      <c r="AJ377" s="2" t="str">
        <f>IF(A377 A377 &lt;= 25, "18-25", IF(A377 &lt;=35, "26-35", IF(A377 &lt;=45, "36-45", IF(Table3[[#This Row],[Age]] &lt;=55, "46-55", "56+"))))</f>
        <v>46-55</v>
      </c>
      <c r="AK377" t="str">
        <f t="shared" si="5"/>
        <v>High</v>
      </c>
      <c r="AL377" s="2" t="str">
        <f>IF(AF377 &lt; 3, "0-2 Years", IF(AF377 &lt;= 5, "3-5 Years", IF(AF377 &lt;= 10, "6-10 Years",IF(Table3[[#This Row],[Years At Company]]&lt;=20, "11-20 Years","20+ Years"))))</f>
        <v>3-5 Years</v>
      </c>
    </row>
    <row r="378" spans="1:38" x14ac:dyDescent="0.25">
      <c r="A378" s="2">
        <v>51</v>
      </c>
      <c r="B378" t="s">
        <v>43</v>
      </c>
      <c r="C378" t="s">
        <v>36</v>
      </c>
      <c r="D378" s="2">
        <v>1178</v>
      </c>
      <c r="E378" t="s">
        <v>37</v>
      </c>
      <c r="F378" s="2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 s="2">
        <v>4936</v>
      </c>
      <c r="T378">
        <v>14862</v>
      </c>
      <c r="U378">
        <v>4</v>
      </c>
      <c r="V378" t="s">
        <v>42</v>
      </c>
      <c r="W378" t="s">
        <v>43</v>
      </c>
      <c r="X378" s="2">
        <v>11</v>
      </c>
      <c r="Y378">
        <v>3</v>
      </c>
      <c r="Z378">
        <v>3</v>
      </c>
      <c r="AA378">
        <v>80</v>
      </c>
      <c r="AB378">
        <v>1</v>
      </c>
      <c r="AC378" s="2">
        <v>18</v>
      </c>
      <c r="AD378">
        <v>2</v>
      </c>
      <c r="AE378">
        <v>2</v>
      </c>
      <c r="AF378" s="2">
        <v>7</v>
      </c>
      <c r="AG378">
        <v>7</v>
      </c>
      <c r="AH378">
        <v>0</v>
      </c>
      <c r="AI378">
        <v>7</v>
      </c>
      <c r="AJ378" s="2" t="str">
        <f>IF(A378 A378 &lt;= 25, "18-25", IF(A378 &lt;=35, "26-35", IF(A378 &lt;=45, "36-45", IF(Table3[[#This Row],[Age]] &lt;=55, "46-55", "56+"))))</f>
        <v>46-55</v>
      </c>
      <c r="AK378" t="str">
        <f t="shared" si="5"/>
        <v>Low</v>
      </c>
      <c r="AL378" s="2" t="str">
        <f>IF(AF378 &lt; 3, "0-2 Years", IF(AF378 &lt;= 5, "3-5 Years", IF(AF378 &lt;= 10, "6-10 Years",IF(Table3[[#This Row],[Years At Company]]&lt;=20, "11-20 Years","20+ Years"))))</f>
        <v>6-10 Years</v>
      </c>
    </row>
    <row r="379" spans="1:38" x14ac:dyDescent="0.25">
      <c r="A379" s="2">
        <v>36</v>
      </c>
      <c r="B379" t="s">
        <v>43</v>
      </c>
      <c r="C379" t="s">
        <v>36</v>
      </c>
      <c r="D379" s="2">
        <v>329</v>
      </c>
      <c r="E379" t="s">
        <v>45</v>
      </c>
      <c r="F379" s="2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 s="2">
        <v>2543</v>
      </c>
      <c r="T379">
        <v>11868</v>
      </c>
      <c r="U379">
        <v>4</v>
      </c>
      <c r="V379" t="s">
        <v>42</v>
      </c>
      <c r="W379" t="s">
        <v>43</v>
      </c>
      <c r="X379" s="2">
        <v>13</v>
      </c>
      <c r="Y379">
        <v>3</v>
      </c>
      <c r="Z379">
        <v>2</v>
      </c>
      <c r="AA379">
        <v>80</v>
      </c>
      <c r="AB379">
        <v>1</v>
      </c>
      <c r="AC379" s="2">
        <v>6</v>
      </c>
      <c r="AD379">
        <v>3</v>
      </c>
      <c r="AE379">
        <v>3</v>
      </c>
      <c r="AF379" s="2">
        <v>2</v>
      </c>
      <c r="AG379">
        <v>2</v>
      </c>
      <c r="AH379">
        <v>2</v>
      </c>
      <c r="AI379">
        <v>2</v>
      </c>
      <c r="AJ379" s="2" t="str">
        <f>IF(A379 A379 &lt;= 25, "18-25", IF(A379 &lt;=35, "26-35", IF(A379 &lt;=45, "36-45", IF(Table3[[#This Row],[Age]] &lt;=55, "46-55", "56+"))))</f>
        <v>36-45</v>
      </c>
      <c r="AK379" t="str">
        <f t="shared" si="5"/>
        <v>Low</v>
      </c>
      <c r="AL379" s="2" t="str">
        <f>IF(AF379 &lt; 3, "0-2 Years", IF(AF379 &lt;= 5, "3-5 Years", IF(AF379 &lt;= 10, "6-10 Years",IF(Table3[[#This Row],[Years At Company]]&lt;=20, "11-20 Years","20+ Years"))))</f>
        <v>0-2 Years</v>
      </c>
    </row>
    <row r="380" spans="1:38" x14ac:dyDescent="0.25">
      <c r="A380" s="2">
        <v>34</v>
      </c>
      <c r="B380" t="s">
        <v>35</v>
      </c>
      <c r="C380" t="s">
        <v>55</v>
      </c>
      <c r="D380" s="2">
        <v>1362</v>
      </c>
      <c r="E380" t="s">
        <v>37</v>
      </c>
      <c r="F380" s="2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 s="2">
        <v>5304</v>
      </c>
      <c r="T380">
        <v>4652</v>
      </c>
      <c r="U380">
        <v>8</v>
      </c>
      <c r="V380" t="s">
        <v>42</v>
      </c>
      <c r="W380" t="s">
        <v>35</v>
      </c>
      <c r="X380" s="2">
        <v>13</v>
      </c>
      <c r="Y380">
        <v>3</v>
      </c>
      <c r="Z380">
        <v>2</v>
      </c>
      <c r="AA380">
        <v>80</v>
      </c>
      <c r="AB380">
        <v>0</v>
      </c>
      <c r="AC380" s="2">
        <v>9</v>
      </c>
      <c r="AD380">
        <v>3</v>
      </c>
      <c r="AE380">
        <v>2</v>
      </c>
      <c r="AF380" s="2">
        <v>5</v>
      </c>
      <c r="AG380">
        <v>2</v>
      </c>
      <c r="AH380">
        <v>0</v>
      </c>
      <c r="AI380">
        <v>4</v>
      </c>
      <c r="AJ380" s="2" t="str">
        <f>IF(A380 A380 &lt;= 25, "18-25", IF(A380 &lt;=35, "26-35", IF(A380 &lt;=45, "36-45", IF(Table3[[#This Row],[Age]] &lt;=55, "46-55", "56+"))))</f>
        <v>26-35</v>
      </c>
      <c r="AK380" t="str">
        <f t="shared" si="5"/>
        <v>Medium</v>
      </c>
      <c r="AL380" s="2" t="str">
        <f>IF(AF380 &lt; 3, "0-2 Years", IF(AF380 &lt;= 5, "3-5 Years", IF(AF380 &lt;= 10, "6-10 Years",IF(Table3[[#This Row],[Years At Company]]&lt;=20, "11-20 Years","20+ Years"))))</f>
        <v>3-5 Years</v>
      </c>
    </row>
    <row r="381" spans="1:38" x14ac:dyDescent="0.25">
      <c r="A381" s="2">
        <v>55</v>
      </c>
      <c r="B381" t="s">
        <v>43</v>
      </c>
      <c r="C381" t="s">
        <v>36</v>
      </c>
      <c r="D381" s="2">
        <v>1311</v>
      </c>
      <c r="E381" t="s">
        <v>45</v>
      </c>
      <c r="F381" s="2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 s="2">
        <v>16659</v>
      </c>
      <c r="T381">
        <v>23258</v>
      </c>
      <c r="U381">
        <v>2</v>
      </c>
      <c r="V381" t="s">
        <v>42</v>
      </c>
      <c r="W381" t="s">
        <v>35</v>
      </c>
      <c r="X381" s="2">
        <v>13</v>
      </c>
      <c r="Y381">
        <v>3</v>
      </c>
      <c r="Z381">
        <v>3</v>
      </c>
      <c r="AA381">
        <v>80</v>
      </c>
      <c r="AB381">
        <v>0</v>
      </c>
      <c r="AC381" s="2">
        <v>30</v>
      </c>
      <c r="AD381">
        <v>2</v>
      </c>
      <c r="AE381">
        <v>3</v>
      </c>
      <c r="AF381" s="2">
        <v>5</v>
      </c>
      <c r="AG381">
        <v>4</v>
      </c>
      <c r="AH381">
        <v>1</v>
      </c>
      <c r="AI381">
        <v>2</v>
      </c>
      <c r="AJ381" s="2" t="str">
        <f>IF(A381 A381 &lt;= 25, "18-25", IF(A381 &lt;=35, "26-35", IF(A381 &lt;=45, "36-45", IF(Table3[[#This Row],[Age]] &lt;=55, "46-55", "56+"))))</f>
        <v>46-55</v>
      </c>
      <c r="AK381" t="str">
        <f t="shared" si="5"/>
        <v>High</v>
      </c>
      <c r="AL381" s="2" t="str">
        <f>IF(AF381 &lt; 3, "0-2 Years", IF(AF381 &lt;= 5, "3-5 Years", IF(AF381 &lt;= 10, "6-10 Years",IF(Table3[[#This Row],[Years At Company]]&lt;=20, "11-20 Years","20+ Years"))))</f>
        <v>3-5 Years</v>
      </c>
    </row>
    <row r="382" spans="1:38" x14ac:dyDescent="0.25">
      <c r="A382" s="2">
        <v>24</v>
      </c>
      <c r="B382" t="s">
        <v>43</v>
      </c>
      <c r="C382" t="s">
        <v>36</v>
      </c>
      <c r="D382" s="2">
        <v>1371</v>
      </c>
      <c r="E382" t="s">
        <v>37</v>
      </c>
      <c r="F382" s="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 s="2">
        <v>4260</v>
      </c>
      <c r="T382">
        <v>5915</v>
      </c>
      <c r="U382">
        <v>1</v>
      </c>
      <c r="V382" t="s">
        <v>42</v>
      </c>
      <c r="W382" t="s">
        <v>35</v>
      </c>
      <c r="X382" s="2">
        <v>12</v>
      </c>
      <c r="Y382">
        <v>3</v>
      </c>
      <c r="Z382">
        <v>4</v>
      </c>
      <c r="AA382">
        <v>80</v>
      </c>
      <c r="AB382">
        <v>1</v>
      </c>
      <c r="AC382" s="2">
        <v>5</v>
      </c>
      <c r="AD382">
        <v>2</v>
      </c>
      <c r="AE382">
        <v>4</v>
      </c>
      <c r="AF382" s="2">
        <v>5</v>
      </c>
      <c r="AG382">
        <v>2</v>
      </c>
      <c r="AH382">
        <v>0</v>
      </c>
      <c r="AI382">
        <v>3</v>
      </c>
      <c r="AJ382" s="2" t="str">
        <f>IF(A382 A382 &lt;= 25, "18-25", IF(A382 &lt;=35, "26-35", IF(A382 &lt;=45, "36-45", IF(Table3[[#This Row],[Age]] &lt;=55, "46-55", "56+"))))</f>
        <v>18-25</v>
      </c>
      <c r="AK382" t="str">
        <f t="shared" si="5"/>
        <v>Low</v>
      </c>
      <c r="AL382" s="2" t="str">
        <f>IF(AF382 &lt; 3, "0-2 Years", IF(AF382 &lt;= 5, "3-5 Years", IF(AF382 &lt;= 10, "6-10 Years",IF(Table3[[#This Row],[Years At Company]]&lt;=20, "11-20 Years","20+ Years"))))</f>
        <v>3-5 Years</v>
      </c>
    </row>
    <row r="383" spans="1:38" x14ac:dyDescent="0.25">
      <c r="A383" s="2">
        <v>30</v>
      </c>
      <c r="B383" t="s">
        <v>43</v>
      </c>
      <c r="C383" t="s">
        <v>36</v>
      </c>
      <c r="D383" s="2">
        <v>202</v>
      </c>
      <c r="E383" t="s">
        <v>37</v>
      </c>
      <c r="F383" s="2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 s="2">
        <v>2476</v>
      </c>
      <c r="T383">
        <v>17434</v>
      </c>
      <c r="U383">
        <v>1</v>
      </c>
      <c r="V383" t="s">
        <v>42</v>
      </c>
      <c r="W383" t="s">
        <v>43</v>
      </c>
      <c r="X383" s="2">
        <v>18</v>
      </c>
      <c r="Y383">
        <v>3</v>
      </c>
      <c r="Z383">
        <v>1</v>
      </c>
      <c r="AA383">
        <v>80</v>
      </c>
      <c r="AB383">
        <v>1</v>
      </c>
      <c r="AC383" s="2">
        <v>1</v>
      </c>
      <c r="AD383">
        <v>3</v>
      </c>
      <c r="AE383">
        <v>3</v>
      </c>
      <c r="AF383" s="2">
        <v>1</v>
      </c>
      <c r="AG383">
        <v>0</v>
      </c>
      <c r="AH383">
        <v>0</v>
      </c>
      <c r="AI383">
        <v>0</v>
      </c>
      <c r="AJ383" s="2" t="str">
        <f>IF(A383 A383 &lt;= 25, "18-25", IF(A383 &lt;=35, "26-35", IF(A383 &lt;=45, "36-45", IF(Table3[[#This Row],[Age]] &lt;=55, "46-55", "56+"))))</f>
        <v>26-35</v>
      </c>
      <c r="AK383" t="str">
        <f t="shared" si="5"/>
        <v>Low</v>
      </c>
      <c r="AL383" s="2" t="str">
        <f>IF(AF383 &lt; 3, "0-2 Years", IF(AF383 &lt;= 5, "3-5 Years", IF(AF383 &lt;= 10, "6-10 Years",IF(Table3[[#This Row],[Years At Company]]&lt;=20, "11-20 Years","20+ Years"))))</f>
        <v>0-2 Years</v>
      </c>
    </row>
    <row r="384" spans="1:38" x14ac:dyDescent="0.25">
      <c r="A384" s="2">
        <v>26</v>
      </c>
      <c r="B384" t="s">
        <v>35</v>
      </c>
      <c r="C384" t="s">
        <v>44</v>
      </c>
      <c r="D384" s="2">
        <v>575</v>
      </c>
      <c r="E384" t="s">
        <v>45</v>
      </c>
      <c r="F384" s="2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 s="2">
        <v>3102</v>
      </c>
      <c r="T384">
        <v>6582</v>
      </c>
      <c r="U384">
        <v>0</v>
      </c>
      <c r="V384" t="s">
        <v>42</v>
      </c>
      <c r="W384" t="s">
        <v>43</v>
      </c>
      <c r="X384" s="2">
        <v>22</v>
      </c>
      <c r="Y384">
        <v>4</v>
      </c>
      <c r="Z384">
        <v>3</v>
      </c>
      <c r="AA384">
        <v>80</v>
      </c>
      <c r="AB384">
        <v>0</v>
      </c>
      <c r="AC384" s="2">
        <v>7</v>
      </c>
      <c r="AD384">
        <v>2</v>
      </c>
      <c r="AE384">
        <v>3</v>
      </c>
      <c r="AF384" s="2">
        <v>6</v>
      </c>
      <c r="AG384">
        <v>4</v>
      </c>
      <c r="AH384">
        <v>0</v>
      </c>
      <c r="AI384">
        <v>4</v>
      </c>
      <c r="AJ384" s="2" t="str">
        <f>IF(A384 A384 &lt;= 25, "18-25", IF(A384 &lt;=35, "26-35", IF(A384 &lt;=45, "36-45", IF(Table3[[#This Row],[Age]] &lt;=55, "46-55", "56+"))))</f>
        <v>26-35</v>
      </c>
      <c r="AK384" t="str">
        <f t="shared" si="5"/>
        <v>Low</v>
      </c>
      <c r="AL384" s="2" t="str">
        <f>IF(AF384 &lt; 3, "0-2 Years", IF(AF384 &lt;= 5, "3-5 Years", IF(AF384 &lt;= 10, "6-10 Years",IF(Table3[[#This Row],[Years At Company]]&lt;=20, "11-20 Years","20+ Years"))))</f>
        <v>6-10 Years</v>
      </c>
    </row>
    <row r="385" spans="1:38" x14ac:dyDescent="0.25">
      <c r="A385" s="2">
        <v>22</v>
      </c>
      <c r="B385" t="s">
        <v>43</v>
      </c>
      <c r="C385" t="s">
        <v>36</v>
      </c>
      <c r="D385" s="2">
        <v>253</v>
      </c>
      <c r="E385" t="s">
        <v>45</v>
      </c>
      <c r="F385" s="2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 s="2">
        <v>2244</v>
      </c>
      <c r="T385">
        <v>24440</v>
      </c>
      <c r="U385">
        <v>1</v>
      </c>
      <c r="V385" t="s">
        <v>42</v>
      </c>
      <c r="W385" t="s">
        <v>43</v>
      </c>
      <c r="X385" s="2">
        <v>13</v>
      </c>
      <c r="Y385">
        <v>3</v>
      </c>
      <c r="Z385">
        <v>4</v>
      </c>
      <c r="AA385">
        <v>80</v>
      </c>
      <c r="AB385">
        <v>1</v>
      </c>
      <c r="AC385" s="2">
        <v>2</v>
      </c>
      <c r="AD385">
        <v>1</v>
      </c>
      <c r="AE385">
        <v>3</v>
      </c>
      <c r="AF385" s="2">
        <v>2</v>
      </c>
      <c r="AG385">
        <v>1</v>
      </c>
      <c r="AH385">
        <v>1</v>
      </c>
      <c r="AI385">
        <v>2</v>
      </c>
      <c r="AJ385" s="2" t="str">
        <f>IF(A385 A385 &lt;= 25, "18-25", IF(A385 &lt;=35, "26-35", IF(A385 &lt;=45, "36-45", IF(Table3[[#This Row],[Age]] &lt;=55, "46-55", "56+"))))</f>
        <v>18-25</v>
      </c>
      <c r="AK385" t="str">
        <f t="shared" si="5"/>
        <v>Low</v>
      </c>
      <c r="AL385" s="2" t="str">
        <f>IF(AF385 &lt; 3, "0-2 Years", IF(AF385 &lt;= 5, "3-5 Years", IF(AF385 &lt;= 10, "6-10 Years",IF(Table3[[#This Row],[Years At Company]]&lt;=20, "11-20 Years","20+ Years"))))</f>
        <v>0-2 Years</v>
      </c>
    </row>
    <row r="386" spans="1:38" x14ac:dyDescent="0.25">
      <c r="A386" s="2">
        <v>36</v>
      </c>
      <c r="B386" t="s">
        <v>43</v>
      </c>
      <c r="C386" t="s">
        <v>36</v>
      </c>
      <c r="D386" s="2">
        <v>164</v>
      </c>
      <c r="E386" t="s">
        <v>37</v>
      </c>
      <c r="F386" s="2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 s="2">
        <v>7596</v>
      </c>
      <c r="T386">
        <v>3809</v>
      </c>
      <c r="U386">
        <v>1</v>
      </c>
      <c r="V386" t="s">
        <v>42</v>
      </c>
      <c r="W386" t="s">
        <v>43</v>
      </c>
      <c r="X386" s="2">
        <v>13</v>
      </c>
      <c r="Y386">
        <v>3</v>
      </c>
      <c r="Z386">
        <v>2</v>
      </c>
      <c r="AA386">
        <v>80</v>
      </c>
      <c r="AB386">
        <v>2</v>
      </c>
      <c r="AC386" s="2">
        <v>10</v>
      </c>
      <c r="AD386">
        <v>2</v>
      </c>
      <c r="AE386">
        <v>3</v>
      </c>
      <c r="AF386" s="2">
        <v>10</v>
      </c>
      <c r="AG386">
        <v>9</v>
      </c>
      <c r="AH386">
        <v>9</v>
      </c>
      <c r="AI386">
        <v>0</v>
      </c>
      <c r="AJ386" s="2" t="str">
        <f>IF(A386 A386 &lt;= 25, "18-25", IF(A386 &lt;=35, "26-35", IF(A386 &lt;=45, "36-45", IF(Table3[[#This Row],[Age]] &lt;=55, "46-55", "56+"))))</f>
        <v>36-45</v>
      </c>
      <c r="AK386" t="str">
        <f t="shared" ref="AK386:AK449" si="6">IF(S386 &lt; 5000, "Low",IF(S386 &lt;=9999, "Medium", "High"))</f>
        <v>Medium</v>
      </c>
      <c r="AL386" s="2" t="str">
        <f>IF(AF386 &lt; 3, "0-2 Years", IF(AF386 &lt;= 5, "3-5 Years", IF(AF386 &lt;= 10, "6-10 Years",IF(Table3[[#This Row],[Years At Company]]&lt;=20, "11-20 Years","20+ Years"))))</f>
        <v>6-10 Years</v>
      </c>
    </row>
    <row r="387" spans="1:38" x14ac:dyDescent="0.25">
      <c r="A387" s="2">
        <v>30</v>
      </c>
      <c r="B387" t="s">
        <v>35</v>
      </c>
      <c r="C387" t="s">
        <v>44</v>
      </c>
      <c r="D387" s="2">
        <v>464</v>
      </c>
      <c r="E387" t="s">
        <v>45</v>
      </c>
      <c r="F387" s="2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 s="2">
        <v>2285</v>
      </c>
      <c r="T387">
        <v>3427</v>
      </c>
      <c r="U387">
        <v>9</v>
      </c>
      <c r="V387" t="s">
        <v>42</v>
      </c>
      <c r="W387" t="s">
        <v>35</v>
      </c>
      <c r="X387" s="2">
        <v>23</v>
      </c>
      <c r="Y387">
        <v>4</v>
      </c>
      <c r="Z387">
        <v>3</v>
      </c>
      <c r="AA387">
        <v>80</v>
      </c>
      <c r="AB387">
        <v>0</v>
      </c>
      <c r="AC387" s="2">
        <v>3</v>
      </c>
      <c r="AD387">
        <v>4</v>
      </c>
      <c r="AE387">
        <v>3</v>
      </c>
      <c r="AF387" s="2">
        <v>1</v>
      </c>
      <c r="AG387">
        <v>0</v>
      </c>
      <c r="AH387">
        <v>0</v>
      </c>
      <c r="AI387">
        <v>0</v>
      </c>
      <c r="AJ387" s="2" t="str">
        <f>IF(A387 A387 &lt;= 25, "18-25", IF(A387 &lt;=35, "26-35", IF(A387 &lt;=45, "36-45", IF(Table3[[#This Row],[Age]] &lt;=55, "46-55", "56+"))))</f>
        <v>26-35</v>
      </c>
      <c r="AK387" t="str">
        <f t="shared" si="6"/>
        <v>Low</v>
      </c>
      <c r="AL387" s="2" t="str">
        <f>IF(AF387 &lt; 3, "0-2 Years", IF(AF387 &lt;= 5, "3-5 Years", IF(AF387 &lt;= 10, "6-10 Years",IF(Table3[[#This Row],[Years At Company]]&lt;=20, "11-20 Years","20+ Years"))))</f>
        <v>0-2 Years</v>
      </c>
    </row>
    <row r="388" spans="1:38" x14ac:dyDescent="0.25">
      <c r="A388" s="2">
        <v>37</v>
      </c>
      <c r="B388" t="s">
        <v>43</v>
      </c>
      <c r="C388" t="s">
        <v>36</v>
      </c>
      <c r="D388" s="2">
        <v>1107</v>
      </c>
      <c r="E388" t="s">
        <v>45</v>
      </c>
      <c r="F388" s="2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 s="2">
        <v>3034</v>
      </c>
      <c r="T388">
        <v>26914</v>
      </c>
      <c r="U388">
        <v>1</v>
      </c>
      <c r="V388" t="s">
        <v>42</v>
      </c>
      <c r="W388" t="s">
        <v>43</v>
      </c>
      <c r="X388" s="2">
        <v>12</v>
      </c>
      <c r="Y388">
        <v>3</v>
      </c>
      <c r="Z388">
        <v>3</v>
      </c>
      <c r="AA388">
        <v>80</v>
      </c>
      <c r="AB388">
        <v>1</v>
      </c>
      <c r="AC388" s="2">
        <v>18</v>
      </c>
      <c r="AD388">
        <v>2</v>
      </c>
      <c r="AE388">
        <v>2</v>
      </c>
      <c r="AF388" s="2">
        <v>18</v>
      </c>
      <c r="AG388">
        <v>7</v>
      </c>
      <c r="AH388">
        <v>12</v>
      </c>
      <c r="AI388">
        <v>17</v>
      </c>
      <c r="AJ388" s="2" t="str">
        <f>IF(A388 A388 &lt;= 25, "18-25", IF(A388 &lt;=35, "26-35", IF(A388 &lt;=45, "36-45", IF(Table3[[#This Row],[Age]] &lt;=55, "46-55", "56+"))))</f>
        <v>36-45</v>
      </c>
      <c r="AK388" t="str">
        <f t="shared" si="6"/>
        <v>Low</v>
      </c>
      <c r="AL388" s="2" t="str">
        <f>IF(AF388 &lt; 3, "0-2 Years", IF(AF388 &lt;= 5, "3-5 Years", IF(AF388 &lt;= 10, "6-10 Years",IF(Table3[[#This Row],[Years At Company]]&lt;=20, "11-20 Years","20+ Years"))))</f>
        <v>11-20 Years</v>
      </c>
    </row>
    <row r="389" spans="1:38" x14ac:dyDescent="0.25">
      <c r="A389" s="2">
        <v>40</v>
      </c>
      <c r="B389" t="s">
        <v>43</v>
      </c>
      <c r="C389" t="s">
        <v>36</v>
      </c>
      <c r="D389" s="2">
        <v>759</v>
      </c>
      <c r="E389" t="s">
        <v>37</v>
      </c>
      <c r="F389" s="2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 s="2">
        <v>5715</v>
      </c>
      <c r="T389">
        <v>22553</v>
      </c>
      <c r="U389">
        <v>7</v>
      </c>
      <c r="V389" t="s">
        <v>42</v>
      </c>
      <c r="W389" t="s">
        <v>43</v>
      </c>
      <c r="X389" s="2">
        <v>12</v>
      </c>
      <c r="Y389">
        <v>3</v>
      </c>
      <c r="Z389">
        <v>3</v>
      </c>
      <c r="AA389">
        <v>80</v>
      </c>
      <c r="AB389">
        <v>2</v>
      </c>
      <c r="AC389" s="2">
        <v>8</v>
      </c>
      <c r="AD389">
        <v>5</v>
      </c>
      <c r="AE389">
        <v>3</v>
      </c>
      <c r="AF389" s="2">
        <v>5</v>
      </c>
      <c r="AG389">
        <v>4</v>
      </c>
      <c r="AH389">
        <v>1</v>
      </c>
      <c r="AI389">
        <v>3</v>
      </c>
      <c r="AJ389" s="2" t="str">
        <f>IF(A389 A389 &lt;= 25, "18-25", IF(A389 &lt;=35, "26-35", IF(A389 &lt;=45, "36-45", IF(Table3[[#This Row],[Age]] &lt;=55, "46-55", "56+"))))</f>
        <v>36-45</v>
      </c>
      <c r="AK389" t="str">
        <f t="shared" si="6"/>
        <v>Medium</v>
      </c>
      <c r="AL389" s="2" t="str">
        <f>IF(AF389 &lt; 3, "0-2 Years", IF(AF389 &lt;= 5, "3-5 Years", IF(AF389 &lt;= 10, "6-10 Years",IF(Table3[[#This Row],[Years At Company]]&lt;=20, "11-20 Years","20+ Years"))))</f>
        <v>3-5 Years</v>
      </c>
    </row>
    <row r="390" spans="1:38" x14ac:dyDescent="0.25">
      <c r="A390" s="2">
        <v>42</v>
      </c>
      <c r="B390" t="s">
        <v>43</v>
      </c>
      <c r="C390" t="s">
        <v>36</v>
      </c>
      <c r="D390" s="2">
        <v>201</v>
      </c>
      <c r="E390" t="s">
        <v>45</v>
      </c>
      <c r="F390" s="2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 s="2">
        <v>2576</v>
      </c>
      <c r="T390">
        <v>20490</v>
      </c>
      <c r="U390">
        <v>3</v>
      </c>
      <c r="V390" t="s">
        <v>42</v>
      </c>
      <c r="W390" t="s">
        <v>43</v>
      </c>
      <c r="X390" s="2">
        <v>16</v>
      </c>
      <c r="Y390">
        <v>3</v>
      </c>
      <c r="Z390">
        <v>2</v>
      </c>
      <c r="AA390">
        <v>80</v>
      </c>
      <c r="AB390">
        <v>1</v>
      </c>
      <c r="AC390" s="2">
        <v>8</v>
      </c>
      <c r="AD390">
        <v>5</v>
      </c>
      <c r="AE390">
        <v>3</v>
      </c>
      <c r="AF390" s="2">
        <v>5</v>
      </c>
      <c r="AG390">
        <v>2</v>
      </c>
      <c r="AH390">
        <v>1</v>
      </c>
      <c r="AI390">
        <v>2</v>
      </c>
      <c r="AJ390" s="2" t="str">
        <f>IF(A390 A390 &lt;= 25, "18-25", IF(A390 &lt;=35, "26-35", IF(A390 &lt;=45, "36-45", IF(Table3[[#This Row],[Age]] &lt;=55, "46-55", "56+"))))</f>
        <v>36-45</v>
      </c>
      <c r="AK390" t="str">
        <f t="shared" si="6"/>
        <v>Low</v>
      </c>
      <c r="AL390" s="2" t="str">
        <f>IF(AF390 &lt; 3, "0-2 Years", IF(AF390 &lt;= 5, "3-5 Years", IF(AF390 &lt;= 10, "6-10 Years",IF(Table3[[#This Row],[Years At Company]]&lt;=20, "11-20 Years","20+ Years"))))</f>
        <v>3-5 Years</v>
      </c>
    </row>
    <row r="391" spans="1:38" x14ac:dyDescent="0.25">
      <c r="A391" s="2">
        <v>37</v>
      </c>
      <c r="B391" t="s">
        <v>43</v>
      </c>
      <c r="C391" t="s">
        <v>36</v>
      </c>
      <c r="D391" s="2">
        <v>1305</v>
      </c>
      <c r="E391" t="s">
        <v>45</v>
      </c>
      <c r="F391" s="2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 s="2">
        <v>4197</v>
      </c>
      <c r="T391">
        <v>21123</v>
      </c>
      <c r="U391">
        <v>2</v>
      </c>
      <c r="V391" t="s">
        <v>42</v>
      </c>
      <c r="W391" t="s">
        <v>35</v>
      </c>
      <c r="X391" s="2">
        <v>12</v>
      </c>
      <c r="Y391">
        <v>3</v>
      </c>
      <c r="Z391">
        <v>4</v>
      </c>
      <c r="AA391">
        <v>80</v>
      </c>
      <c r="AB391">
        <v>0</v>
      </c>
      <c r="AC391" s="2">
        <v>18</v>
      </c>
      <c r="AD391">
        <v>2</v>
      </c>
      <c r="AE391">
        <v>2</v>
      </c>
      <c r="AF391" s="2">
        <v>1</v>
      </c>
      <c r="AG391">
        <v>0</v>
      </c>
      <c r="AH391">
        <v>0</v>
      </c>
      <c r="AI391">
        <v>1</v>
      </c>
      <c r="AJ391" s="2" t="str">
        <f>IF(A391 A391 &lt;= 25, "18-25", IF(A391 &lt;=35, "26-35", IF(A391 &lt;=45, "36-45", IF(Table3[[#This Row],[Age]] &lt;=55, "46-55", "56+"))))</f>
        <v>36-45</v>
      </c>
      <c r="AK391" t="str">
        <f t="shared" si="6"/>
        <v>Low</v>
      </c>
      <c r="AL391" s="2" t="str">
        <f>IF(AF391 &lt; 3, "0-2 Years", IF(AF391 &lt;= 5, "3-5 Years", IF(AF391 &lt;= 10, "6-10 Years",IF(Table3[[#This Row],[Years At Company]]&lt;=20, "11-20 Years","20+ Years"))))</f>
        <v>0-2 Years</v>
      </c>
    </row>
    <row r="392" spans="1:38" x14ac:dyDescent="0.25">
      <c r="A392" s="2">
        <v>43</v>
      </c>
      <c r="B392" t="s">
        <v>43</v>
      </c>
      <c r="C392" t="s">
        <v>36</v>
      </c>
      <c r="D392" s="2">
        <v>982</v>
      </c>
      <c r="E392" t="s">
        <v>45</v>
      </c>
      <c r="F392" s="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 s="2">
        <v>14336</v>
      </c>
      <c r="T392">
        <v>4345</v>
      </c>
      <c r="U392">
        <v>1</v>
      </c>
      <c r="V392" t="s">
        <v>42</v>
      </c>
      <c r="W392" t="s">
        <v>43</v>
      </c>
      <c r="X392" s="2">
        <v>11</v>
      </c>
      <c r="Y392">
        <v>3</v>
      </c>
      <c r="Z392">
        <v>3</v>
      </c>
      <c r="AA392">
        <v>80</v>
      </c>
      <c r="AB392">
        <v>1</v>
      </c>
      <c r="AC392" s="2">
        <v>25</v>
      </c>
      <c r="AD392">
        <v>3</v>
      </c>
      <c r="AE392">
        <v>3</v>
      </c>
      <c r="AF392" s="2">
        <v>25</v>
      </c>
      <c r="AG392">
        <v>10</v>
      </c>
      <c r="AH392">
        <v>3</v>
      </c>
      <c r="AI392">
        <v>9</v>
      </c>
      <c r="AJ392" s="2" t="str">
        <f>IF(A392 A392 &lt;= 25, "18-25", IF(A392 &lt;=35, "26-35", IF(A392 &lt;=45, "36-45", IF(Table3[[#This Row],[Age]] &lt;=55, "46-55", "56+"))))</f>
        <v>36-45</v>
      </c>
      <c r="AK392" t="str">
        <f t="shared" si="6"/>
        <v>High</v>
      </c>
      <c r="AL392" s="2" t="str">
        <f>IF(AF392 &lt; 3, "0-2 Years", IF(AF392 &lt;= 5, "3-5 Years", IF(AF392 &lt;= 10, "6-10 Years",IF(Table3[[#This Row],[Years At Company]]&lt;=20, "11-20 Years","20+ Years"))))</f>
        <v>20+ Years</v>
      </c>
    </row>
    <row r="393" spans="1:38" x14ac:dyDescent="0.25">
      <c r="A393" s="2">
        <v>40</v>
      </c>
      <c r="B393" t="s">
        <v>43</v>
      </c>
      <c r="C393" t="s">
        <v>36</v>
      </c>
      <c r="D393" s="2">
        <v>555</v>
      </c>
      <c r="E393" t="s">
        <v>45</v>
      </c>
      <c r="F393" s="2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 s="2">
        <v>3448</v>
      </c>
      <c r="T393">
        <v>13436</v>
      </c>
      <c r="U393">
        <v>6</v>
      </c>
      <c r="V393" t="s">
        <v>42</v>
      </c>
      <c r="W393" t="s">
        <v>43</v>
      </c>
      <c r="X393" s="2">
        <v>22</v>
      </c>
      <c r="Y393">
        <v>4</v>
      </c>
      <c r="Z393">
        <v>2</v>
      </c>
      <c r="AA393">
        <v>80</v>
      </c>
      <c r="AB393">
        <v>1</v>
      </c>
      <c r="AC393" s="2">
        <v>20</v>
      </c>
      <c r="AD393">
        <v>3</v>
      </c>
      <c r="AE393">
        <v>3</v>
      </c>
      <c r="AF393" s="2">
        <v>1</v>
      </c>
      <c r="AG393">
        <v>0</v>
      </c>
      <c r="AH393">
        <v>0</v>
      </c>
      <c r="AI393">
        <v>0</v>
      </c>
      <c r="AJ393" s="2" t="str">
        <f>IF(A393 A393 &lt;= 25, "18-25", IF(A393 &lt;=35, "26-35", IF(A393 &lt;=45, "36-45", IF(Table3[[#This Row],[Age]] &lt;=55, "46-55", "56+"))))</f>
        <v>36-45</v>
      </c>
      <c r="AK393" t="str">
        <f t="shared" si="6"/>
        <v>Low</v>
      </c>
      <c r="AL393" s="2" t="str">
        <f>IF(AF393 &lt; 3, "0-2 Years", IF(AF393 &lt;= 5, "3-5 Years", IF(AF393 &lt;= 10, "6-10 Years",IF(Table3[[#This Row],[Years At Company]]&lt;=20, "11-20 Years","20+ Years"))))</f>
        <v>0-2 Years</v>
      </c>
    </row>
    <row r="394" spans="1:38" x14ac:dyDescent="0.25">
      <c r="A394" s="2">
        <v>54</v>
      </c>
      <c r="B394" t="s">
        <v>43</v>
      </c>
      <c r="C394" t="s">
        <v>36</v>
      </c>
      <c r="D394" s="2">
        <v>821</v>
      </c>
      <c r="E394" t="s">
        <v>45</v>
      </c>
      <c r="F394" s="2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 s="2">
        <v>19406</v>
      </c>
      <c r="T394">
        <v>8509</v>
      </c>
      <c r="U394">
        <v>4</v>
      </c>
      <c r="V394" t="s">
        <v>42</v>
      </c>
      <c r="W394" t="s">
        <v>43</v>
      </c>
      <c r="X394" s="2">
        <v>11</v>
      </c>
      <c r="Y394">
        <v>3</v>
      </c>
      <c r="Z394">
        <v>3</v>
      </c>
      <c r="AA394">
        <v>80</v>
      </c>
      <c r="AB394">
        <v>1</v>
      </c>
      <c r="AC394" s="2">
        <v>24</v>
      </c>
      <c r="AD394">
        <v>4</v>
      </c>
      <c r="AE394">
        <v>2</v>
      </c>
      <c r="AF394" s="2">
        <v>4</v>
      </c>
      <c r="AG394">
        <v>2</v>
      </c>
      <c r="AH394">
        <v>1</v>
      </c>
      <c r="AI394">
        <v>2</v>
      </c>
      <c r="AJ394" s="2" t="str">
        <f>IF(A394 A394 &lt;= 25, "18-25", IF(A394 &lt;=35, "26-35", IF(A394 &lt;=45, "36-45", IF(Table3[[#This Row],[Age]] &lt;=55, "46-55", "56+"))))</f>
        <v>46-55</v>
      </c>
      <c r="AK394" t="str">
        <f t="shared" si="6"/>
        <v>High</v>
      </c>
      <c r="AL394" s="2" t="str">
        <f>IF(AF394 &lt; 3, "0-2 Years", IF(AF394 &lt;= 5, "3-5 Years", IF(AF394 &lt;= 10, "6-10 Years",IF(Table3[[#This Row],[Years At Company]]&lt;=20, "11-20 Years","20+ Years"))))</f>
        <v>3-5 Years</v>
      </c>
    </row>
    <row r="395" spans="1:38" x14ac:dyDescent="0.25">
      <c r="A395" s="2">
        <v>34</v>
      </c>
      <c r="B395" t="s">
        <v>43</v>
      </c>
      <c r="C395" t="s">
        <v>55</v>
      </c>
      <c r="D395" s="2">
        <v>1381</v>
      </c>
      <c r="E395" t="s">
        <v>37</v>
      </c>
      <c r="F395" s="2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 s="2">
        <v>6538</v>
      </c>
      <c r="T395">
        <v>12740</v>
      </c>
      <c r="U395">
        <v>9</v>
      </c>
      <c r="V395" t="s">
        <v>42</v>
      </c>
      <c r="W395" t="s">
        <v>43</v>
      </c>
      <c r="X395" s="2">
        <v>15</v>
      </c>
      <c r="Y395">
        <v>3</v>
      </c>
      <c r="Z395">
        <v>1</v>
      </c>
      <c r="AA395">
        <v>80</v>
      </c>
      <c r="AB395">
        <v>1</v>
      </c>
      <c r="AC395" s="2">
        <v>6</v>
      </c>
      <c r="AD395">
        <v>3</v>
      </c>
      <c r="AE395">
        <v>3</v>
      </c>
      <c r="AF395" s="2">
        <v>3</v>
      </c>
      <c r="AG395">
        <v>2</v>
      </c>
      <c r="AH395">
        <v>1</v>
      </c>
      <c r="AI395">
        <v>2</v>
      </c>
      <c r="AJ395" s="2" t="str">
        <f>IF(A395 A395 &lt;= 25, "18-25", IF(A395 &lt;=35, "26-35", IF(A395 &lt;=45, "36-45", IF(Table3[[#This Row],[Age]] &lt;=55, "46-55", "56+"))))</f>
        <v>26-35</v>
      </c>
      <c r="AK395" t="str">
        <f t="shared" si="6"/>
        <v>Medium</v>
      </c>
      <c r="AL395" s="2" t="str">
        <f>IF(AF395 &lt; 3, "0-2 Years", IF(AF395 &lt;= 5, "3-5 Years", IF(AF395 &lt;= 10, "6-10 Years",IF(Table3[[#This Row],[Years At Company]]&lt;=20, "11-20 Years","20+ Years"))))</f>
        <v>3-5 Years</v>
      </c>
    </row>
    <row r="396" spans="1:38" x14ac:dyDescent="0.25">
      <c r="A396" s="2">
        <v>31</v>
      </c>
      <c r="B396" t="s">
        <v>43</v>
      </c>
      <c r="C396" t="s">
        <v>36</v>
      </c>
      <c r="D396" s="2">
        <v>480</v>
      </c>
      <c r="E396" t="s">
        <v>45</v>
      </c>
      <c r="F396" s="2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 s="2">
        <v>4306</v>
      </c>
      <c r="T396">
        <v>4156</v>
      </c>
      <c r="U396">
        <v>1</v>
      </c>
      <c r="V396" t="s">
        <v>42</v>
      </c>
      <c r="W396" t="s">
        <v>43</v>
      </c>
      <c r="X396" s="2">
        <v>12</v>
      </c>
      <c r="Y396">
        <v>3</v>
      </c>
      <c r="Z396">
        <v>2</v>
      </c>
      <c r="AA396">
        <v>80</v>
      </c>
      <c r="AB396">
        <v>1</v>
      </c>
      <c r="AC396" s="2">
        <v>13</v>
      </c>
      <c r="AD396">
        <v>5</v>
      </c>
      <c r="AE396">
        <v>1</v>
      </c>
      <c r="AF396" s="2">
        <v>13</v>
      </c>
      <c r="AG396">
        <v>10</v>
      </c>
      <c r="AH396">
        <v>3</v>
      </c>
      <c r="AI396">
        <v>12</v>
      </c>
      <c r="AJ396" s="2" t="str">
        <f>IF(A396 A396 &lt;= 25, "18-25", IF(A396 &lt;=35, "26-35", IF(A396 &lt;=45, "36-45", IF(Table3[[#This Row],[Age]] &lt;=55, "46-55", "56+"))))</f>
        <v>26-35</v>
      </c>
      <c r="AK396" t="str">
        <f t="shared" si="6"/>
        <v>Low</v>
      </c>
      <c r="AL396" s="2" t="str">
        <f>IF(AF396 &lt; 3, "0-2 Years", IF(AF396 &lt;= 5, "3-5 Years", IF(AF396 &lt;= 10, "6-10 Years",IF(Table3[[#This Row],[Years At Company]]&lt;=20, "11-20 Years","20+ Years"))))</f>
        <v>11-20 Years</v>
      </c>
    </row>
    <row r="397" spans="1:38" x14ac:dyDescent="0.25">
      <c r="A397" s="2">
        <v>43</v>
      </c>
      <c r="B397" t="s">
        <v>43</v>
      </c>
      <c r="C397" t="s">
        <v>44</v>
      </c>
      <c r="D397" s="2">
        <v>313</v>
      </c>
      <c r="E397" t="s">
        <v>45</v>
      </c>
      <c r="F397" s="2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 s="2">
        <v>2258</v>
      </c>
      <c r="T397">
        <v>15238</v>
      </c>
      <c r="U397">
        <v>7</v>
      </c>
      <c r="V397" t="s">
        <v>42</v>
      </c>
      <c r="W397" t="s">
        <v>43</v>
      </c>
      <c r="X397" s="2">
        <v>20</v>
      </c>
      <c r="Y397">
        <v>4</v>
      </c>
      <c r="Z397">
        <v>1</v>
      </c>
      <c r="AA397">
        <v>80</v>
      </c>
      <c r="AB397">
        <v>1</v>
      </c>
      <c r="AC397" s="2">
        <v>8</v>
      </c>
      <c r="AD397">
        <v>1</v>
      </c>
      <c r="AE397">
        <v>3</v>
      </c>
      <c r="AF397" s="2">
        <v>3</v>
      </c>
      <c r="AG397">
        <v>2</v>
      </c>
      <c r="AH397">
        <v>1</v>
      </c>
      <c r="AI397">
        <v>2</v>
      </c>
      <c r="AJ397" s="2" t="str">
        <f>IF(A397 A397 &lt;= 25, "18-25", IF(A397 &lt;=35, "26-35", IF(A397 &lt;=45, "36-45", IF(Table3[[#This Row],[Age]] &lt;=55, "46-55", "56+"))))</f>
        <v>36-45</v>
      </c>
      <c r="AK397" t="str">
        <f t="shared" si="6"/>
        <v>Low</v>
      </c>
      <c r="AL397" s="2" t="str">
        <f>IF(AF397 &lt; 3, "0-2 Years", IF(AF397 &lt;= 5, "3-5 Years", IF(AF397 &lt;= 10, "6-10 Years",IF(Table3[[#This Row],[Years At Company]]&lt;=20, "11-20 Years","20+ Years"))))</f>
        <v>3-5 Years</v>
      </c>
    </row>
    <row r="398" spans="1:38" x14ac:dyDescent="0.25">
      <c r="A398" s="2">
        <v>43</v>
      </c>
      <c r="B398" t="s">
        <v>43</v>
      </c>
      <c r="C398" t="s">
        <v>36</v>
      </c>
      <c r="D398" s="2">
        <v>1473</v>
      </c>
      <c r="E398" t="s">
        <v>45</v>
      </c>
      <c r="F398" s="2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 s="2">
        <v>4522</v>
      </c>
      <c r="T398">
        <v>2227</v>
      </c>
      <c r="U398">
        <v>4</v>
      </c>
      <c r="V398" t="s">
        <v>42</v>
      </c>
      <c r="W398" t="s">
        <v>35</v>
      </c>
      <c r="X398" s="2">
        <v>14</v>
      </c>
      <c r="Y398">
        <v>3</v>
      </c>
      <c r="Z398">
        <v>4</v>
      </c>
      <c r="AA398">
        <v>80</v>
      </c>
      <c r="AB398">
        <v>0</v>
      </c>
      <c r="AC398" s="2">
        <v>8</v>
      </c>
      <c r="AD398">
        <v>3</v>
      </c>
      <c r="AE398">
        <v>3</v>
      </c>
      <c r="AF398" s="2">
        <v>5</v>
      </c>
      <c r="AG398">
        <v>2</v>
      </c>
      <c r="AH398">
        <v>0</v>
      </c>
      <c r="AI398">
        <v>2</v>
      </c>
      <c r="AJ398" s="2" t="str">
        <f>IF(A398 A398 &lt;= 25, "18-25", IF(A398 &lt;=35, "26-35", IF(A398 &lt;=45, "36-45", IF(Table3[[#This Row],[Age]] &lt;=55, "46-55", "56+"))))</f>
        <v>36-45</v>
      </c>
      <c r="AK398" t="str">
        <f t="shared" si="6"/>
        <v>Low</v>
      </c>
      <c r="AL398" s="2" t="str">
        <f>IF(AF398 &lt; 3, "0-2 Years", IF(AF398 &lt;= 5, "3-5 Years", IF(AF398 &lt;= 10, "6-10 Years",IF(Table3[[#This Row],[Years At Company]]&lt;=20, "11-20 Years","20+ Years"))))</f>
        <v>3-5 Years</v>
      </c>
    </row>
    <row r="399" spans="1:38" x14ac:dyDescent="0.25">
      <c r="A399" s="2">
        <v>25</v>
      </c>
      <c r="B399" t="s">
        <v>43</v>
      </c>
      <c r="C399" t="s">
        <v>36</v>
      </c>
      <c r="D399" s="2">
        <v>891</v>
      </c>
      <c r="E399" t="s">
        <v>37</v>
      </c>
      <c r="F399" s="2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 s="2">
        <v>4487</v>
      </c>
      <c r="T399">
        <v>12090</v>
      </c>
      <c r="U399">
        <v>1</v>
      </c>
      <c r="V399" t="s">
        <v>42</v>
      </c>
      <c r="W399" t="s">
        <v>35</v>
      </c>
      <c r="X399" s="2">
        <v>11</v>
      </c>
      <c r="Y399">
        <v>3</v>
      </c>
      <c r="Z399">
        <v>2</v>
      </c>
      <c r="AA399">
        <v>80</v>
      </c>
      <c r="AB399">
        <v>0</v>
      </c>
      <c r="AC399" s="2">
        <v>5</v>
      </c>
      <c r="AD399">
        <v>3</v>
      </c>
      <c r="AE399">
        <v>3</v>
      </c>
      <c r="AF399" s="2">
        <v>5</v>
      </c>
      <c r="AG399">
        <v>4</v>
      </c>
      <c r="AH399">
        <v>1</v>
      </c>
      <c r="AI399">
        <v>3</v>
      </c>
      <c r="AJ399" s="2" t="str">
        <f>IF(A399 A399 &lt;= 25, "18-25", IF(A399 &lt;=35, "26-35", IF(A399 &lt;=45, "36-45", IF(Table3[[#This Row],[Age]] &lt;=55, "46-55", "56+"))))</f>
        <v>18-25</v>
      </c>
      <c r="AK399" t="str">
        <f t="shared" si="6"/>
        <v>Low</v>
      </c>
      <c r="AL399" s="2" t="str">
        <f>IF(AF399 &lt; 3, "0-2 Years", IF(AF399 &lt;= 5, "3-5 Years", IF(AF399 &lt;= 10, "6-10 Years",IF(Table3[[#This Row],[Years At Company]]&lt;=20, "11-20 Years","20+ Years"))))</f>
        <v>3-5 Years</v>
      </c>
    </row>
    <row r="400" spans="1:38" x14ac:dyDescent="0.25">
      <c r="A400" s="2">
        <v>37</v>
      </c>
      <c r="B400" t="s">
        <v>43</v>
      </c>
      <c r="C400" t="s">
        <v>55</v>
      </c>
      <c r="D400" s="2">
        <v>1063</v>
      </c>
      <c r="E400" t="s">
        <v>45</v>
      </c>
      <c r="F400" s="2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 s="2">
        <v>4449</v>
      </c>
      <c r="T400">
        <v>23866</v>
      </c>
      <c r="U400">
        <v>3</v>
      </c>
      <c r="V400" t="s">
        <v>42</v>
      </c>
      <c r="W400" t="s">
        <v>35</v>
      </c>
      <c r="X400" s="2">
        <v>15</v>
      </c>
      <c r="Y400">
        <v>3</v>
      </c>
      <c r="Z400">
        <v>1</v>
      </c>
      <c r="AA400">
        <v>80</v>
      </c>
      <c r="AB400">
        <v>2</v>
      </c>
      <c r="AC400" s="2">
        <v>15</v>
      </c>
      <c r="AD400">
        <v>2</v>
      </c>
      <c r="AE400">
        <v>3</v>
      </c>
      <c r="AF400" s="2">
        <v>13</v>
      </c>
      <c r="AG400">
        <v>11</v>
      </c>
      <c r="AH400">
        <v>10</v>
      </c>
      <c r="AI400">
        <v>7</v>
      </c>
      <c r="AJ400" s="2" t="str">
        <f>IF(A400 A400 &lt;= 25, "18-25", IF(A400 &lt;=35, "26-35", IF(A400 &lt;=45, "36-45", IF(Table3[[#This Row],[Age]] &lt;=55, "46-55", "56+"))))</f>
        <v>36-45</v>
      </c>
      <c r="AK400" t="str">
        <f t="shared" si="6"/>
        <v>Low</v>
      </c>
      <c r="AL400" s="2" t="str">
        <f>IF(AF400 &lt; 3, "0-2 Years", IF(AF400 &lt;= 5, "3-5 Years", IF(AF400 &lt;= 10, "6-10 Years",IF(Table3[[#This Row],[Years At Company]]&lt;=20, "11-20 Years","20+ Years"))))</f>
        <v>11-20 Years</v>
      </c>
    </row>
    <row r="401" spans="1:38" x14ac:dyDescent="0.25">
      <c r="A401" s="2">
        <v>31</v>
      </c>
      <c r="B401" t="s">
        <v>43</v>
      </c>
      <c r="C401" t="s">
        <v>36</v>
      </c>
      <c r="D401" s="2">
        <v>329</v>
      </c>
      <c r="E401" t="s">
        <v>45</v>
      </c>
      <c r="F401" s="2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 s="2">
        <v>2218</v>
      </c>
      <c r="T401">
        <v>16193</v>
      </c>
      <c r="U401">
        <v>1</v>
      </c>
      <c r="V401" t="s">
        <v>42</v>
      </c>
      <c r="W401" t="s">
        <v>43</v>
      </c>
      <c r="X401" s="2">
        <v>12</v>
      </c>
      <c r="Y401">
        <v>3</v>
      </c>
      <c r="Z401">
        <v>3</v>
      </c>
      <c r="AA401">
        <v>80</v>
      </c>
      <c r="AB401">
        <v>1</v>
      </c>
      <c r="AC401" s="2">
        <v>4</v>
      </c>
      <c r="AD401">
        <v>3</v>
      </c>
      <c r="AE401">
        <v>3</v>
      </c>
      <c r="AF401" s="2">
        <v>4</v>
      </c>
      <c r="AG401">
        <v>2</v>
      </c>
      <c r="AH401">
        <v>3</v>
      </c>
      <c r="AI401">
        <v>2</v>
      </c>
      <c r="AJ401" s="2" t="str">
        <f>IF(A401 A401 &lt;= 25, "18-25", IF(A401 &lt;=35, "26-35", IF(A401 &lt;=45, "36-45", IF(Table3[[#This Row],[Age]] &lt;=55, "46-55", "56+"))))</f>
        <v>26-35</v>
      </c>
      <c r="AK401" t="str">
        <f t="shared" si="6"/>
        <v>Low</v>
      </c>
      <c r="AL401" s="2" t="str">
        <f>IF(AF401 &lt; 3, "0-2 Years", IF(AF401 &lt;= 5, "3-5 Years", IF(AF401 &lt;= 10, "6-10 Years",IF(Table3[[#This Row],[Years At Company]]&lt;=20, "11-20 Years","20+ Years"))))</f>
        <v>3-5 Years</v>
      </c>
    </row>
    <row r="402" spans="1:38" x14ac:dyDescent="0.25">
      <c r="A402" s="2">
        <v>39</v>
      </c>
      <c r="B402" t="s">
        <v>43</v>
      </c>
      <c r="C402" t="s">
        <v>44</v>
      </c>
      <c r="D402" s="2">
        <v>1218</v>
      </c>
      <c r="E402" t="s">
        <v>45</v>
      </c>
      <c r="F402" s="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 s="2">
        <v>19197</v>
      </c>
      <c r="T402">
        <v>8213</v>
      </c>
      <c r="U402">
        <v>1</v>
      </c>
      <c r="V402" t="s">
        <v>42</v>
      </c>
      <c r="W402" t="s">
        <v>35</v>
      </c>
      <c r="X402" s="2">
        <v>14</v>
      </c>
      <c r="Y402">
        <v>3</v>
      </c>
      <c r="Z402">
        <v>3</v>
      </c>
      <c r="AA402">
        <v>80</v>
      </c>
      <c r="AB402">
        <v>1</v>
      </c>
      <c r="AC402" s="2">
        <v>21</v>
      </c>
      <c r="AD402">
        <v>3</v>
      </c>
      <c r="AE402">
        <v>3</v>
      </c>
      <c r="AF402" s="2">
        <v>21</v>
      </c>
      <c r="AG402">
        <v>8</v>
      </c>
      <c r="AH402">
        <v>1</v>
      </c>
      <c r="AI402">
        <v>6</v>
      </c>
      <c r="AJ402" s="2" t="str">
        <f>IF(A402 A402 &lt;= 25, "18-25", IF(A402 &lt;=35, "26-35", IF(A402 &lt;=45, "36-45", IF(Table3[[#This Row],[Age]] &lt;=55, "46-55", "56+"))))</f>
        <v>36-45</v>
      </c>
      <c r="AK402" t="str">
        <f t="shared" si="6"/>
        <v>High</v>
      </c>
      <c r="AL402" s="2" t="str">
        <f>IF(AF402 &lt; 3, "0-2 Years", IF(AF402 &lt;= 5, "3-5 Years", IF(AF402 &lt;= 10, "6-10 Years",IF(Table3[[#This Row],[Years At Company]]&lt;=20, "11-20 Years","20+ Years"))))</f>
        <v>20+ Years</v>
      </c>
    </row>
    <row r="403" spans="1:38" x14ac:dyDescent="0.25">
      <c r="A403" s="2">
        <v>56</v>
      </c>
      <c r="B403" t="s">
        <v>43</v>
      </c>
      <c r="C403" t="s">
        <v>44</v>
      </c>
      <c r="D403" s="2">
        <v>906</v>
      </c>
      <c r="E403" t="s">
        <v>37</v>
      </c>
      <c r="F403" s="2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 s="2">
        <v>13212</v>
      </c>
      <c r="T403">
        <v>18256</v>
      </c>
      <c r="U403">
        <v>9</v>
      </c>
      <c r="V403" t="s">
        <v>42</v>
      </c>
      <c r="W403" t="s">
        <v>43</v>
      </c>
      <c r="X403" s="2">
        <v>11</v>
      </c>
      <c r="Y403">
        <v>3</v>
      </c>
      <c r="Z403">
        <v>4</v>
      </c>
      <c r="AA403">
        <v>80</v>
      </c>
      <c r="AB403">
        <v>3</v>
      </c>
      <c r="AC403" s="2">
        <v>36</v>
      </c>
      <c r="AD403">
        <v>0</v>
      </c>
      <c r="AE403">
        <v>2</v>
      </c>
      <c r="AF403" s="2">
        <v>7</v>
      </c>
      <c r="AG403">
        <v>7</v>
      </c>
      <c r="AH403">
        <v>7</v>
      </c>
      <c r="AI403">
        <v>7</v>
      </c>
      <c r="AJ403" s="2" t="str">
        <f>IF(A403 A403 &lt;= 25, "18-25", IF(A403 &lt;=35, "26-35", IF(A403 &lt;=45, "36-45", IF(Table3[[#This Row],[Age]] &lt;=55, "46-55", "56+"))))</f>
        <v>56+</v>
      </c>
      <c r="AK403" t="str">
        <f t="shared" si="6"/>
        <v>High</v>
      </c>
      <c r="AL403" s="2" t="str">
        <f>IF(AF403 &lt; 3, "0-2 Years", IF(AF403 &lt;= 5, "3-5 Years", IF(AF403 &lt;= 10, "6-10 Years",IF(Table3[[#This Row],[Years At Company]]&lt;=20, "11-20 Years","20+ Years"))))</f>
        <v>6-10 Years</v>
      </c>
    </row>
    <row r="404" spans="1:38" x14ac:dyDescent="0.25">
      <c r="A404" s="2">
        <v>30</v>
      </c>
      <c r="B404" t="s">
        <v>43</v>
      </c>
      <c r="C404" t="s">
        <v>36</v>
      </c>
      <c r="D404" s="2">
        <v>1082</v>
      </c>
      <c r="E404" t="s">
        <v>37</v>
      </c>
      <c r="F404" s="2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 s="2">
        <v>6577</v>
      </c>
      <c r="T404">
        <v>19558</v>
      </c>
      <c r="U404">
        <v>0</v>
      </c>
      <c r="V404" t="s">
        <v>42</v>
      </c>
      <c r="W404" t="s">
        <v>43</v>
      </c>
      <c r="X404" s="2">
        <v>11</v>
      </c>
      <c r="Y404">
        <v>3</v>
      </c>
      <c r="Z404">
        <v>2</v>
      </c>
      <c r="AA404">
        <v>80</v>
      </c>
      <c r="AB404">
        <v>0</v>
      </c>
      <c r="AC404" s="2">
        <v>6</v>
      </c>
      <c r="AD404">
        <v>6</v>
      </c>
      <c r="AE404">
        <v>3</v>
      </c>
      <c r="AF404" s="2">
        <v>5</v>
      </c>
      <c r="AG404">
        <v>4</v>
      </c>
      <c r="AH404">
        <v>4</v>
      </c>
      <c r="AI404">
        <v>4</v>
      </c>
      <c r="AJ404" s="2" t="str">
        <f>IF(A404 A404 &lt;= 25, "18-25", IF(A404 &lt;=35, "26-35", IF(A404 &lt;=45, "36-45", IF(Table3[[#This Row],[Age]] &lt;=55, "46-55", "56+"))))</f>
        <v>26-35</v>
      </c>
      <c r="AK404" t="str">
        <f t="shared" si="6"/>
        <v>Medium</v>
      </c>
      <c r="AL404" s="2" t="str">
        <f>IF(AF404 &lt; 3, "0-2 Years", IF(AF404 &lt;= 5, "3-5 Years", IF(AF404 &lt;= 10, "6-10 Years",IF(Table3[[#This Row],[Years At Company]]&lt;=20, "11-20 Years","20+ Years"))))</f>
        <v>3-5 Years</v>
      </c>
    </row>
    <row r="405" spans="1:38" x14ac:dyDescent="0.25">
      <c r="A405" s="2">
        <v>41</v>
      </c>
      <c r="B405" t="s">
        <v>43</v>
      </c>
      <c r="C405" t="s">
        <v>36</v>
      </c>
      <c r="D405" s="2">
        <v>645</v>
      </c>
      <c r="E405" t="s">
        <v>37</v>
      </c>
      <c r="F405" s="2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 s="2">
        <v>8392</v>
      </c>
      <c r="T405">
        <v>19566</v>
      </c>
      <c r="U405">
        <v>1</v>
      </c>
      <c r="V405" t="s">
        <v>42</v>
      </c>
      <c r="W405" t="s">
        <v>43</v>
      </c>
      <c r="X405" s="2">
        <v>16</v>
      </c>
      <c r="Y405">
        <v>3</v>
      </c>
      <c r="Z405">
        <v>3</v>
      </c>
      <c r="AA405">
        <v>80</v>
      </c>
      <c r="AB405">
        <v>1</v>
      </c>
      <c r="AC405" s="2">
        <v>10</v>
      </c>
      <c r="AD405">
        <v>2</v>
      </c>
      <c r="AE405">
        <v>3</v>
      </c>
      <c r="AF405" s="2">
        <v>10</v>
      </c>
      <c r="AG405">
        <v>7</v>
      </c>
      <c r="AH405">
        <v>0</v>
      </c>
      <c r="AI405">
        <v>7</v>
      </c>
      <c r="AJ405" s="2" t="str">
        <f>IF(A405 A405 &lt;= 25, "18-25", IF(A405 &lt;=35, "26-35", IF(A405 &lt;=45, "36-45", IF(Table3[[#This Row],[Age]] &lt;=55, "46-55", "56+"))))</f>
        <v>36-45</v>
      </c>
      <c r="AK405" t="str">
        <f t="shared" si="6"/>
        <v>Medium</v>
      </c>
      <c r="AL405" s="2" t="str">
        <f>IF(AF405 &lt; 3, "0-2 Years", IF(AF405 &lt;= 5, "3-5 Years", IF(AF405 &lt;= 10, "6-10 Years",IF(Table3[[#This Row],[Years At Company]]&lt;=20, "11-20 Years","20+ Years"))))</f>
        <v>6-10 Years</v>
      </c>
    </row>
    <row r="406" spans="1:38" x14ac:dyDescent="0.25">
      <c r="A406" s="2">
        <v>28</v>
      </c>
      <c r="B406" t="s">
        <v>43</v>
      </c>
      <c r="C406" t="s">
        <v>36</v>
      </c>
      <c r="D406" s="2">
        <v>1300</v>
      </c>
      <c r="E406" t="s">
        <v>45</v>
      </c>
      <c r="F406" s="2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 s="2">
        <v>4558</v>
      </c>
      <c r="T406">
        <v>13535</v>
      </c>
      <c r="U406">
        <v>1</v>
      </c>
      <c r="V406" t="s">
        <v>42</v>
      </c>
      <c r="W406" t="s">
        <v>43</v>
      </c>
      <c r="X406" s="2">
        <v>12</v>
      </c>
      <c r="Y406">
        <v>3</v>
      </c>
      <c r="Z406">
        <v>4</v>
      </c>
      <c r="AA406">
        <v>80</v>
      </c>
      <c r="AB406">
        <v>1</v>
      </c>
      <c r="AC406" s="2">
        <v>10</v>
      </c>
      <c r="AD406">
        <v>2</v>
      </c>
      <c r="AE406">
        <v>3</v>
      </c>
      <c r="AF406" s="2">
        <v>10</v>
      </c>
      <c r="AG406">
        <v>0</v>
      </c>
      <c r="AH406">
        <v>1</v>
      </c>
      <c r="AI406">
        <v>8</v>
      </c>
      <c r="AJ406" s="2" t="str">
        <f>IF(A406 A406 &lt;= 25, "18-25", IF(A406 &lt;=35, "26-35", IF(A406 &lt;=45, "36-45", IF(Table3[[#This Row],[Age]] &lt;=55, "46-55", "56+"))))</f>
        <v>26-35</v>
      </c>
      <c r="AK406" t="str">
        <f t="shared" si="6"/>
        <v>Low</v>
      </c>
      <c r="AL406" s="2" t="str">
        <f>IF(AF406 &lt; 3, "0-2 Years", IF(AF406 &lt;= 5, "3-5 Years", IF(AF406 &lt;= 10, "6-10 Years",IF(Table3[[#This Row],[Years At Company]]&lt;=20, "11-20 Years","20+ Years"))))</f>
        <v>6-10 Years</v>
      </c>
    </row>
    <row r="407" spans="1:38" x14ac:dyDescent="0.25">
      <c r="A407" s="2">
        <v>25</v>
      </c>
      <c r="B407" t="s">
        <v>35</v>
      </c>
      <c r="C407" t="s">
        <v>36</v>
      </c>
      <c r="D407" s="2">
        <v>688</v>
      </c>
      <c r="E407" t="s">
        <v>45</v>
      </c>
      <c r="F407" s="2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 s="2">
        <v>4031</v>
      </c>
      <c r="T407">
        <v>9396</v>
      </c>
      <c r="U407">
        <v>5</v>
      </c>
      <c r="V407" t="s">
        <v>42</v>
      </c>
      <c r="W407" t="s">
        <v>43</v>
      </c>
      <c r="X407" s="2">
        <v>13</v>
      </c>
      <c r="Y407">
        <v>3</v>
      </c>
      <c r="Z407">
        <v>3</v>
      </c>
      <c r="AA407">
        <v>80</v>
      </c>
      <c r="AB407">
        <v>1</v>
      </c>
      <c r="AC407" s="2">
        <v>6</v>
      </c>
      <c r="AD407">
        <v>5</v>
      </c>
      <c r="AE407">
        <v>3</v>
      </c>
      <c r="AF407" s="2">
        <v>2</v>
      </c>
      <c r="AG407">
        <v>2</v>
      </c>
      <c r="AH407">
        <v>0</v>
      </c>
      <c r="AI407">
        <v>2</v>
      </c>
      <c r="AJ407" s="2" t="str">
        <f>IF(A407 A407 &lt;= 25, "18-25", IF(A407 &lt;=35, "26-35", IF(A407 &lt;=45, "36-45", IF(Table3[[#This Row],[Age]] &lt;=55, "46-55", "56+"))))</f>
        <v>18-25</v>
      </c>
      <c r="AK407" t="str">
        <f t="shared" si="6"/>
        <v>Low</v>
      </c>
      <c r="AL407" s="2" t="str">
        <f>IF(AF407 &lt; 3, "0-2 Years", IF(AF407 &lt;= 5, "3-5 Years", IF(AF407 &lt;= 10, "6-10 Years",IF(Table3[[#This Row],[Years At Company]]&lt;=20, "11-20 Years","20+ Years"))))</f>
        <v>0-2 Years</v>
      </c>
    </row>
    <row r="408" spans="1:38" x14ac:dyDescent="0.25">
      <c r="A408" s="2">
        <v>52</v>
      </c>
      <c r="B408" t="s">
        <v>43</v>
      </c>
      <c r="C408" t="s">
        <v>36</v>
      </c>
      <c r="D408" s="2">
        <v>319</v>
      </c>
      <c r="E408" t="s">
        <v>45</v>
      </c>
      <c r="F408" s="2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 s="2">
        <v>7969</v>
      </c>
      <c r="T408">
        <v>19609</v>
      </c>
      <c r="U408">
        <v>2</v>
      </c>
      <c r="V408" t="s">
        <v>42</v>
      </c>
      <c r="W408" t="s">
        <v>35</v>
      </c>
      <c r="X408" s="2">
        <v>14</v>
      </c>
      <c r="Y408">
        <v>3</v>
      </c>
      <c r="Z408">
        <v>3</v>
      </c>
      <c r="AA408">
        <v>80</v>
      </c>
      <c r="AB408">
        <v>0</v>
      </c>
      <c r="AC408" s="2">
        <v>28</v>
      </c>
      <c r="AD408">
        <v>4</v>
      </c>
      <c r="AE408">
        <v>3</v>
      </c>
      <c r="AF408" s="2">
        <v>5</v>
      </c>
      <c r="AG408">
        <v>4</v>
      </c>
      <c r="AH408">
        <v>0</v>
      </c>
      <c r="AI408">
        <v>4</v>
      </c>
      <c r="AJ408" s="2" t="str">
        <f>IF(A408 A408 &lt;= 25, "18-25", IF(A408 &lt;=35, "26-35", IF(A408 &lt;=45, "36-45", IF(Table3[[#This Row],[Age]] &lt;=55, "46-55", "56+"))))</f>
        <v>46-55</v>
      </c>
      <c r="AK408" t="str">
        <f t="shared" si="6"/>
        <v>Medium</v>
      </c>
      <c r="AL408" s="2" t="str">
        <f>IF(AF408 &lt; 3, "0-2 Years", IF(AF408 &lt;= 5, "3-5 Years", IF(AF408 &lt;= 10, "6-10 Years",IF(Table3[[#This Row],[Years At Company]]&lt;=20, "11-20 Years","20+ Years"))))</f>
        <v>3-5 Years</v>
      </c>
    </row>
    <row r="409" spans="1:38" x14ac:dyDescent="0.25">
      <c r="A409" s="2">
        <v>45</v>
      </c>
      <c r="B409" t="s">
        <v>43</v>
      </c>
      <c r="C409" t="s">
        <v>36</v>
      </c>
      <c r="D409" s="2">
        <v>192</v>
      </c>
      <c r="E409" t="s">
        <v>45</v>
      </c>
      <c r="F409" s="2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 s="2">
        <v>2654</v>
      </c>
      <c r="T409">
        <v>9655</v>
      </c>
      <c r="U409">
        <v>3</v>
      </c>
      <c r="V409" t="s">
        <v>42</v>
      </c>
      <c r="W409" t="s">
        <v>43</v>
      </c>
      <c r="X409" s="2">
        <v>21</v>
      </c>
      <c r="Y409">
        <v>4</v>
      </c>
      <c r="Z409">
        <v>4</v>
      </c>
      <c r="AA409">
        <v>80</v>
      </c>
      <c r="AB409">
        <v>2</v>
      </c>
      <c r="AC409" s="2">
        <v>8</v>
      </c>
      <c r="AD409">
        <v>3</v>
      </c>
      <c r="AE409">
        <v>2</v>
      </c>
      <c r="AF409" s="2">
        <v>2</v>
      </c>
      <c r="AG409">
        <v>2</v>
      </c>
      <c r="AH409">
        <v>0</v>
      </c>
      <c r="AI409">
        <v>2</v>
      </c>
      <c r="AJ409" s="2" t="str">
        <f>IF(A409 A409 &lt;= 25, "18-25", IF(A409 &lt;=35, "26-35", IF(A409 &lt;=45, "36-45", IF(Table3[[#This Row],[Age]] &lt;=55, "46-55", "56+"))))</f>
        <v>36-45</v>
      </c>
      <c r="AK409" t="str">
        <f t="shared" si="6"/>
        <v>Low</v>
      </c>
      <c r="AL409" s="2" t="str">
        <f>IF(AF409 &lt; 3, "0-2 Years", IF(AF409 &lt;= 5, "3-5 Years", IF(AF409 &lt;= 10, "6-10 Years",IF(Table3[[#This Row],[Years At Company]]&lt;=20, "11-20 Years","20+ Years"))))</f>
        <v>0-2 Years</v>
      </c>
    </row>
    <row r="410" spans="1:38" x14ac:dyDescent="0.25">
      <c r="A410" s="2">
        <v>52</v>
      </c>
      <c r="B410" t="s">
        <v>43</v>
      </c>
      <c r="C410" t="s">
        <v>36</v>
      </c>
      <c r="D410" s="2">
        <v>1490</v>
      </c>
      <c r="E410" t="s">
        <v>45</v>
      </c>
      <c r="F410" s="2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 s="2">
        <v>16555</v>
      </c>
      <c r="T410">
        <v>10310</v>
      </c>
      <c r="U410">
        <v>2</v>
      </c>
      <c r="V410" t="s">
        <v>42</v>
      </c>
      <c r="W410" t="s">
        <v>43</v>
      </c>
      <c r="X410" s="2">
        <v>13</v>
      </c>
      <c r="Y410">
        <v>3</v>
      </c>
      <c r="Z410">
        <v>4</v>
      </c>
      <c r="AA410">
        <v>80</v>
      </c>
      <c r="AB410">
        <v>0</v>
      </c>
      <c r="AC410" s="2">
        <v>31</v>
      </c>
      <c r="AD410">
        <v>2</v>
      </c>
      <c r="AE410">
        <v>1</v>
      </c>
      <c r="AF410" s="2">
        <v>5</v>
      </c>
      <c r="AG410">
        <v>2</v>
      </c>
      <c r="AH410">
        <v>1</v>
      </c>
      <c r="AI410">
        <v>4</v>
      </c>
      <c r="AJ410" s="2" t="str">
        <f>IF(A410 A410 &lt;= 25, "18-25", IF(A410 &lt;=35, "26-35", IF(A410 &lt;=45, "36-45", IF(Table3[[#This Row],[Age]] &lt;=55, "46-55", "56+"))))</f>
        <v>46-55</v>
      </c>
      <c r="AK410" t="str">
        <f t="shared" si="6"/>
        <v>High</v>
      </c>
      <c r="AL410" s="2" t="str">
        <f>IF(AF410 &lt; 3, "0-2 Years", IF(AF410 &lt;= 5, "3-5 Years", IF(AF410 &lt;= 10, "6-10 Years",IF(Table3[[#This Row],[Years At Company]]&lt;=20, "11-20 Years","20+ Years"))))</f>
        <v>3-5 Years</v>
      </c>
    </row>
    <row r="411" spans="1:38" x14ac:dyDescent="0.25">
      <c r="A411" s="2">
        <v>42</v>
      </c>
      <c r="B411" t="s">
        <v>43</v>
      </c>
      <c r="C411" t="s">
        <v>44</v>
      </c>
      <c r="D411" s="2">
        <v>532</v>
      </c>
      <c r="E411" t="s">
        <v>45</v>
      </c>
      <c r="F411" s="2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 s="2">
        <v>4556</v>
      </c>
      <c r="T411">
        <v>12932</v>
      </c>
      <c r="U411">
        <v>2</v>
      </c>
      <c r="V411" t="s">
        <v>42</v>
      </c>
      <c r="W411" t="s">
        <v>43</v>
      </c>
      <c r="X411" s="2">
        <v>11</v>
      </c>
      <c r="Y411">
        <v>3</v>
      </c>
      <c r="Z411">
        <v>2</v>
      </c>
      <c r="AA411">
        <v>80</v>
      </c>
      <c r="AB411">
        <v>1</v>
      </c>
      <c r="AC411" s="2">
        <v>19</v>
      </c>
      <c r="AD411">
        <v>3</v>
      </c>
      <c r="AE411">
        <v>3</v>
      </c>
      <c r="AF411" s="2">
        <v>5</v>
      </c>
      <c r="AG411">
        <v>4</v>
      </c>
      <c r="AH411">
        <v>0</v>
      </c>
      <c r="AI411">
        <v>2</v>
      </c>
      <c r="AJ411" s="2" t="str">
        <f>IF(A411 A411 &lt;= 25, "18-25", IF(A411 &lt;=35, "26-35", IF(A411 &lt;=45, "36-45", IF(Table3[[#This Row],[Age]] &lt;=55, "46-55", "56+"))))</f>
        <v>36-45</v>
      </c>
      <c r="AK411" t="str">
        <f t="shared" si="6"/>
        <v>Low</v>
      </c>
      <c r="AL411" s="2" t="str">
        <f>IF(AF411 &lt; 3, "0-2 Years", IF(AF411 &lt;= 5, "3-5 Years", IF(AF411 &lt;= 10, "6-10 Years",IF(Table3[[#This Row],[Years At Company]]&lt;=20, "11-20 Years","20+ Years"))))</f>
        <v>3-5 Years</v>
      </c>
    </row>
    <row r="412" spans="1:38" x14ac:dyDescent="0.25">
      <c r="A412" s="2">
        <v>30</v>
      </c>
      <c r="B412" t="s">
        <v>43</v>
      </c>
      <c r="C412" t="s">
        <v>36</v>
      </c>
      <c r="D412" s="2">
        <v>317</v>
      </c>
      <c r="E412" t="s">
        <v>45</v>
      </c>
      <c r="F412" s="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 s="2">
        <v>6091</v>
      </c>
      <c r="T412">
        <v>24793</v>
      </c>
      <c r="U412">
        <v>2</v>
      </c>
      <c r="V412" t="s">
        <v>42</v>
      </c>
      <c r="W412" t="s">
        <v>43</v>
      </c>
      <c r="X412" s="2">
        <v>20</v>
      </c>
      <c r="Y412">
        <v>4</v>
      </c>
      <c r="Z412">
        <v>3</v>
      </c>
      <c r="AA412">
        <v>80</v>
      </c>
      <c r="AB412">
        <v>0</v>
      </c>
      <c r="AC412" s="2">
        <v>11</v>
      </c>
      <c r="AD412">
        <v>2</v>
      </c>
      <c r="AE412">
        <v>3</v>
      </c>
      <c r="AF412" s="2">
        <v>5</v>
      </c>
      <c r="AG412">
        <v>4</v>
      </c>
      <c r="AH412">
        <v>0</v>
      </c>
      <c r="AI412">
        <v>2</v>
      </c>
      <c r="AJ412" s="2" t="str">
        <f>IF(A412 A412 &lt;= 25, "18-25", IF(A412 &lt;=35, "26-35", IF(A412 &lt;=45, "36-45", IF(Table3[[#This Row],[Age]] &lt;=55, "46-55", "56+"))))</f>
        <v>26-35</v>
      </c>
      <c r="AK412" t="str">
        <f t="shared" si="6"/>
        <v>Medium</v>
      </c>
      <c r="AL412" s="2" t="str">
        <f>IF(AF412 &lt; 3, "0-2 Years", IF(AF412 &lt;= 5, "3-5 Years", IF(AF412 &lt;= 10, "6-10 Years",IF(Table3[[#This Row],[Years At Company]]&lt;=20, "11-20 Years","20+ Years"))))</f>
        <v>3-5 Years</v>
      </c>
    </row>
    <row r="413" spans="1:38" x14ac:dyDescent="0.25">
      <c r="A413" s="2">
        <v>60</v>
      </c>
      <c r="B413" t="s">
        <v>43</v>
      </c>
      <c r="C413" t="s">
        <v>36</v>
      </c>
      <c r="D413" s="2">
        <v>422</v>
      </c>
      <c r="E413" t="s">
        <v>45</v>
      </c>
      <c r="F413" s="2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 s="2">
        <v>19566</v>
      </c>
      <c r="T413">
        <v>3854</v>
      </c>
      <c r="U413">
        <v>5</v>
      </c>
      <c r="V413" t="s">
        <v>42</v>
      </c>
      <c r="W413" t="s">
        <v>43</v>
      </c>
      <c r="X413" s="2">
        <v>11</v>
      </c>
      <c r="Y413">
        <v>3</v>
      </c>
      <c r="Z413">
        <v>4</v>
      </c>
      <c r="AA413">
        <v>80</v>
      </c>
      <c r="AB413">
        <v>0</v>
      </c>
      <c r="AC413" s="2">
        <v>33</v>
      </c>
      <c r="AD413">
        <v>5</v>
      </c>
      <c r="AE413">
        <v>1</v>
      </c>
      <c r="AF413" s="2">
        <v>29</v>
      </c>
      <c r="AG413">
        <v>8</v>
      </c>
      <c r="AH413">
        <v>11</v>
      </c>
      <c r="AI413">
        <v>10</v>
      </c>
      <c r="AJ413" s="2" t="str">
        <f>IF(A413 A413 &lt;= 25, "18-25", IF(A413 &lt;=35, "26-35", IF(A413 &lt;=45, "36-45", IF(Table3[[#This Row],[Age]] &lt;=55, "46-55", "56+"))))</f>
        <v>56+</v>
      </c>
      <c r="AK413" t="str">
        <f t="shared" si="6"/>
        <v>High</v>
      </c>
      <c r="AL413" s="2" t="str">
        <f>IF(AF413 &lt; 3, "0-2 Years", IF(AF413 &lt;= 5, "3-5 Years", IF(AF413 &lt;= 10, "6-10 Years",IF(Table3[[#This Row],[Years At Company]]&lt;=20, "11-20 Years","20+ Years"))))</f>
        <v>20+ Years</v>
      </c>
    </row>
    <row r="414" spans="1:38" x14ac:dyDescent="0.25">
      <c r="A414" s="2">
        <v>46</v>
      </c>
      <c r="B414" t="s">
        <v>43</v>
      </c>
      <c r="C414" t="s">
        <v>36</v>
      </c>
      <c r="D414" s="2">
        <v>1485</v>
      </c>
      <c r="E414" t="s">
        <v>45</v>
      </c>
      <c r="F414" s="2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 s="2">
        <v>4810</v>
      </c>
      <c r="T414">
        <v>26314</v>
      </c>
      <c r="U414">
        <v>2</v>
      </c>
      <c r="V414" t="s">
        <v>42</v>
      </c>
      <c r="W414" t="s">
        <v>43</v>
      </c>
      <c r="X414" s="2">
        <v>14</v>
      </c>
      <c r="Y414">
        <v>3</v>
      </c>
      <c r="Z414">
        <v>3</v>
      </c>
      <c r="AA414">
        <v>80</v>
      </c>
      <c r="AB414">
        <v>1</v>
      </c>
      <c r="AC414" s="2">
        <v>19</v>
      </c>
      <c r="AD414">
        <v>5</v>
      </c>
      <c r="AE414">
        <v>2</v>
      </c>
      <c r="AF414" s="2">
        <v>10</v>
      </c>
      <c r="AG414">
        <v>7</v>
      </c>
      <c r="AH414">
        <v>0</v>
      </c>
      <c r="AI414">
        <v>8</v>
      </c>
      <c r="AJ414" s="2" t="str">
        <f>IF(A414 A414 &lt;= 25, "18-25", IF(A414 &lt;=35, "26-35", IF(A414 &lt;=45, "36-45", IF(Table3[[#This Row],[Age]] &lt;=55, "46-55", "56+"))))</f>
        <v>46-55</v>
      </c>
      <c r="AK414" t="str">
        <f t="shared" si="6"/>
        <v>Low</v>
      </c>
      <c r="AL414" s="2" t="str">
        <f>IF(AF414 &lt; 3, "0-2 Years", IF(AF414 &lt;= 5, "3-5 Years", IF(AF414 &lt;= 10, "6-10 Years",IF(Table3[[#This Row],[Years At Company]]&lt;=20, "11-20 Years","20+ Years"))))</f>
        <v>6-10 Years</v>
      </c>
    </row>
    <row r="415" spans="1:38" x14ac:dyDescent="0.25">
      <c r="A415" s="2">
        <v>42</v>
      </c>
      <c r="B415" t="s">
        <v>43</v>
      </c>
      <c r="C415" t="s">
        <v>44</v>
      </c>
      <c r="D415" s="2">
        <v>1368</v>
      </c>
      <c r="E415" t="s">
        <v>45</v>
      </c>
      <c r="F415" s="2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 s="2">
        <v>4523</v>
      </c>
      <c r="T415">
        <v>4386</v>
      </c>
      <c r="U415">
        <v>0</v>
      </c>
      <c r="V415" t="s">
        <v>42</v>
      </c>
      <c r="W415" t="s">
        <v>43</v>
      </c>
      <c r="X415" s="2">
        <v>11</v>
      </c>
      <c r="Y415">
        <v>3</v>
      </c>
      <c r="Z415">
        <v>4</v>
      </c>
      <c r="AA415">
        <v>80</v>
      </c>
      <c r="AB415">
        <v>3</v>
      </c>
      <c r="AC415" s="2">
        <v>7</v>
      </c>
      <c r="AD415">
        <v>4</v>
      </c>
      <c r="AE415">
        <v>4</v>
      </c>
      <c r="AF415" s="2">
        <v>6</v>
      </c>
      <c r="AG415">
        <v>5</v>
      </c>
      <c r="AH415">
        <v>0</v>
      </c>
      <c r="AI415">
        <v>4</v>
      </c>
      <c r="AJ415" s="2" t="str">
        <f>IF(A415 A415 &lt;= 25, "18-25", IF(A415 &lt;=35, "26-35", IF(A415 &lt;=45, "36-45", IF(Table3[[#This Row],[Age]] &lt;=55, "46-55", "56+"))))</f>
        <v>36-45</v>
      </c>
      <c r="AK415" t="str">
        <f t="shared" si="6"/>
        <v>Low</v>
      </c>
      <c r="AL415" s="2" t="str">
        <f>IF(AF415 &lt; 3, "0-2 Years", IF(AF415 &lt;= 5, "3-5 Years", IF(AF415 &lt;= 10, "6-10 Years",IF(Table3[[#This Row],[Years At Company]]&lt;=20, "11-20 Years","20+ Years"))))</f>
        <v>6-10 Years</v>
      </c>
    </row>
    <row r="416" spans="1:38" x14ac:dyDescent="0.25">
      <c r="A416" s="2">
        <v>24</v>
      </c>
      <c r="B416" t="s">
        <v>35</v>
      </c>
      <c r="C416" t="s">
        <v>36</v>
      </c>
      <c r="D416" s="2">
        <v>1448</v>
      </c>
      <c r="E416" t="s">
        <v>37</v>
      </c>
      <c r="F416" s="2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 s="2">
        <v>3202</v>
      </c>
      <c r="T416">
        <v>21972</v>
      </c>
      <c r="U416">
        <v>1</v>
      </c>
      <c r="V416" t="s">
        <v>42</v>
      </c>
      <c r="W416" t="s">
        <v>35</v>
      </c>
      <c r="X416" s="2">
        <v>16</v>
      </c>
      <c r="Y416">
        <v>3</v>
      </c>
      <c r="Z416">
        <v>2</v>
      </c>
      <c r="AA416">
        <v>80</v>
      </c>
      <c r="AB416">
        <v>0</v>
      </c>
      <c r="AC416" s="2">
        <v>6</v>
      </c>
      <c r="AD416">
        <v>4</v>
      </c>
      <c r="AE416">
        <v>3</v>
      </c>
      <c r="AF416" s="2">
        <v>5</v>
      </c>
      <c r="AG416">
        <v>3</v>
      </c>
      <c r="AH416">
        <v>1</v>
      </c>
      <c r="AI416">
        <v>4</v>
      </c>
      <c r="AJ416" s="2" t="str">
        <f>IF(A416 A416 &lt;= 25, "18-25", IF(A416 &lt;=35, "26-35", IF(A416 &lt;=45, "36-45", IF(Table3[[#This Row],[Age]] &lt;=55, "46-55", "56+"))))</f>
        <v>18-25</v>
      </c>
      <c r="AK416" t="str">
        <f t="shared" si="6"/>
        <v>Low</v>
      </c>
      <c r="AL416" s="2" t="str">
        <f>IF(AF416 &lt; 3, "0-2 Years", IF(AF416 &lt;= 5, "3-5 Years", IF(AF416 &lt;= 10, "6-10 Years",IF(Table3[[#This Row],[Years At Company]]&lt;=20, "11-20 Years","20+ Years"))))</f>
        <v>3-5 Years</v>
      </c>
    </row>
    <row r="417" spans="1:38" x14ac:dyDescent="0.25">
      <c r="A417" s="2">
        <v>34</v>
      </c>
      <c r="B417" t="s">
        <v>35</v>
      </c>
      <c r="C417" t="s">
        <v>44</v>
      </c>
      <c r="D417" s="2">
        <v>296</v>
      </c>
      <c r="E417" t="s">
        <v>37</v>
      </c>
      <c r="F417" s="2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 s="2">
        <v>2351</v>
      </c>
      <c r="T417">
        <v>12253</v>
      </c>
      <c r="U417">
        <v>0</v>
      </c>
      <c r="V417" t="s">
        <v>42</v>
      </c>
      <c r="W417" t="s">
        <v>43</v>
      </c>
      <c r="X417" s="2">
        <v>16</v>
      </c>
      <c r="Y417">
        <v>3</v>
      </c>
      <c r="Z417">
        <v>4</v>
      </c>
      <c r="AA417">
        <v>80</v>
      </c>
      <c r="AB417">
        <v>1</v>
      </c>
      <c r="AC417" s="2">
        <v>3</v>
      </c>
      <c r="AD417">
        <v>3</v>
      </c>
      <c r="AE417">
        <v>2</v>
      </c>
      <c r="AF417" s="2">
        <v>2</v>
      </c>
      <c r="AG417">
        <v>2</v>
      </c>
      <c r="AH417">
        <v>1</v>
      </c>
      <c r="AI417">
        <v>0</v>
      </c>
      <c r="AJ417" s="2" t="str">
        <f>IF(A417 A417 &lt;= 25, "18-25", IF(A417 &lt;=35, "26-35", IF(A417 &lt;=45, "36-45", IF(Table3[[#This Row],[Age]] &lt;=55, "46-55", "56+"))))</f>
        <v>26-35</v>
      </c>
      <c r="AK417" t="str">
        <f t="shared" si="6"/>
        <v>Low</v>
      </c>
      <c r="AL417" s="2" t="str">
        <f>IF(AF417 &lt; 3, "0-2 Years", IF(AF417 &lt;= 5, "3-5 Years", IF(AF417 &lt;= 10, "6-10 Years",IF(Table3[[#This Row],[Years At Company]]&lt;=20, "11-20 Years","20+ Years"))))</f>
        <v>0-2 Years</v>
      </c>
    </row>
    <row r="418" spans="1:38" x14ac:dyDescent="0.25">
      <c r="A418" s="2">
        <v>38</v>
      </c>
      <c r="B418" t="s">
        <v>43</v>
      </c>
      <c r="C418" t="s">
        <v>44</v>
      </c>
      <c r="D418" s="2">
        <v>1490</v>
      </c>
      <c r="E418" t="s">
        <v>45</v>
      </c>
      <c r="F418" s="2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 s="2">
        <v>1702</v>
      </c>
      <c r="T418">
        <v>12106</v>
      </c>
      <c r="U418">
        <v>1</v>
      </c>
      <c r="V418" t="s">
        <v>42</v>
      </c>
      <c r="W418" t="s">
        <v>35</v>
      </c>
      <c r="X418" s="2">
        <v>23</v>
      </c>
      <c r="Y418">
        <v>4</v>
      </c>
      <c r="Z418">
        <v>3</v>
      </c>
      <c r="AA418">
        <v>80</v>
      </c>
      <c r="AB418">
        <v>1</v>
      </c>
      <c r="AC418" s="2">
        <v>1</v>
      </c>
      <c r="AD418">
        <v>3</v>
      </c>
      <c r="AE418">
        <v>3</v>
      </c>
      <c r="AF418" s="2">
        <v>1</v>
      </c>
      <c r="AG418">
        <v>0</v>
      </c>
      <c r="AH418">
        <v>0</v>
      </c>
      <c r="AI418">
        <v>0</v>
      </c>
      <c r="AJ418" s="2" t="str">
        <f>IF(A418 A418 &lt;= 25, "18-25", IF(A418 &lt;=35, "26-35", IF(A418 &lt;=45, "36-45", IF(Table3[[#This Row],[Age]] &lt;=55, "46-55", "56+"))))</f>
        <v>36-45</v>
      </c>
      <c r="AK418" t="str">
        <f t="shared" si="6"/>
        <v>Low</v>
      </c>
      <c r="AL418" s="2" t="str">
        <f>IF(AF418 &lt; 3, "0-2 Years", IF(AF418 &lt;= 5, "3-5 Years", IF(AF418 &lt;= 10, "6-10 Years",IF(Table3[[#This Row],[Years At Company]]&lt;=20, "11-20 Years","20+ Years"))))</f>
        <v>0-2 Years</v>
      </c>
    </row>
    <row r="419" spans="1:38" x14ac:dyDescent="0.25">
      <c r="A419" s="2">
        <v>40</v>
      </c>
      <c r="B419" t="s">
        <v>43</v>
      </c>
      <c r="C419" t="s">
        <v>36</v>
      </c>
      <c r="D419" s="2">
        <v>1398</v>
      </c>
      <c r="E419" t="s">
        <v>37</v>
      </c>
      <c r="F419" s="2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 s="2">
        <v>18041</v>
      </c>
      <c r="T419">
        <v>13022</v>
      </c>
      <c r="U419">
        <v>0</v>
      </c>
      <c r="V419" t="s">
        <v>42</v>
      </c>
      <c r="W419" t="s">
        <v>43</v>
      </c>
      <c r="X419" s="2">
        <v>14</v>
      </c>
      <c r="Y419">
        <v>3</v>
      </c>
      <c r="Z419">
        <v>4</v>
      </c>
      <c r="AA419">
        <v>80</v>
      </c>
      <c r="AB419">
        <v>0</v>
      </c>
      <c r="AC419" s="2">
        <v>21</v>
      </c>
      <c r="AD419">
        <v>2</v>
      </c>
      <c r="AE419">
        <v>3</v>
      </c>
      <c r="AF419" s="2">
        <v>20</v>
      </c>
      <c r="AG419">
        <v>15</v>
      </c>
      <c r="AH419">
        <v>1</v>
      </c>
      <c r="AI419">
        <v>12</v>
      </c>
      <c r="AJ419" s="2" t="str">
        <f>IF(A419 A419 &lt;= 25, "18-25", IF(A419 &lt;=35, "26-35", IF(A419 &lt;=45, "36-45", IF(Table3[[#This Row],[Age]] &lt;=55, "46-55", "56+"))))</f>
        <v>36-45</v>
      </c>
      <c r="AK419" t="str">
        <f t="shared" si="6"/>
        <v>High</v>
      </c>
      <c r="AL419" s="2" t="str">
        <f>IF(AF419 &lt; 3, "0-2 Years", IF(AF419 &lt;= 5, "3-5 Years", IF(AF419 &lt;= 10, "6-10 Years",IF(Table3[[#This Row],[Years At Company]]&lt;=20, "11-20 Years","20+ Years"))))</f>
        <v>11-20 Years</v>
      </c>
    </row>
    <row r="420" spans="1:38" x14ac:dyDescent="0.25">
      <c r="A420" s="2">
        <v>26</v>
      </c>
      <c r="B420" t="s">
        <v>43</v>
      </c>
      <c r="C420" t="s">
        <v>36</v>
      </c>
      <c r="D420" s="2">
        <v>1349</v>
      </c>
      <c r="E420" t="s">
        <v>45</v>
      </c>
      <c r="F420" s="2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 s="2">
        <v>2886</v>
      </c>
      <c r="T420">
        <v>3032</v>
      </c>
      <c r="U420">
        <v>1</v>
      </c>
      <c r="V420" t="s">
        <v>42</v>
      </c>
      <c r="W420" t="s">
        <v>43</v>
      </c>
      <c r="X420" s="2">
        <v>22</v>
      </c>
      <c r="Y420">
        <v>4</v>
      </c>
      <c r="Z420">
        <v>2</v>
      </c>
      <c r="AA420">
        <v>80</v>
      </c>
      <c r="AB420">
        <v>2</v>
      </c>
      <c r="AC420" s="2">
        <v>3</v>
      </c>
      <c r="AD420">
        <v>3</v>
      </c>
      <c r="AE420">
        <v>1</v>
      </c>
      <c r="AF420" s="2">
        <v>3</v>
      </c>
      <c r="AG420">
        <v>2</v>
      </c>
      <c r="AH420">
        <v>0</v>
      </c>
      <c r="AI420">
        <v>2</v>
      </c>
      <c r="AJ420" s="2" t="str">
        <f>IF(A420 A420 &lt;= 25, "18-25", IF(A420 &lt;=35, "26-35", IF(A420 &lt;=45, "36-45", IF(Table3[[#This Row],[Age]] &lt;=55, "46-55", "56+"))))</f>
        <v>26-35</v>
      </c>
      <c r="AK420" t="str">
        <f t="shared" si="6"/>
        <v>Low</v>
      </c>
      <c r="AL420" s="2" t="str">
        <f>IF(AF420 &lt; 3, "0-2 Years", IF(AF420 &lt;= 5, "3-5 Years", IF(AF420 &lt;= 10, "6-10 Years",IF(Table3[[#This Row],[Years At Company]]&lt;=20, "11-20 Years","20+ Years"))))</f>
        <v>3-5 Years</v>
      </c>
    </row>
    <row r="421" spans="1:38" x14ac:dyDescent="0.25">
      <c r="A421" s="2">
        <v>30</v>
      </c>
      <c r="B421" t="s">
        <v>43</v>
      </c>
      <c r="C421" t="s">
        <v>55</v>
      </c>
      <c r="D421" s="2">
        <v>1400</v>
      </c>
      <c r="E421" t="s">
        <v>45</v>
      </c>
      <c r="F421" s="2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 s="2">
        <v>2097</v>
      </c>
      <c r="T421">
        <v>16734</v>
      </c>
      <c r="U421">
        <v>4</v>
      </c>
      <c r="V421" t="s">
        <v>42</v>
      </c>
      <c r="W421" t="s">
        <v>43</v>
      </c>
      <c r="X421" s="2">
        <v>15</v>
      </c>
      <c r="Y421">
        <v>3</v>
      </c>
      <c r="Z421">
        <v>3</v>
      </c>
      <c r="AA421">
        <v>80</v>
      </c>
      <c r="AB421">
        <v>1</v>
      </c>
      <c r="AC421" s="2">
        <v>9</v>
      </c>
      <c r="AD421">
        <v>3</v>
      </c>
      <c r="AE421">
        <v>1</v>
      </c>
      <c r="AF421" s="2">
        <v>5</v>
      </c>
      <c r="AG421">
        <v>3</v>
      </c>
      <c r="AH421">
        <v>1</v>
      </c>
      <c r="AI421">
        <v>4</v>
      </c>
      <c r="AJ421" s="2" t="str">
        <f>IF(A421 A421 &lt;= 25, "18-25", IF(A421 &lt;=35, "26-35", IF(A421 &lt;=45, "36-45", IF(Table3[[#This Row],[Age]] &lt;=55, "46-55", "56+"))))</f>
        <v>26-35</v>
      </c>
      <c r="AK421" t="str">
        <f t="shared" si="6"/>
        <v>Low</v>
      </c>
      <c r="AL421" s="2" t="str">
        <f>IF(AF421 &lt; 3, "0-2 Years", IF(AF421 &lt;= 5, "3-5 Years", IF(AF421 &lt;= 10, "6-10 Years",IF(Table3[[#This Row],[Years At Company]]&lt;=20, "11-20 Years","20+ Years"))))</f>
        <v>3-5 Years</v>
      </c>
    </row>
    <row r="422" spans="1:38" x14ac:dyDescent="0.25">
      <c r="A422" s="2">
        <v>29</v>
      </c>
      <c r="B422" t="s">
        <v>43</v>
      </c>
      <c r="C422" t="s">
        <v>36</v>
      </c>
      <c r="D422" s="2">
        <v>986</v>
      </c>
      <c r="E422" t="s">
        <v>45</v>
      </c>
      <c r="F422" s="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 s="2">
        <v>11935</v>
      </c>
      <c r="T422">
        <v>21526</v>
      </c>
      <c r="U422">
        <v>1</v>
      </c>
      <c r="V422" t="s">
        <v>42</v>
      </c>
      <c r="W422" t="s">
        <v>43</v>
      </c>
      <c r="X422" s="2">
        <v>18</v>
      </c>
      <c r="Y422">
        <v>3</v>
      </c>
      <c r="Z422">
        <v>3</v>
      </c>
      <c r="AA422">
        <v>80</v>
      </c>
      <c r="AB422">
        <v>0</v>
      </c>
      <c r="AC422" s="2">
        <v>10</v>
      </c>
      <c r="AD422">
        <v>2</v>
      </c>
      <c r="AE422">
        <v>3</v>
      </c>
      <c r="AF422" s="2">
        <v>10</v>
      </c>
      <c r="AG422">
        <v>2</v>
      </c>
      <c r="AH422">
        <v>0</v>
      </c>
      <c r="AI422">
        <v>7</v>
      </c>
      <c r="AJ422" s="2" t="str">
        <f>IF(A422 A422 &lt;= 25, "18-25", IF(A422 &lt;=35, "26-35", IF(A422 &lt;=45, "36-45", IF(Table3[[#This Row],[Age]] &lt;=55, "46-55", "56+"))))</f>
        <v>26-35</v>
      </c>
      <c r="AK422" t="str">
        <f t="shared" si="6"/>
        <v>High</v>
      </c>
      <c r="AL422" s="2" t="str">
        <f>IF(AF422 &lt; 3, "0-2 Years", IF(AF422 &lt;= 5, "3-5 Years", IF(AF422 &lt;= 10, "6-10 Years",IF(Table3[[#This Row],[Years At Company]]&lt;=20, "11-20 Years","20+ Years"))))</f>
        <v>6-10 Years</v>
      </c>
    </row>
    <row r="423" spans="1:38" x14ac:dyDescent="0.25">
      <c r="A423" s="2">
        <v>29</v>
      </c>
      <c r="B423" t="s">
        <v>35</v>
      </c>
      <c r="C423" t="s">
        <v>36</v>
      </c>
      <c r="D423" s="2">
        <v>408</v>
      </c>
      <c r="E423" t="s">
        <v>45</v>
      </c>
      <c r="F423" s="2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 s="2">
        <v>2546</v>
      </c>
      <c r="T423">
        <v>18300</v>
      </c>
      <c r="U423">
        <v>5</v>
      </c>
      <c r="V423" t="s">
        <v>42</v>
      </c>
      <c r="W423" t="s">
        <v>43</v>
      </c>
      <c r="X423" s="2">
        <v>16</v>
      </c>
      <c r="Y423">
        <v>3</v>
      </c>
      <c r="Z423">
        <v>2</v>
      </c>
      <c r="AA423">
        <v>80</v>
      </c>
      <c r="AB423">
        <v>0</v>
      </c>
      <c r="AC423" s="2">
        <v>6</v>
      </c>
      <c r="AD423">
        <v>2</v>
      </c>
      <c r="AE423">
        <v>4</v>
      </c>
      <c r="AF423" s="2">
        <v>2</v>
      </c>
      <c r="AG423">
        <v>2</v>
      </c>
      <c r="AH423">
        <v>1</v>
      </c>
      <c r="AI423">
        <v>1</v>
      </c>
      <c r="AJ423" s="2" t="str">
        <f>IF(A423 A423 &lt;= 25, "18-25", IF(A423 &lt;=35, "26-35", IF(A423 &lt;=45, "36-45", IF(Table3[[#This Row],[Age]] &lt;=55, "46-55", "56+"))))</f>
        <v>26-35</v>
      </c>
      <c r="AK423" t="str">
        <f t="shared" si="6"/>
        <v>Low</v>
      </c>
      <c r="AL423" s="2" t="str">
        <f>IF(AF423 &lt; 3, "0-2 Years", IF(AF423 &lt;= 5, "3-5 Years", IF(AF423 &lt;= 10, "6-10 Years",IF(Table3[[#This Row],[Years At Company]]&lt;=20, "11-20 Years","20+ Years"))))</f>
        <v>0-2 Years</v>
      </c>
    </row>
    <row r="424" spans="1:38" x14ac:dyDescent="0.25">
      <c r="A424" s="2">
        <v>19</v>
      </c>
      <c r="B424" t="s">
        <v>35</v>
      </c>
      <c r="C424" t="s">
        <v>36</v>
      </c>
      <c r="D424" s="2">
        <v>489</v>
      </c>
      <c r="E424" t="s">
        <v>61</v>
      </c>
      <c r="F424" s="2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 s="2">
        <v>2564</v>
      </c>
      <c r="T424">
        <v>18437</v>
      </c>
      <c r="U424">
        <v>1</v>
      </c>
      <c r="V424" t="s">
        <v>42</v>
      </c>
      <c r="W424" t="s">
        <v>43</v>
      </c>
      <c r="X424" s="2">
        <v>12</v>
      </c>
      <c r="Y424">
        <v>3</v>
      </c>
      <c r="Z424">
        <v>3</v>
      </c>
      <c r="AA424">
        <v>80</v>
      </c>
      <c r="AB424">
        <v>0</v>
      </c>
      <c r="AC424" s="2">
        <v>1</v>
      </c>
      <c r="AD424">
        <v>3</v>
      </c>
      <c r="AE424">
        <v>4</v>
      </c>
      <c r="AF424" s="2">
        <v>1</v>
      </c>
      <c r="AG424">
        <v>0</v>
      </c>
      <c r="AH424">
        <v>0</v>
      </c>
      <c r="AI424">
        <v>0</v>
      </c>
      <c r="AJ424" s="2" t="str">
        <f>IF(A424 A424 &lt;= 25, "18-25", IF(A424 &lt;=35, "26-35", IF(A424 &lt;=45, "36-45", IF(Table3[[#This Row],[Age]] &lt;=55, "46-55", "56+"))))</f>
        <v>18-25</v>
      </c>
      <c r="AK424" t="str">
        <f t="shared" si="6"/>
        <v>Low</v>
      </c>
      <c r="AL424" s="2" t="str">
        <f>IF(AF424 &lt; 3, "0-2 Years", IF(AF424 &lt;= 5, "3-5 Years", IF(AF424 &lt;= 10, "6-10 Years",IF(Table3[[#This Row],[Years At Company]]&lt;=20, "11-20 Years","20+ Years"))))</f>
        <v>0-2 Years</v>
      </c>
    </row>
    <row r="425" spans="1:38" x14ac:dyDescent="0.25">
      <c r="A425" s="2">
        <v>30</v>
      </c>
      <c r="B425" t="s">
        <v>43</v>
      </c>
      <c r="C425" t="s">
        <v>55</v>
      </c>
      <c r="D425" s="2">
        <v>1398</v>
      </c>
      <c r="E425" t="s">
        <v>37</v>
      </c>
      <c r="F425" s="2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 s="2">
        <v>8412</v>
      </c>
      <c r="T425">
        <v>2890</v>
      </c>
      <c r="U425">
        <v>0</v>
      </c>
      <c r="V425" t="s">
        <v>42</v>
      </c>
      <c r="W425" t="s">
        <v>43</v>
      </c>
      <c r="X425" s="2">
        <v>11</v>
      </c>
      <c r="Y425">
        <v>3</v>
      </c>
      <c r="Z425">
        <v>3</v>
      </c>
      <c r="AA425">
        <v>80</v>
      </c>
      <c r="AB425">
        <v>0</v>
      </c>
      <c r="AC425" s="2">
        <v>10</v>
      </c>
      <c r="AD425">
        <v>3</v>
      </c>
      <c r="AE425">
        <v>3</v>
      </c>
      <c r="AF425" s="2">
        <v>9</v>
      </c>
      <c r="AG425">
        <v>8</v>
      </c>
      <c r="AH425">
        <v>7</v>
      </c>
      <c r="AI425">
        <v>8</v>
      </c>
      <c r="AJ425" s="2" t="str">
        <f>IF(A425 A425 &lt;= 25, "18-25", IF(A425 &lt;=35, "26-35", IF(A425 &lt;=45, "36-45", IF(Table3[[#This Row],[Age]] &lt;=55, "46-55", "56+"))))</f>
        <v>26-35</v>
      </c>
      <c r="AK425" t="str">
        <f t="shared" si="6"/>
        <v>Medium</v>
      </c>
      <c r="AL425" s="2" t="str">
        <f>IF(AF425 &lt; 3, "0-2 Years", IF(AF425 &lt;= 5, "3-5 Years", IF(AF425 &lt;= 10, "6-10 Years",IF(Table3[[#This Row],[Years At Company]]&lt;=20, "11-20 Years","20+ Years"))))</f>
        <v>6-10 Years</v>
      </c>
    </row>
    <row r="426" spans="1:38" x14ac:dyDescent="0.25">
      <c r="A426" s="2">
        <v>57</v>
      </c>
      <c r="B426" t="s">
        <v>43</v>
      </c>
      <c r="C426" t="s">
        <v>36</v>
      </c>
      <c r="D426" s="2">
        <v>210</v>
      </c>
      <c r="E426" t="s">
        <v>37</v>
      </c>
      <c r="F426" s="2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 s="2">
        <v>14118</v>
      </c>
      <c r="T426">
        <v>22102</v>
      </c>
      <c r="U426">
        <v>3</v>
      </c>
      <c r="V426" t="s">
        <v>42</v>
      </c>
      <c r="W426" t="s">
        <v>43</v>
      </c>
      <c r="X426" s="2">
        <v>12</v>
      </c>
      <c r="Y426">
        <v>3</v>
      </c>
      <c r="Z426">
        <v>3</v>
      </c>
      <c r="AA426">
        <v>80</v>
      </c>
      <c r="AB426">
        <v>1</v>
      </c>
      <c r="AC426" s="2">
        <v>32</v>
      </c>
      <c r="AD426">
        <v>3</v>
      </c>
      <c r="AE426">
        <v>2</v>
      </c>
      <c r="AF426" s="2">
        <v>1</v>
      </c>
      <c r="AG426">
        <v>0</v>
      </c>
      <c r="AH426">
        <v>0</v>
      </c>
      <c r="AI426">
        <v>0</v>
      </c>
      <c r="AJ426" s="2" t="str">
        <f>IF(A426 A426 &lt;= 25, "18-25", IF(A426 &lt;=35, "26-35", IF(A426 &lt;=45, "36-45", IF(Table3[[#This Row],[Age]] &lt;=55, "46-55", "56+"))))</f>
        <v>56+</v>
      </c>
      <c r="AK426" t="str">
        <f t="shared" si="6"/>
        <v>High</v>
      </c>
      <c r="AL426" s="2" t="str">
        <f>IF(AF426 &lt; 3, "0-2 Years", IF(AF426 &lt;= 5, "3-5 Years", IF(AF426 &lt;= 10, "6-10 Years",IF(Table3[[#This Row],[Years At Company]]&lt;=20, "11-20 Years","20+ Years"))))</f>
        <v>0-2 Years</v>
      </c>
    </row>
    <row r="427" spans="1:38" x14ac:dyDescent="0.25">
      <c r="A427" s="2">
        <v>50</v>
      </c>
      <c r="B427" t="s">
        <v>43</v>
      </c>
      <c r="C427" t="s">
        <v>36</v>
      </c>
      <c r="D427" s="2">
        <v>1099</v>
      </c>
      <c r="E427" t="s">
        <v>45</v>
      </c>
      <c r="F427" s="2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 s="2">
        <v>17046</v>
      </c>
      <c r="T427">
        <v>9314</v>
      </c>
      <c r="U427">
        <v>0</v>
      </c>
      <c r="V427" t="s">
        <v>42</v>
      </c>
      <c r="W427" t="s">
        <v>43</v>
      </c>
      <c r="X427" s="2">
        <v>15</v>
      </c>
      <c r="Y427">
        <v>3</v>
      </c>
      <c r="Z427">
        <v>2</v>
      </c>
      <c r="AA427">
        <v>80</v>
      </c>
      <c r="AB427">
        <v>1</v>
      </c>
      <c r="AC427" s="2">
        <v>28</v>
      </c>
      <c r="AD427">
        <v>2</v>
      </c>
      <c r="AE427">
        <v>3</v>
      </c>
      <c r="AF427" s="2">
        <v>27</v>
      </c>
      <c r="AG427">
        <v>10</v>
      </c>
      <c r="AH427">
        <v>15</v>
      </c>
      <c r="AI427">
        <v>7</v>
      </c>
      <c r="AJ427" s="2" t="str">
        <f>IF(A427 A427 &lt;= 25, "18-25", IF(A427 &lt;=35, "26-35", IF(A427 &lt;=45, "36-45", IF(Table3[[#This Row],[Age]] &lt;=55, "46-55", "56+"))))</f>
        <v>46-55</v>
      </c>
      <c r="AK427" t="str">
        <f t="shared" si="6"/>
        <v>High</v>
      </c>
      <c r="AL427" s="2" t="str">
        <f>IF(AF427 &lt; 3, "0-2 Years", IF(AF427 &lt;= 5, "3-5 Years", IF(AF427 &lt;= 10, "6-10 Years",IF(Table3[[#This Row],[Years At Company]]&lt;=20, "11-20 Years","20+ Years"))))</f>
        <v>20+ Years</v>
      </c>
    </row>
    <row r="428" spans="1:38" x14ac:dyDescent="0.25">
      <c r="A428" s="2">
        <v>30</v>
      </c>
      <c r="B428" t="s">
        <v>43</v>
      </c>
      <c r="C428" t="s">
        <v>55</v>
      </c>
      <c r="D428" s="2">
        <v>1116</v>
      </c>
      <c r="E428" t="s">
        <v>45</v>
      </c>
      <c r="F428" s="2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 s="2">
        <v>2564</v>
      </c>
      <c r="T428">
        <v>7181</v>
      </c>
      <c r="U428">
        <v>0</v>
      </c>
      <c r="V428" t="s">
        <v>42</v>
      </c>
      <c r="W428" t="s">
        <v>43</v>
      </c>
      <c r="X428" s="2">
        <v>14</v>
      </c>
      <c r="Y428">
        <v>3</v>
      </c>
      <c r="Z428">
        <v>3</v>
      </c>
      <c r="AA428">
        <v>80</v>
      </c>
      <c r="AB428">
        <v>0</v>
      </c>
      <c r="AC428" s="2">
        <v>12</v>
      </c>
      <c r="AD428">
        <v>2</v>
      </c>
      <c r="AE428">
        <v>2</v>
      </c>
      <c r="AF428" s="2">
        <v>11</v>
      </c>
      <c r="AG428">
        <v>7</v>
      </c>
      <c r="AH428">
        <v>6</v>
      </c>
      <c r="AI428">
        <v>7</v>
      </c>
      <c r="AJ428" s="2" t="str">
        <f>IF(A428 A428 &lt;= 25, "18-25", IF(A428 &lt;=35, "26-35", IF(A428 &lt;=45, "36-45", IF(Table3[[#This Row],[Age]] &lt;=55, "46-55", "56+"))))</f>
        <v>26-35</v>
      </c>
      <c r="AK428" t="str">
        <f t="shared" si="6"/>
        <v>Low</v>
      </c>
      <c r="AL428" s="2" t="str">
        <f>IF(AF428 &lt; 3, "0-2 Years", IF(AF428 &lt;= 5, "3-5 Years", IF(AF428 &lt;= 10, "6-10 Years",IF(Table3[[#This Row],[Years At Company]]&lt;=20, "11-20 Years","20+ Years"))))</f>
        <v>11-20 Years</v>
      </c>
    </row>
    <row r="429" spans="1:38" x14ac:dyDescent="0.25">
      <c r="A429" s="2">
        <v>60</v>
      </c>
      <c r="B429" t="s">
        <v>43</v>
      </c>
      <c r="C429" t="s">
        <v>44</v>
      </c>
      <c r="D429" s="2">
        <v>1499</v>
      </c>
      <c r="E429" t="s">
        <v>37</v>
      </c>
      <c r="F429" s="2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 s="2">
        <v>10266</v>
      </c>
      <c r="T429">
        <v>2845</v>
      </c>
      <c r="U429">
        <v>4</v>
      </c>
      <c r="V429" t="s">
        <v>42</v>
      </c>
      <c r="W429" t="s">
        <v>43</v>
      </c>
      <c r="X429" s="2">
        <v>19</v>
      </c>
      <c r="Y429">
        <v>3</v>
      </c>
      <c r="Z429">
        <v>4</v>
      </c>
      <c r="AA429">
        <v>80</v>
      </c>
      <c r="AB429">
        <v>0</v>
      </c>
      <c r="AC429" s="2">
        <v>22</v>
      </c>
      <c r="AD429">
        <v>5</v>
      </c>
      <c r="AE429">
        <v>4</v>
      </c>
      <c r="AF429" s="2">
        <v>18</v>
      </c>
      <c r="AG429">
        <v>13</v>
      </c>
      <c r="AH429">
        <v>13</v>
      </c>
      <c r="AI429">
        <v>11</v>
      </c>
      <c r="AJ429" s="2" t="str">
        <f>IF(A429 A429 &lt;= 25, "18-25", IF(A429 &lt;=35, "26-35", IF(A429 &lt;=45, "36-45", IF(Table3[[#This Row],[Age]] &lt;=55, "46-55", "56+"))))</f>
        <v>56+</v>
      </c>
      <c r="AK429" t="str">
        <f t="shared" si="6"/>
        <v>High</v>
      </c>
      <c r="AL429" s="2" t="str">
        <f>IF(AF429 &lt; 3, "0-2 Years", IF(AF429 &lt;= 5, "3-5 Years", IF(AF429 &lt;= 10, "6-10 Years",IF(Table3[[#This Row],[Years At Company]]&lt;=20, "11-20 Years","20+ Years"))))</f>
        <v>11-20 Years</v>
      </c>
    </row>
    <row r="430" spans="1:38" x14ac:dyDescent="0.25">
      <c r="A430" s="2">
        <v>47</v>
      </c>
      <c r="B430" t="s">
        <v>43</v>
      </c>
      <c r="C430" t="s">
        <v>36</v>
      </c>
      <c r="D430" s="2">
        <v>983</v>
      </c>
      <c r="E430" t="s">
        <v>45</v>
      </c>
      <c r="F430" s="2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 s="2">
        <v>5070</v>
      </c>
      <c r="T430">
        <v>7389</v>
      </c>
      <c r="U430">
        <v>5</v>
      </c>
      <c r="V430" t="s">
        <v>42</v>
      </c>
      <c r="W430" t="s">
        <v>43</v>
      </c>
      <c r="X430" s="2">
        <v>13</v>
      </c>
      <c r="Y430">
        <v>3</v>
      </c>
      <c r="Z430">
        <v>3</v>
      </c>
      <c r="AA430">
        <v>80</v>
      </c>
      <c r="AB430">
        <v>3</v>
      </c>
      <c r="AC430" s="2">
        <v>20</v>
      </c>
      <c r="AD430">
        <v>2</v>
      </c>
      <c r="AE430">
        <v>3</v>
      </c>
      <c r="AF430" s="2">
        <v>5</v>
      </c>
      <c r="AG430">
        <v>0</v>
      </c>
      <c r="AH430">
        <v>0</v>
      </c>
      <c r="AI430">
        <v>4</v>
      </c>
      <c r="AJ430" s="2" t="str">
        <f>IF(A430 A430 &lt;= 25, "18-25", IF(A430 &lt;=35, "26-35", IF(A430 &lt;=45, "36-45", IF(Table3[[#This Row],[Age]] &lt;=55, "46-55", "56+"))))</f>
        <v>46-55</v>
      </c>
      <c r="AK430" t="str">
        <f t="shared" si="6"/>
        <v>Medium</v>
      </c>
      <c r="AL430" s="2" t="str">
        <f>IF(AF430 &lt; 3, "0-2 Years", IF(AF430 &lt;= 5, "3-5 Years", IF(AF430 &lt;= 10, "6-10 Years",IF(Table3[[#This Row],[Years At Company]]&lt;=20, "11-20 Years","20+ Years"))))</f>
        <v>3-5 Years</v>
      </c>
    </row>
    <row r="431" spans="1:38" x14ac:dyDescent="0.25">
      <c r="A431" s="2">
        <v>46</v>
      </c>
      <c r="B431" t="s">
        <v>43</v>
      </c>
      <c r="C431" t="s">
        <v>36</v>
      </c>
      <c r="D431" s="2">
        <v>1009</v>
      </c>
      <c r="E431" t="s">
        <v>45</v>
      </c>
      <c r="F431" s="2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 s="2">
        <v>17861</v>
      </c>
      <c r="T431">
        <v>2288</v>
      </c>
      <c r="U431">
        <v>6</v>
      </c>
      <c r="V431" t="s">
        <v>42</v>
      </c>
      <c r="W431" t="s">
        <v>43</v>
      </c>
      <c r="X431" s="2">
        <v>13</v>
      </c>
      <c r="Y431">
        <v>3</v>
      </c>
      <c r="Z431">
        <v>3</v>
      </c>
      <c r="AA431">
        <v>80</v>
      </c>
      <c r="AB431">
        <v>0</v>
      </c>
      <c r="AC431" s="2">
        <v>26</v>
      </c>
      <c r="AD431">
        <v>2</v>
      </c>
      <c r="AE431">
        <v>1</v>
      </c>
      <c r="AF431" s="2">
        <v>3</v>
      </c>
      <c r="AG431">
        <v>2</v>
      </c>
      <c r="AH431">
        <v>0</v>
      </c>
      <c r="AI431">
        <v>1</v>
      </c>
      <c r="AJ431" s="2" t="str">
        <f>IF(A431 A431 &lt;= 25, "18-25", IF(A431 &lt;=35, "26-35", IF(A431 &lt;=45, "36-45", IF(Table3[[#This Row],[Age]] &lt;=55, "46-55", "56+"))))</f>
        <v>46-55</v>
      </c>
      <c r="AK431" t="str">
        <f t="shared" si="6"/>
        <v>High</v>
      </c>
      <c r="AL431" s="2" t="str">
        <f>IF(AF431 &lt; 3, "0-2 Years", IF(AF431 &lt;= 5, "3-5 Years", IF(AF431 &lt;= 10, "6-10 Years",IF(Table3[[#This Row],[Years At Company]]&lt;=20, "11-20 Years","20+ Years"))))</f>
        <v>3-5 Years</v>
      </c>
    </row>
    <row r="432" spans="1:38" x14ac:dyDescent="0.25">
      <c r="A432" s="2">
        <v>35</v>
      </c>
      <c r="B432" t="s">
        <v>43</v>
      </c>
      <c r="C432" t="s">
        <v>36</v>
      </c>
      <c r="D432" s="2">
        <v>144</v>
      </c>
      <c r="E432" t="s">
        <v>45</v>
      </c>
      <c r="F432" s="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 s="2">
        <v>4230</v>
      </c>
      <c r="T432">
        <v>19225</v>
      </c>
      <c r="U432">
        <v>0</v>
      </c>
      <c r="V432" t="s">
        <v>42</v>
      </c>
      <c r="W432" t="s">
        <v>43</v>
      </c>
      <c r="X432" s="2">
        <v>15</v>
      </c>
      <c r="Y432">
        <v>3</v>
      </c>
      <c r="Z432">
        <v>3</v>
      </c>
      <c r="AA432">
        <v>80</v>
      </c>
      <c r="AB432">
        <v>0</v>
      </c>
      <c r="AC432" s="2">
        <v>6</v>
      </c>
      <c r="AD432">
        <v>2</v>
      </c>
      <c r="AE432">
        <v>3</v>
      </c>
      <c r="AF432" s="2">
        <v>5</v>
      </c>
      <c r="AG432">
        <v>4</v>
      </c>
      <c r="AH432">
        <v>4</v>
      </c>
      <c r="AI432">
        <v>3</v>
      </c>
      <c r="AJ432" s="2" t="str">
        <f>IF(A432 A432 &lt;= 25, "18-25", IF(A432 &lt;=35, "26-35", IF(A432 &lt;=45, "36-45", IF(Table3[[#This Row],[Age]] &lt;=55, "46-55", "56+"))))</f>
        <v>26-35</v>
      </c>
      <c r="AK432" t="str">
        <f t="shared" si="6"/>
        <v>Low</v>
      </c>
      <c r="AL432" s="2" t="str">
        <f>IF(AF432 &lt; 3, "0-2 Years", IF(AF432 &lt;= 5, "3-5 Years", IF(AF432 &lt;= 10, "6-10 Years",IF(Table3[[#This Row],[Years At Company]]&lt;=20, "11-20 Years","20+ Years"))))</f>
        <v>3-5 Years</v>
      </c>
    </row>
    <row r="433" spans="1:38" x14ac:dyDescent="0.25">
      <c r="A433" s="2">
        <v>54</v>
      </c>
      <c r="B433" t="s">
        <v>43</v>
      </c>
      <c r="C433" t="s">
        <v>36</v>
      </c>
      <c r="D433" s="2">
        <v>548</v>
      </c>
      <c r="E433" t="s">
        <v>45</v>
      </c>
      <c r="F433" s="2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 s="2">
        <v>3780</v>
      </c>
      <c r="T433">
        <v>23428</v>
      </c>
      <c r="U433">
        <v>7</v>
      </c>
      <c r="V433" t="s">
        <v>42</v>
      </c>
      <c r="W433" t="s">
        <v>43</v>
      </c>
      <c r="X433" s="2">
        <v>11</v>
      </c>
      <c r="Y433">
        <v>3</v>
      </c>
      <c r="Z433">
        <v>3</v>
      </c>
      <c r="AA433">
        <v>80</v>
      </c>
      <c r="AB433">
        <v>0</v>
      </c>
      <c r="AC433" s="2">
        <v>19</v>
      </c>
      <c r="AD433">
        <v>3</v>
      </c>
      <c r="AE433">
        <v>3</v>
      </c>
      <c r="AF433" s="2">
        <v>1</v>
      </c>
      <c r="AG433">
        <v>0</v>
      </c>
      <c r="AH433">
        <v>0</v>
      </c>
      <c r="AI433">
        <v>0</v>
      </c>
      <c r="AJ433" s="2" t="str">
        <f>IF(A433 A433 &lt;= 25, "18-25", IF(A433 &lt;=35, "26-35", IF(A433 &lt;=45, "36-45", IF(Table3[[#This Row],[Age]] &lt;=55, "46-55", "56+"))))</f>
        <v>46-55</v>
      </c>
      <c r="AK433" t="str">
        <f t="shared" si="6"/>
        <v>Low</v>
      </c>
      <c r="AL433" s="2" t="str">
        <f>IF(AF433 &lt; 3, "0-2 Years", IF(AF433 &lt;= 5, "3-5 Years", IF(AF433 &lt;= 10, "6-10 Years",IF(Table3[[#This Row],[Years At Company]]&lt;=20, "11-20 Years","20+ Years"))))</f>
        <v>0-2 Years</v>
      </c>
    </row>
    <row r="434" spans="1:38" x14ac:dyDescent="0.25">
      <c r="A434" s="2">
        <v>34</v>
      </c>
      <c r="B434" t="s">
        <v>43</v>
      </c>
      <c r="C434" t="s">
        <v>36</v>
      </c>
      <c r="D434" s="2">
        <v>1303</v>
      </c>
      <c r="E434" t="s">
        <v>45</v>
      </c>
      <c r="F434" s="2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 s="2">
        <v>2768</v>
      </c>
      <c r="T434">
        <v>8416</v>
      </c>
      <c r="U434">
        <v>3</v>
      </c>
      <c r="V434" t="s">
        <v>42</v>
      </c>
      <c r="W434" t="s">
        <v>43</v>
      </c>
      <c r="X434" s="2">
        <v>12</v>
      </c>
      <c r="Y434">
        <v>3</v>
      </c>
      <c r="Z434">
        <v>3</v>
      </c>
      <c r="AA434">
        <v>80</v>
      </c>
      <c r="AB434">
        <v>1</v>
      </c>
      <c r="AC434" s="2">
        <v>14</v>
      </c>
      <c r="AD434">
        <v>3</v>
      </c>
      <c r="AE434">
        <v>3</v>
      </c>
      <c r="AF434" s="2">
        <v>7</v>
      </c>
      <c r="AG434">
        <v>3</v>
      </c>
      <c r="AH434">
        <v>5</v>
      </c>
      <c r="AI434">
        <v>7</v>
      </c>
      <c r="AJ434" s="2" t="str">
        <f>IF(A434 A434 &lt;= 25, "18-25", IF(A434 &lt;=35, "26-35", IF(A434 &lt;=45, "36-45", IF(Table3[[#This Row],[Age]] &lt;=55, "46-55", "56+"))))</f>
        <v>26-35</v>
      </c>
      <c r="AK434" t="str">
        <f t="shared" si="6"/>
        <v>Low</v>
      </c>
      <c r="AL434" s="2" t="str">
        <f>IF(AF434 &lt; 3, "0-2 Years", IF(AF434 &lt;= 5, "3-5 Years", IF(AF434 &lt;= 10, "6-10 Years",IF(Table3[[#This Row],[Years At Company]]&lt;=20, "11-20 Years","20+ Years"))))</f>
        <v>6-10 Years</v>
      </c>
    </row>
    <row r="435" spans="1:38" x14ac:dyDescent="0.25">
      <c r="A435" s="2">
        <v>46</v>
      </c>
      <c r="B435" t="s">
        <v>43</v>
      </c>
      <c r="C435" t="s">
        <v>36</v>
      </c>
      <c r="D435" s="2">
        <v>1125</v>
      </c>
      <c r="E435" t="s">
        <v>37</v>
      </c>
      <c r="F435" s="2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 s="2">
        <v>9071</v>
      </c>
      <c r="T435">
        <v>11563</v>
      </c>
      <c r="U435">
        <v>2</v>
      </c>
      <c r="V435" t="s">
        <v>42</v>
      </c>
      <c r="W435" t="s">
        <v>35</v>
      </c>
      <c r="X435" s="2">
        <v>19</v>
      </c>
      <c r="Y435">
        <v>3</v>
      </c>
      <c r="Z435">
        <v>3</v>
      </c>
      <c r="AA435">
        <v>80</v>
      </c>
      <c r="AB435">
        <v>1</v>
      </c>
      <c r="AC435" s="2">
        <v>15</v>
      </c>
      <c r="AD435">
        <v>3</v>
      </c>
      <c r="AE435">
        <v>3</v>
      </c>
      <c r="AF435" s="2">
        <v>3</v>
      </c>
      <c r="AG435">
        <v>2</v>
      </c>
      <c r="AH435">
        <v>1</v>
      </c>
      <c r="AI435">
        <v>2</v>
      </c>
      <c r="AJ435" s="2" t="str">
        <f>IF(A435 A435 &lt;= 25, "18-25", IF(A435 &lt;=35, "26-35", IF(A435 &lt;=45, "36-45", IF(Table3[[#This Row],[Age]] &lt;=55, "46-55", "56+"))))</f>
        <v>46-55</v>
      </c>
      <c r="AK435" t="str">
        <f t="shared" si="6"/>
        <v>Medium</v>
      </c>
      <c r="AL435" s="2" t="str">
        <f>IF(AF435 &lt; 3, "0-2 Years", IF(AF435 &lt;= 5, "3-5 Years", IF(AF435 &lt;= 10, "6-10 Years",IF(Table3[[#This Row],[Years At Company]]&lt;=20, "11-20 Years","20+ Years"))))</f>
        <v>3-5 Years</v>
      </c>
    </row>
    <row r="436" spans="1:38" x14ac:dyDescent="0.25">
      <c r="A436" s="2">
        <v>31</v>
      </c>
      <c r="B436" t="s">
        <v>43</v>
      </c>
      <c r="C436" t="s">
        <v>36</v>
      </c>
      <c r="D436" s="2">
        <v>1274</v>
      </c>
      <c r="E436" t="s">
        <v>45</v>
      </c>
      <c r="F436" s="2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 s="2">
        <v>10648</v>
      </c>
      <c r="T436">
        <v>14394</v>
      </c>
      <c r="U436">
        <v>1</v>
      </c>
      <c r="V436" t="s">
        <v>42</v>
      </c>
      <c r="W436" t="s">
        <v>43</v>
      </c>
      <c r="X436" s="2">
        <v>25</v>
      </c>
      <c r="Y436">
        <v>4</v>
      </c>
      <c r="Z436">
        <v>4</v>
      </c>
      <c r="AA436">
        <v>80</v>
      </c>
      <c r="AB436">
        <v>1</v>
      </c>
      <c r="AC436" s="2">
        <v>13</v>
      </c>
      <c r="AD436">
        <v>6</v>
      </c>
      <c r="AE436">
        <v>4</v>
      </c>
      <c r="AF436" s="2">
        <v>13</v>
      </c>
      <c r="AG436">
        <v>8</v>
      </c>
      <c r="AH436">
        <v>0</v>
      </c>
      <c r="AI436">
        <v>8</v>
      </c>
      <c r="AJ436" s="2" t="str">
        <f>IF(A436 A436 &lt;= 25, "18-25", IF(A436 &lt;=35, "26-35", IF(A436 &lt;=45, "36-45", IF(Table3[[#This Row],[Age]] &lt;=55, "46-55", "56+"))))</f>
        <v>26-35</v>
      </c>
      <c r="AK436" t="str">
        <f t="shared" si="6"/>
        <v>High</v>
      </c>
      <c r="AL436" s="2" t="str">
        <f>IF(AF436 &lt; 3, "0-2 Years", IF(AF436 &lt;= 5, "3-5 Years", IF(AF436 &lt;= 10, "6-10 Years",IF(Table3[[#This Row],[Years At Company]]&lt;=20, "11-20 Years","20+ Years"))))</f>
        <v>11-20 Years</v>
      </c>
    </row>
    <row r="437" spans="1:38" x14ac:dyDescent="0.25">
      <c r="A437" s="2">
        <v>33</v>
      </c>
      <c r="B437" t="s">
        <v>35</v>
      </c>
      <c r="C437" t="s">
        <v>36</v>
      </c>
      <c r="D437" s="2">
        <v>1277</v>
      </c>
      <c r="E437" t="s">
        <v>45</v>
      </c>
      <c r="F437" s="2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 s="2">
        <v>13610</v>
      </c>
      <c r="T437">
        <v>24619</v>
      </c>
      <c r="U437">
        <v>7</v>
      </c>
      <c r="V437" t="s">
        <v>42</v>
      </c>
      <c r="W437" t="s">
        <v>35</v>
      </c>
      <c r="X437" s="2">
        <v>12</v>
      </c>
      <c r="Y437">
        <v>3</v>
      </c>
      <c r="Z437">
        <v>4</v>
      </c>
      <c r="AA437">
        <v>80</v>
      </c>
      <c r="AB437">
        <v>0</v>
      </c>
      <c r="AC437" s="2">
        <v>15</v>
      </c>
      <c r="AD437">
        <v>2</v>
      </c>
      <c r="AE437">
        <v>4</v>
      </c>
      <c r="AF437" s="2">
        <v>7</v>
      </c>
      <c r="AG437">
        <v>6</v>
      </c>
      <c r="AH437">
        <v>7</v>
      </c>
      <c r="AI437">
        <v>7</v>
      </c>
      <c r="AJ437" s="2" t="str">
        <f>IF(A437 A437 &lt;= 25, "18-25", IF(A437 &lt;=35, "26-35", IF(A437 &lt;=45, "36-45", IF(Table3[[#This Row],[Age]] &lt;=55, "46-55", "56+"))))</f>
        <v>26-35</v>
      </c>
      <c r="AK437" t="str">
        <f t="shared" si="6"/>
        <v>High</v>
      </c>
      <c r="AL437" s="2" t="str">
        <f>IF(AF437 &lt; 3, "0-2 Years", IF(AF437 &lt;= 5, "3-5 Years", IF(AF437 &lt;= 10, "6-10 Years",IF(Table3[[#This Row],[Years At Company]]&lt;=20, "11-20 Years","20+ Years"))))</f>
        <v>6-10 Years</v>
      </c>
    </row>
    <row r="438" spans="1:38" x14ac:dyDescent="0.25">
      <c r="A438" s="2">
        <v>33</v>
      </c>
      <c r="B438" t="s">
        <v>35</v>
      </c>
      <c r="C438" t="s">
        <v>36</v>
      </c>
      <c r="D438" s="2">
        <v>587</v>
      </c>
      <c r="E438" t="s">
        <v>45</v>
      </c>
      <c r="F438" s="2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 s="2">
        <v>3408</v>
      </c>
      <c r="T438">
        <v>6705</v>
      </c>
      <c r="U438">
        <v>7</v>
      </c>
      <c r="V438" t="s">
        <v>42</v>
      </c>
      <c r="W438" t="s">
        <v>43</v>
      </c>
      <c r="X438" s="2">
        <v>13</v>
      </c>
      <c r="Y438">
        <v>3</v>
      </c>
      <c r="Z438">
        <v>1</v>
      </c>
      <c r="AA438">
        <v>80</v>
      </c>
      <c r="AB438">
        <v>3</v>
      </c>
      <c r="AC438" s="2">
        <v>8</v>
      </c>
      <c r="AD438">
        <v>2</v>
      </c>
      <c r="AE438">
        <v>3</v>
      </c>
      <c r="AF438" s="2">
        <v>4</v>
      </c>
      <c r="AG438">
        <v>3</v>
      </c>
      <c r="AH438">
        <v>1</v>
      </c>
      <c r="AI438">
        <v>3</v>
      </c>
      <c r="AJ438" s="2" t="str">
        <f>IF(A438 A438 &lt;= 25, "18-25", IF(A438 &lt;=35, "26-35", IF(A438 &lt;=45, "36-45", IF(Table3[[#This Row],[Age]] &lt;=55, "46-55", "56+"))))</f>
        <v>26-35</v>
      </c>
      <c r="AK438" t="str">
        <f t="shared" si="6"/>
        <v>Low</v>
      </c>
      <c r="AL438" s="2" t="str">
        <f>IF(AF438 &lt; 3, "0-2 Years", IF(AF438 &lt;= 5, "3-5 Years", IF(AF438 &lt;= 10, "6-10 Years",IF(Table3[[#This Row],[Years At Company]]&lt;=20, "11-20 Years","20+ Years"))))</f>
        <v>3-5 Years</v>
      </c>
    </row>
    <row r="439" spans="1:38" x14ac:dyDescent="0.25">
      <c r="A439" s="2">
        <v>30</v>
      </c>
      <c r="B439" t="s">
        <v>43</v>
      </c>
      <c r="C439" t="s">
        <v>36</v>
      </c>
      <c r="D439" s="2">
        <v>413</v>
      </c>
      <c r="E439" t="s">
        <v>37</v>
      </c>
      <c r="F439" s="2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 s="2">
        <v>2983</v>
      </c>
      <c r="T439">
        <v>18398</v>
      </c>
      <c r="U439">
        <v>0</v>
      </c>
      <c r="V439" t="s">
        <v>42</v>
      </c>
      <c r="W439" t="s">
        <v>43</v>
      </c>
      <c r="X439" s="2">
        <v>14</v>
      </c>
      <c r="Y439">
        <v>3</v>
      </c>
      <c r="Z439">
        <v>1</v>
      </c>
      <c r="AA439">
        <v>80</v>
      </c>
      <c r="AB439">
        <v>0</v>
      </c>
      <c r="AC439" s="2">
        <v>4</v>
      </c>
      <c r="AD439">
        <v>3</v>
      </c>
      <c r="AE439">
        <v>3</v>
      </c>
      <c r="AF439" s="2">
        <v>3</v>
      </c>
      <c r="AG439">
        <v>2</v>
      </c>
      <c r="AH439">
        <v>1</v>
      </c>
      <c r="AI439">
        <v>2</v>
      </c>
      <c r="AJ439" s="2" t="str">
        <f>IF(A439 A439 &lt;= 25, "18-25", IF(A439 &lt;=35, "26-35", IF(A439 &lt;=45, "36-45", IF(Table3[[#This Row],[Age]] &lt;=55, "46-55", "56+"))))</f>
        <v>26-35</v>
      </c>
      <c r="AK439" t="str">
        <f t="shared" si="6"/>
        <v>Low</v>
      </c>
      <c r="AL439" s="2" t="str">
        <f>IF(AF439 &lt; 3, "0-2 Years", IF(AF439 &lt;= 5, "3-5 Years", IF(AF439 &lt;= 10, "6-10 Years",IF(Table3[[#This Row],[Years At Company]]&lt;=20, "11-20 Years","20+ Years"))))</f>
        <v>3-5 Years</v>
      </c>
    </row>
    <row r="440" spans="1:38" x14ac:dyDescent="0.25">
      <c r="A440" s="2">
        <v>35</v>
      </c>
      <c r="B440" t="s">
        <v>43</v>
      </c>
      <c r="C440" t="s">
        <v>36</v>
      </c>
      <c r="D440" s="2">
        <v>1276</v>
      </c>
      <c r="E440" t="s">
        <v>45</v>
      </c>
      <c r="F440" s="2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 s="2">
        <v>7632</v>
      </c>
      <c r="T440">
        <v>14295</v>
      </c>
      <c r="U440">
        <v>4</v>
      </c>
      <c r="V440" t="s">
        <v>42</v>
      </c>
      <c r="W440" t="s">
        <v>35</v>
      </c>
      <c r="X440" s="2">
        <v>12</v>
      </c>
      <c r="Y440">
        <v>3</v>
      </c>
      <c r="Z440">
        <v>3</v>
      </c>
      <c r="AA440">
        <v>80</v>
      </c>
      <c r="AB440">
        <v>0</v>
      </c>
      <c r="AC440" s="2">
        <v>10</v>
      </c>
      <c r="AD440">
        <v>2</v>
      </c>
      <c r="AE440">
        <v>3</v>
      </c>
      <c r="AF440" s="2">
        <v>8</v>
      </c>
      <c r="AG440">
        <v>7</v>
      </c>
      <c r="AH440">
        <v>0</v>
      </c>
      <c r="AI440">
        <v>0</v>
      </c>
      <c r="AJ440" s="2" t="str">
        <f>IF(A440 A440 &lt;= 25, "18-25", IF(A440 &lt;=35, "26-35", IF(A440 &lt;=45, "36-45", IF(Table3[[#This Row],[Age]] &lt;=55, "46-55", "56+"))))</f>
        <v>26-35</v>
      </c>
      <c r="AK440" t="str">
        <f t="shared" si="6"/>
        <v>Medium</v>
      </c>
      <c r="AL440" s="2" t="str">
        <f>IF(AF440 &lt; 3, "0-2 Years", IF(AF440 &lt;= 5, "3-5 Years", IF(AF440 &lt;= 10, "6-10 Years",IF(Table3[[#This Row],[Years At Company]]&lt;=20, "11-20 Years","20+ Years"))))</f>
        <v>6-10 Years</v>
      </c>
    </row>
    <row r="441" spans="1:38" x14ac:dyDescent="0.25">
      <c r="A441" s="2">
        <v>31</v>
      </c>
      <c r="B441" t="s">
        <v>35</v>
      </c>
      <c r="C441" t="s">
        <v>44</v>
      </c>
      <c r="D441" s="2">
        <v>534</v>
      </c>
      <c r="E441" t="s">
        <v>45</v>
      </c>
      <c r="F441" s="2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 s="2">
        <v>9824</v>
      </c>
      <c r="T441">
        <v>22908</v>
      </c>
      <c r="U441">
        <v>3</v>
      </c>
      <c r="V441" t="s">
        <v>42</v>
      </c>
      <c r="W441" t="s">
        <v>43</v>
      </c>
      <c r="X441" s="2">
        <v>12</v>
      </c>
      <c r="Y441">
        <v>3</v>
      </c>
      <c r="Z441">
        <v>1</v>
      </c>
      <c r="AA441">
        <v>80</v>
      </c>
      <c r="AB441">
        <v>0</v>
      </c>
      <c r="AC441" s="2">
        <v>12</v>
      </c>
      <c r="AD441">
        <v>2</v>
      </c>
      <c r="AE441">
        <v>3</v>
      </c>
      <c r="AF441" s="2">
        <v>1</v>
      </c>
      <c r="AG441">
        <v>0</v>
      </c>
      <c r="AH441">
        <v>0</v>
      </c>
      <c r="AI441">
        <v>0</v>
      </c>
      <c r="AJ441" s="2" t="str">
        <f>IF(A441 A441 &lt;= 25, "18-25", IF(A441 &lt;=35, "26-35", IF(A441 &lt;=45, "36-45", IF(Table3[[#This Row],[Age]] &lt;=55, "46-55", "56+"))))</f>
        <v>26-35</v>
      </c>
      <c r="AK441" t="str">
        <f t="shared" si="6"/>
        <v>Medium</v>
      </c>
      <c r="AL441" s="2" t="str">
        <f>IF(AF441 &lt; 3, "0-2 Years", IF(AF441 &lt;= 5, "3-5 Years", IF(AF441 &lt;= 10, "6-10 Years",IF(Table3[[#This Row],[Years At Company]]&lt;=20, "11-20 Years","20+ Years"))))</f>
        <v>0-2 Years</v>
      </c>
    </row>
    <row r="442" spans="1:38" x14ac:dyDescent="0.25">
      <c r="A442" s="2">
        <v>34</v>
      </c>
      <c r="B442" t="s">
        <v>35</v>
      </c>
      <c r="C442" t="s">
        <v>44</v>
      </c>
      <c r="D442" s="2">
        <v>988</v>
      </c>
      <c r="E442" t="s">
        <v>61</v>
      </c>
      <c r="F442" s="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 s="2">
        <v>9950</v>
      </c>
      <c r="T442">
        <v>11533</v>
      </c>
      <c r="U442">
        <v>9</v>
      </c>
      <c r="V442" t="s">
        <v>42</v>
      </c>
      <c r="W442" t="s">
        <v>35</v>
      </c>
      <c r="X442" s="2">
        <v>15</v>
      </c>
      <c r="Y442">
        <v>3</v>
      </c>
      <c r="Z442">
        <v>3</v>
      </c>
      <c r="AA442">
        <v>80</v>
      </c>
      <c r="AB442">
        <v>3</v>
      </c>
      <c r="AC442" s="2">
        <v>11</v>
      </c>
      <c r="AD442">
        <v>2</v>
      </c>
      <c r="AE442">
        <v>3</v>
      </c>
      <c r="AF442" s="2">
        <v>3</v>
      </c>
      <c r="AG442">
        <v>2</v>
      </c>
      <c r="AH442">
        <v>0</v>
      </c>
      <c r="AI442">
        <v>2</v>
      </c>
      <c r="AJ442" s="2" t="str">
        <f>IF(A442 A442 &lt;= 25, "18-25", IF(A442 &lt;=35, "26-35", IF(A442 &lt;=45, "36-45", IF(Table3[[#This Row],[Age]] &lt;=55, "46-55", "56+"))))</f>
        <v>26-35</v>
      </c>
      <c r="AK442" t="str">
        <f t="shared" si="6"/>
        <v>Medium</v>
      </c>
      <c r="AL442" s="2" t="str">
        <f>IF(AF442 &lt; 3, "0-2 Years", IF(AF442 &lt;= 5, "3-5 Years", IF(AF442 &lt;= 10, "6-10 Years",IF(Table3[[#This Row],[Years At Company]]&lt;=20, "11-20 Years","20+ Years"))))</f>
        <v>3-5 Years</v>
      </c>
    </row>
    <row r="443" spans="1:38" x14ac:dyDescent="0.25">
      <c r="A443" s="2">
        <v>42</v>
      </c>
      <c r="B443" t="s">
        <v>43</v>
      </c>
      <c r="C443" t="s">
        <v>44</v>
      </c>
      <c r="D443" s="2">
        <v>1474</v>
      </c>
      <c r="E443" t="s">
        <v>45</v>
      </c>
      <c r="F443" s="2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 s="2">
        <v>2093</v>
      </c>
      <c r="T443">
        <v>9260</v>
      </c>
      <c r="U443">
        <v>4</v>
      </c>
      <c r="V443" t="s">
        <v>42</v>
      </c>
      <c r="W443" t="s">
        <v>43</v>
      </c>
      <c r="X443" s="2">
        <v>17</v>
      </c>
      <c r="Y443">
        <v>3</v>
      </c>
      <c r="Z443">
        <v>4</v>
      </c>
      <c r="AA443">
        <v>80</v>
      </c>
      <c r="AB443">
        <v>1</v>
      </c>
      <c r="AC443" s="2">
        <v>8</v>
      </c>
      <c r="AD443">
        <v>4</v>
      </c>
      <c r="AE443">
        <v>3</v>
      </c>
      <c r="AF443" s="2">
        <v>2</v>
      </c>
      <c r="AG443">
        <v>2</v>
      </c>
      <c r="AH443">
        <v>2</v>
      </c>
      <c r="AI443">
        <v>0</v>
      </c>
      <c r="AJ443" s="2" t="str">
        <f>IF(A443 A443 &lt;= 25, "18-25", IF(A443 &lt;=35, "26-35", IF(A443 &lt;=45, "36-45", IF(Table3[[#This Row],[Age]] &lt;=55, "46-55", "56+"))))</f>
        <v>36-45</v>
      </c>
      <c r="AK443" t="str">
        <f t="shared" si="6"/>
        <v>Low</v>
      </c>
      <c r="AL443" s="2" t="str">
        <f>IF(AF443 &lt; 3, "0-2 Years", IF(AF443 &lt;= 5, "3-5 Years", IF(AF443 &lt;= 10, "6-10 Years",IF(Table3[[#This Row],[Years At Company]]&lt;=20, "11-20 Years","20+ Years"))))</f>
        <v>0-2 Years</v>
      </c>
    </row>
    <row r="444" spans="1:38" x14ac:dyDescent="0.25">
      <c r="A444" s="2">
        <v>36</v>
      </c>
      <c r="B444" t="s">
        <v>43</v>
      </c>
      <c r="C444" t="s">
        <v>55</v>
      </c>
      <c r="D444" s="2">
        <v>635</v>
      </c>
      <c r="E444" t="s">
        <v>37</v>
      </c>
      <c r="F444" s="2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 s="2">
        <v>9980</v>
      </c>
      <c r="T444">
        <v>15318</v>
      </c>
      <c r="U444">
        <v>1</v>
      </c>
      <c r="V444" t="s">
        <v>42</v>
      </c>
      <c r="W444" t="s">
        <v>43</v>
      </c>
      <c r="X444" s="2">
        <v>14</v>
      </c>
      <c r="Y444">
        <v>3</v>
      </c>
      <c r="Z444">
        <v>4</v>
      </c>
      <c r="AA444">
        <v>80</v>
      </c>
      <c r="AB444">
        <v>0</v>
      </c>
      <c r="AC444" s="2">
        <v>10</v>
      </c>
      <c r="AD444">
        <v>3</v>
      </c>
      <c r="AE444">
        <v>2</v>
      </c>
      <c r="AF444" s="2">
        <v>10</v>
      </c>
      <c r="AG444">
        <v>3</v>
      </c>
      <c r="AH444">
        <v>9</v>
      </c>
      <c r="AI444">
        <v>7</v>
      </c>
      <c r="AJ444" s="2" t="str">
        <f>IF(A444 A444 &lt;= 25, "18-25", IF(A444 &lt;=35, "26-35", IF(A444 &lt;=45, "36-45", IF(Table3[[#This Row],[Age]] &lt;=55, "46-55", "56+"))))</f>
        <v>36-45</v>
      </c>
      <c r="AK444" t="str">
        <f t="shared" si="6"/>
        <v>Medium</v>
      </c>
      <c r="AL444" s="2" t="str">
        <f>IF(AF444 &lt; 3, "0-2 Years", IF(AF444 &lt;= 5, "3-5 Years", IF(AF444 &lt;= 10, "6-10 Years",IF(Table3[[#This Row],[Years At Company]]&lt;=20, "11-20 Years","20+ Years"))))</f>
        <v>6-10 Years</v>
      </c>
    </row>
    <row r="445" spans="1:38" x14ac:dyDescent="0.25">
      <c r="A445" s="2">
        <v>22</v>
      </c>
      <c r="B445" t="s">
        <v>35</v>
      </c>
      <c r="C445" t="s">
        <v>44</v>
      </c>
      <c r="D445" s="2">
        <v>1368</v>
      </c>
      <c r="E445" t="s">
        <v>45</v>
      </c>
      <c r="F445" s="2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 s="2">
        <v>3894</v>
      </c>
      <c r="T445">
        <v>9129</v>
      </c>
      <c r="U445">
        <v>5</v>
      </c>
      <c r="V445" t="s">
        <v>42</v>
      </c>
      <c r="W445" t="s">
        <v>43</v>
      </c>
      <c r="X445" s="2">
        <v>16</v>
      </c>
      <c r="Y445">
        <v>3</v>
      </c>
      <c r="Z445">
        <v>3</v>
      </c>
      <c r="AA445">
        <v>80</v>
      </c>
      <c r="AB445">
        <v>0</v>
      </c>
      <c r="AC445" s="2">
        <v>4</v>
      </c>
      <c r="AD445">
        <v>3</v>
      </c>
      <c r="AE445">
        <v>3</v>
      </c>
      <c r="AF445" s="2">
        <v>2</v>
      </c>
      <c r="AG445">
        <v>2</v>
      </c>
      <c r="AH445">
        <v>1</v>
      </c>
      <c r="AI445">
        <v>2</v>
      </c>
      <c r="AJ445" s="2" t="str">
        <f>IF(A445 A445 &lt;= 25, "18-25", IF(A445 &lt;=35, "26-35", IF(A445 &lt;=45, "36-45", IF(Table3[[#This Row],[Age]] &lt;=55, "46-55", "56+"))))</f>
        <v>18-25</v>
      </c>
      <c r="AK445" t="str">
        <f t="shared" si="6"/>
        <v>Low</v>
      </c>
      <c r="AL445" s="2" t="str">
        <f>IF(AF445 &lt; 3, "0-2 Years", IF(AF445 &lt;= 5, "3-5 Years", IF(AF445 &lt;= 10, "6-10 Years",IF(Table3[[#This Row],[Years At Company]]&lt;=20, "11-20 Years","20+ Years"))))</f>
        <v>0-2 Years</v>
      </c>
    </row>
    <row r="446" spans="1:38" x14ac:dyDescent="0.25">
      <c r="A446" s="2">
        <v>48</v>
      </c>
      <c r="B446" t="s">
        <v>43</v>
      </c>
      <c r="C446" t="s">
        <v>36</v>
      </c>
      <c r="D446" s="2">
        <v>163</v>
      </c>
      <c r="E446" t="s">
        <v>37</v>
      </c>
      <c r="F446" s="2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 s="2">
        <v>4051</v>
      </c>
      <c r="T446">
        <v>19658</v>
      </c>
      <c r="U446">
        <v>2</v>
      </c>
      <c r="V446" t="s">
        <v>42</v>
      </c>
      <c r="W446" t="s">
        <v>43</v>
      </c>
      <c r="X446" s="2">
        <v>14</v>
      </c>
      <c r="Y446">
        <v>3</v>
      </c>
      <c r="Z446">
        <v>1</v>
      </c>
      <c r="AA446">
        <v>80</v>
      </c>
      <c r="AB446">
        <v>1</v>
      </c>
      <c r="AC446" s="2">
        <v>14</v>
      </c>
      <c r="AD446">
        <v>2</v>
      </c>
      <c r="AE446">
        <v>3</v>
      </c>
      <c r="AF446" s="2">
        <v>9</v>
      </c>
      <c r="AG446">
        <v>7</v>
      </c>
      <c r="AH446">
        <v>6</v>
      </c>
      <c r="AI446">
        <v>7</v>
      </c>
      <c r="AJ446" s="2" t="str">
        <f>IF(A446 A446 &lt;= 25, "18-25", IF(A446 &lt;=35, "26-35", IF(A446 &lt;=45, "36-45", IF(Table3[[#This Row],[Age]] &lt;=55, "46-55", "56+"))))</f>
        <v>46-55</v>
      </c>
      <c r="AK446" t="str">
        <f t="shared" si="6"/>
        <v>Low</v>
      </c>
      <c r="AL446" s="2" t="str">
        <f>IF(AF446 &lt; 3, "0-2 Years", IF(AF446 &lt;= 5, "3-5 Years", IF(AF446 &lt;= 10, "6-10 Years",IF(Table3[[#This Row],[Years At Company]]&lt;=20, "11-20 Years","20+ Years"))))</f>
        <v>6-10 Years</v>
      </c>
    </row>
    <row r="447" spans="1:38" x14ac:dyDescent="0.25">
      <c r="A447" s="2">
        <v>55</v>
      </c>
      <c r="B447" t="s">
        <v>43</v>
      </c>
      <c r="C447" t="s">
        <v>36</v>
      </c>
      <c r="D447" s="2">
        <v>1117</v>
      </c>
      <c r="E447" t="s">
        <v>37</v>
      </c>
      <c r="F447" s="2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 s="2">
        <v>16835</v>
      </c>
      <c r="T447">
        <v>9873</v>
      </c>
      <c r="U447">
        <v>3</v>
      </c>
      <c r="V447" t="s">
        <v>42</v>
      </c>
      <c r="W447" t="s">
        <v>43</v>
      </c>
      <c r="X447" s="2">
        <v>23</v>
      </c>
      <c r="Y447">
        <v>4</v>
      </c>
      <c r="Z447">
        <v>4</v>
      </c>
      <c r="AA447">
        <v>80</v>
      </c>
      <c r="AB447">
        <v>0</v>
      </c>
      <c r="AC447" s="2">
        <v>37</v>
      </c>
      <c r="AD447">
        <v>2</v>
      </c>
      <c r="AE447">
        <v>3</v>
      </c>
      <c r="AF447" s="2">
        <v>10</v>
      </c>
      <c r="AG447">
        <v>9</v>
      </c>
      <c r="AH447">
        <v>7</v>
      </c>
      <c r="AI447">
        <v>7</v>
      </c>
      <c r="AJ447" s="2" t="str">
        <f>IF(A447 A447 &lt;= 25, "18-25", IF(A447 &lt;=35, "26-35", IF(A447 &lt;=45, "36-45", IF(Table3[[#This Row],[Age]] &lt;=55, "46-55", "56+"))))</f>
        <v>46-55</v>
      </c>
      <c r="AK447" t="str">
        <f t="shared" si="6"/>
        <v>High</v>
      </c>
      <c r="AL447" s="2" t="str">
        <f>IF(AF447 &lt; 3, "0-2 Years", IF(AF447 &lt;= 5, "3-5 Years", IF(AF447 &lt;= 10, "6-10 Years",IF(Table3[[#This Row],[Years At Company]]&lt;=20, "11-20 Years","20+ Years"))))</f>
        <v>6-10 Years</v>
      </c>
    </row>
    <row r="448" spans="1:38" x14ac:dyDescent="0.25">
      <c r="A448" s="2">
        <v>41</v>
      </c>
      <c r="B448" t="s">
        <v>43</v>
      </c>
      <c r="C448" t="s">
        <v>55</v>
      </c>
      <c r="D448" s="2">
        <v>267</v>
      </c>
      <c r="E448" t="s">
        <v>37</v>
      </c>
      <c r="F448" s="2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 s="2">
        <v>6230</v>
      </c>
      <c r="T448">
        <v>13430</v>
      </c>
      <c r="U448">
        <v>7</v>
      </c>
      <c r="V448" t="s">
        <v>42</v>
      </c>
      <c r="W448" t="s">
        <v>43</v>
      </c>
      <c r="X448" s="2">
        <v>14</v>
      </c>
      <c r="Y448">
        <v>3</v>
      </c>
      <c r="Z448">
        <v>4</v>
      </c>
      <c r="AA448">
        <v>80</v>
      </c>
      <c r="AB448">
        <v>0</v>
      </c>
      <c r="AC448" s="2">
        <v>16</v>
      </c>
      <c r="AD448">
        <v>3</v>
      </c>
      <c r="AE448">
        <v>3</v>
      </c>
      <c r="AF448" s="2">
        <v>14</v>
      </c>
      <c r="AG448">
        <v>3</v>
      </c>
      <c r="AH448">
        <v>1</v>
      </c>
      <c r="AI448">
        <v>10</v>
      </c>
      <c r="AJ448" s="2" t="str">
        <f>IF(A448 A448 &lt;= 25, "18-25", IF(A448 &lt;=35, "26-35", IF(A448 &lt;=45, "36-45", IF(Table3[[#This Row],[Age]] &lt;=55, "46-55", "56+"))))</f>
        <v>36-45</v>
      </c>
      <c r="AK448" t="str">
        <f t="shared" si="6"/>
        <v>Medium</v>
      </c>
      <c r="AL448" s="2" t="str">
        <f>IF(AF448 &lt; 3, "0-2 Years", IF(AF448 &lt;= 5, "3-5 Years", IF(AF448 &lt;= 10, "6-10 Years",IF(Table3[[#This Row],[Years At Company]]&lt;=20, "11-20 Years","20+ Years"))))</f>
        <v>11-20 Years</v>
      </c>
    </row>
    <row r="449" spans="1:38" x14ac:dyDescent="0.25">
      <c r="A449" s="2">
        <v>35</v>
      </c>
      <c r="B449" t="s">
        <v>43</v>
      </c>
      <c r="C449" t="s">
        <v>36</v>
      </c>
      <c r="D449" s="2">
        <v>619</v>
      </c>
      <c r="E449" t="s">
        <v>37</v>
      </c>
      <c r="F449" s="2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 s="2">
        <v>4717</v>
      </c>
      <c r="T449">
        <v>18659</v>
      </c>
      <c r="U449">
        <v>9</v>
      </c>
      <c r="V449" t="s">
        <v>42</v>
      </c>
      <c r="W449" t="s">
        <v>43</v>
      </c>
      <c r="X449" s="2">
        <v>11</v>
      </c>
      <c r="Y449">
        <v>3</v>
      </c>
      <c r="Z449">
        <v>3</v>
      </c>
      <c r="AA449">
        <v>80</v>
      </c>
      <c r="AB449">
        <v>0</v>
      </c>
      <c r="AC449" s="2">
        <v>15</v>
      </c>
      <c r="AD449">
        <v>2</v>
      </c>
      <c r="AE449">
        <v>3</v>
      </c>
      <c r="AF449" s="2">
        <v>11</v>
      </c>
      <c r="AG449">
        <v>9</v>
      </c>
      <c r="AH449">
        <v>6</v>
      </c>
      <c r="AI449">
        <v>9</v>
      </c>
      <c r="AJ449" s="2" t="str">
        <f>IF(A449 A449 &lt;= 25, "18-25", IF(A449 &lt;=35, "26-35", IF(A449 &lt;=45, "36-45", IF(Table3[[#This Row],[Age]] &lt;=55, "46-55", "56+"))))</f>
        <v>26-35</v>
      </c>
      <c r="AK449" t="str">
        <f t="shared" si="6"/>
        <v>Low</v>
      </c>
      <c r="AL449" s="2" t="str">
        <f>IF(AF449 &lt; 3, "0-2 Years", IF(AF449 &lt;= 5, "3-5 Years", IF(AF449 &lt;= 10, "6-10 Years",IF(Table3[[#This Row],[Years At Company]]&lt;=20, "11-20 Years","20+ Years"))))</f>
        <v>11-20 Years</v>
      </c>
    </row>
    <row r="450" spans="1:38" x14ac:dyDescent="0.25">
      <c r="A450" s="2">
        <v>40</v>
      </c>
      <c r="B450" t="s">
        <v>43</v>
      </c>
      <c r="C450" t="s">
        <v>36</v>
      </c>
      <c r="D450" s="2">
        <v>302</v>
      </c>
      <c r="E450" t="s">
        <v>45</v>
      </c>
      <c r="F450" s="2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 s="2">
        <v>13237</v>
      </c>
      <c r="T450">
        <v>20364</v>
      </c>
      <c r="U450">
        <v>7</v>
      </c>
      <c r="V450" t="s">
        <v>42</v>
      </c>
      <c r="W450" t="s">
        <v>43</v>
      </c>
      <c r="X450" s="2">
        <v>15</v>
      </c>
      <c r="Y450">
        <v>3</v>
      </c>
      <c r="Z450">
        <v>3</v>
      </c>
      <c r="AA450">
        <v>80</v>
      </c>
      <c r="AB450">
        <v>0</v>
      </c>
      <c r="AC450" s="2">
        <v>22</v>
      </c>
      <c r="AD450">
        <v>3</v>
      </c>
      <c r="AE450">
        <v>3</v>
      </c>
      <c r="AF450" s="2">
        <v>20</v>
      </c>
      <c r="AG450">
        <v>6</v>
      </c>
      <c r="AH450">
        <v>5</v>
      </c>
      <c r="AI450">
        <v>13</v>
      </c>
      <c r="AJ450" s="2" t="str">
        <f>IF(A450 A450 &lt;= 25, "18-25", IF(A450 &lt;=35, "26-35", IF(A450 &lt;=45, "36-45", IF(Table3[[#This Row],[Age]] &lt;=55, "46-55", "56+"))))</f>
        <v>36-45</v>
      </c>
      <c r="AK450" t="str">
        <f t="shared" ref="AK450:AK513" si="7">IF(S450 &lt; 5000, "Low",IF(S450 &lt;=9999, "Medium", "High"))</f>
        <v>High</v>
      </c>
      <c r="AL450" s="2" t="str">
        <f>IF(AF450 &lt; 3, "0-2 Years", IF(AF450 &lt;= 5, "3-5 Years", IF(AF450 &lt;= 10, "6-10 Years",IF(Table3[[#This Row],[Years At Company]]&lt;=20, "11-20 Years","20+ Years"))))</f>
        <v>11-20 Years</v>
      </c>
    </row>
    <row r="451" spans="1:38" x14ac:dyDescent="0.25">
      <c r="A451" s="2">
        <v>39</v>
      </c>
      <c r="B451" t="s">
        <v>43</v>
      </c>
      <c r="C451" t="s">
        <v>44</v>
      </c>
      <c r="D451" s="2">
        <v>443</v>
      </c>
      <c r="E451" t="s">
        <v>45</v>
      </c>
      <c r="F451" s="2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 s="2">
        <v>3755</v>
      </c>
      <c r="T451">
        <v>17872</v>
      </c>
      <c r="U451">
        <v>1</v>
      </c>
      <c r="V451" t="s">
        <v>42</v>
      </c>
      <c r="W451" t="s">
        <v>43</v>
      </c>
      <c r="X451" s="2">
        <v>11</v>
      </c>
      <c r="Y451">
        <v>3</v>
      </c>
      <c r="Z451">
        <v>1</v>
      </c>
      <c r="AA451">
        <v>80</v>
      </c>
      <c r="AB451">
        <v>1</v>
      </c>
      <c r="AC451" s="2">
        <v>8</v>
      </c>
      <c r="AD451">
        <v>3</v>
      </c>
      <c r="AE451">
        <v>3</v>
      </c>
      <c r="AF451" s="2">
        <v>8</v>
      </c>
      <c r="AG451">
        <v>3</v>
      </c>
      <c r="AH451">
        <v>0</v>
      </c>
      <c r="AI451">
        <v>7</v>
      </c>
      <c r="AJ451" s="2" t="str">
        <f>IF(A451 A451 &lt;= 25, "18-25", IF(A451 &lt;=35, "26-35", IF(A451 &lt;=45, "36-45", IF(Table3[[#This Row],[Age]] &lt;=55, "46-55", "56+"))))</f>
        <v>36-45</v>
      </c>
      <c r="AK451" t="str">
        <f t="shared" si="7"/>
        <v>Low</v>
      </c>
      <c r="AL451" s="2" t="str">
        <f>IF(AF451 &lt; 3, "0-2 Years", IF(AF451 &lt;= 5, "3-5 Years", IF(AF451 &lt;= 10, "6-10 Years",IF(Table3[[#This Row],[Years At Company]]&lt;=20, "11-20 Years","20+ Years"))))</f>
        <v>6-10 Years</v>
      </c>
    </row>
    <row r="452" spans="1:38" x14ac:dyDescent="0.25">
      <c r="A452" s="2">
        <v>31</v>
      </c>
      <c r="B452" t="s">
        <v>43</v>
      </c>
      <c r="C452" t="s">
        <v>36</v>
      </c>
      <c r="D452" s="2">
        <v>828</v>
      </c>
      <c r="E452" t="s">
        <v>37</v>
      </c>
      <c r="F452" s="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 s="2">
        <v>6582</v>
      </c>
      <c r="T452">
        <v>8346</v>
      </c>
      <c r="U452">
        <v>4</v>
      </c>
      <c r="V452" t="s">
        <v>42</v>
      </c>
      <c r="W452" t="s">
        <v>35</v>
      </c>
      <c r="X452" s="2">
        <v>13</v>
      </c>
      <c r="Y452">
        <v>3</v>
      </c>
      <c r="Z452">
        <v>3</v>
      </c>
      <c r="AA452">
        <v>80</v>
      </c>
      <c r="AB452">
        <v>0</v>
      </c>
      <c r="AC452" s="2">
        <v>10</v>
      </c>
      <c r="AD452">
        <v>2</v>
      </c>
      <c r="AE452">
        <v>4</v>
      </c>
      <c r="AF452" s="2">
        <v>6</v>
      </c>
      <c r="AG452">
        <v>5</v>
      </c>
      <c r="AH452">
        <v>0</v>
      </c>
      <c r="AI452">
        <v>5</v>
      </c>
      <c r="AJ452" s="2" t="str">
        <f>IF(A452 A452 &lt;= 25, "18-25", IF(A452 &lt;=35, "26-35", IF(A452 &lt;=45, "36-45", IF(Table3[[#This Row],[Age]] &lt;=55, "46-55", "56+"))))</f>
        <v>26-35</v>
      </c>
      <c r="AK452" t="str">
        <f t="shared" si="7"/>
        <v>Medium</v>
      </c>
      <c r="AL452" s="2" t="str">
        <f>IF(AF452 &lt; 3, "0-2 Years", IF(AF452 &lt;= 5, "3-5 Years", IF(AF452 &lt;= 10, "6-10 Years",IF(Table3[[#This Row],[Years At Company]]&lt;=20, "11-20 Years","20+ Years"))))</f>
        <v>6-10 Years</v>
      </c>
    </row>
    <row r="453" spans="1:38" x14ac:dyDescent="0.25">
      <c r="A453" s="2">
        <v>42</v>
      </c>
      <c r="B453" t="s">
        <v>43</v>
      </c>
      <c r="C453" t="s">
        <v>36</v>
      </c>
      <c r="D453" s="2">
        <v>319</v>
      </c>
      <c r="E453" t="s">
        <v>45</v>
      </c>
      <c r="F453" s="2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 s="2">
        <v>7406</v>
      </c>
      <c r="T453">
        <v>6950</v>
      </c>
      <c r="U453">
        <v>1</v>
      </c>
      <c r="V453" t="s">
        <v>42</v>
      </c>
      <c r="W453" t="s">
        <v>35</v>
      </c>
      <c r="X453" s="2">
        <v>21</v>
      </c>
      <c r="Y453">
        <v>4</v>
      </c>
      <c r="Z453">
        <v>4</v>
      </c>
      <c r="AA453">
        <v>80</v>
      </c>
      <c r="AB453">
        <v>1</v>
      </c>
      <c r="AC453" s="2">
        <v>10</v>
      </c>
      <c r="AD453">
        <v>5</v>
      </c>
      <c r="AE453">
        <v>2</v>
      </c>
      <c r="AF453" s="2">
        <v>10</v>
      </c>
      <c r="AG453">
        <v>9</v>
      </c>
      <c r="AH453">
        <v>5</v>
      </c>
      <c r="AI453">
        <v>8</v>
      </c>
      <c r="AJ453" s="2" t="str">
        <f>IF(A453 A453 &lt;= 25, "18-25", IF(A453 &lt;=35, "26-35", IF(A453 &lt;=45, "36-45", IF(Table3[[#This Row],[Age]] &lt;=55, "46-55", "56+"))))</f>
        <v>36-45</v>
      </c>
      <c r="AK453" t="str">
        <f t="shared" si="7"/>
        <v>Medium</v>
      </c>
      <c r="AL453" s="2" t="str">
        <f>IF(AF453 &lt; 3, "0-2 Years", IF(AF453 &lt;= 5, "3-5 Years", IF(AF453 &lt;= 10, "6-10 Years",IF(Table3[[#This Row],[Years At Company]]&lt;=20, "11-20 Years","20+ Years"))))</f>
        <v>6-10 Years</v>
      </c>
    </row>
    <row r="454" spans="1:38" x14ac:dyDescent="0.25">
      <c r="A454" s="2">
        <v>45</v>
      </c>
      <c r="B454" t="s">
        <v>43</v>
      </c>
      <c r="C454" t="s">
        <v>36</v>
      </c>
      <c r="D454" s="2">
        <v>561</v>
      </c>
      <c r="E454" t="s">
        <v>37</v>
      </c>
      <c r="F454" s="2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 s="2">
        <v>4805</v>
      </c>
      <c r="T454">
        <v>16177</v>
      </c>
      <c r="U454">
        <v>0</v>
      </c>
      <c r="V454" t="s">
        <v>42</v>
      </c>
      <c r="W454" t="s">
        <v>43</v>
      </c>
      <c r="X454" s="2">
        <v>19</v>
      </c>
      <c r="Y454">
        <v>3</v>
      </c>
      <c r="Z454">
        <v>2</v>
      </c>
      <c r="AA454">
        <v>80</v>
      </c>
      <c r="AB454">
        <v>1</v>
      </c>
      <c r="AC454" s="2">
        <v>9</v>
      </c>
      <c r="AD454">
        <v>3</v>
      </c>
      <c r="AE454">
        <v>4</v>
      </c>
      <c r="AF454" s="2">
        <v>8</v>
      </c>
      <c r="AG454">
        <v>7</v>
      </c>
      <c r="AH454">
        <v>3</v>
      </c>
      <c r="AI454">
        <v>7</v>
      </c>
      <c r="AJ454" s="2" t="str">
        <f>IF(A454 A454 &lt;= 25, "18-25", IF(A454 &lt;=35, "26-35", IF(A454 &lt;=45, "36-45", IF(Table3[[#This Row],[Age]] &lt;=55, "46-55", "56+"))))</f>
        <v>36-45</v>
      </c>
      <c r="AK454" t="str">
        <f t="shared" si="7"/>
        <v>Low</v>
      </c>
      <c r="AL454" s="2" t="str">
        <f>IF(AF454 &lt; 3, "0-2 Years", IF(AF454 &lt;= 5, "3-5 Years", IF(AF454 &lt;= 10, "6-10 Years",IF(Table3[[#This Row],[Years At Company]]&lt;=20, "11-20 Years","20+ Years"))))</f>
        <v>6-10 Years</v>
      </c>
    </row>
    <row r="455" spans="1:38" x14ac:dyDescent="0.25">
      <c r="A455" s="2">
        <v>26</v>
      </c>
      <c r="B455" t="s">
        <v>35</v>
      </c>
      <c r="C455" t="s">
        <v>44</v>
      </c>
      <c r="D455" s="2">
        <v>426</v>
      </c>
      <c r="E455" t="s">
        <v>61</v>
      </c>
      <c r="F455" s="2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 s="2">
        <v>2741</v>
      </c>
      <c r="T455">
        <v>22808</v>
      </c>
      <c r="U455">
        <v>0</v>
      </c>
      <c r="V455" t="s">
        <v>42</v>
      </c>
      <c r="W455" t="s">
        <v>35</v>
      </c>
      <c r="X455" s="2">
        <v>11</v>
      </c>
      <c r="Y455">
        <v>3</v>
      </c>
      <c r="Z455">
        <v>2</v>
      </c>
      <c r="AA455">
        <v>80</v>
      </c>
      <c r="AB455">
        <v>1</v>
      </c>
      <c r="AC455" s="2">
        <v>8</v>
      </c>
      <c r="AD455">
        <v>2</v>
      </c>
      <c r="AE455">
        <v>2</v>
      </c>
      <c r="AF455" s="2">
        <v>7</v>
      </c>
      <c r="AG455">
        <v>7</v>
      </c>
      <c r="AH455">
        <v>1</v>
      </c>
      <c r="AI455">
        <v>0</v>
      </c>
      <c r="AJ455" s="2" t="str">
        <f>IF(A455 A455 &lt;= 25, "18-25", IF(A455 &lt;=35, "26-35", IF(A455 &lt;=45, "36-45", IF(Table3[[#This Row],[Age]] &lt;=55, "46-55", "56+"))))</f>
        <v>26-35</v>
      </c>
      <c r="AK455" t="str">
        <f t="shared" si="7"/>
        <v>Low</v>
      </c>
      <c r="AL455" s="2" t="str">
        <f>IF(AF455 &lt; 3, "0-2 Years", IF(AF455 &lt;= 5, "3-5 Years", IF(AF455 &lt;= 10, "6-10 Years",IF(Table3[[#This Row],[Years At Company]]&lt;=20, "11-20 Years","20+ Years"))))</f>
        <v>6-10 Years</v>
      </c>
    </row>
    <row r="456" spans="1:38" x14ac:dyDescent="0.25">
      <c r="A456" s="2">
        <v>29</v>
      </c>
      <c r="B456" t="s">
        <v>43</v>
      </c>
      <c r="C456" t="s">
        <v>36</v>
      </c>
      <c r="D456" s="2">
        <v>232</v>
      </c>
      <c r="E456" t="s">
        <v>45</v>
      </c>
      <c r="F456" s="2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 s="2">
        <v>4262</v>
      </c>
      <c r="T456">
        <v>22645</v>
      </c>
      <c r="U456">
        <v>4</v>
      </c>
      <c r="V456" t="s">
        <v>42</v>
      </c>
      <c r="W456" t="s">
        <v>43</v>
      </c>
      <c r="X456" s="2">
        <v>12</v>
      </c>
      <c r="Y456">
        <v>3</v>
      </c>
      <c r="Z456">
        <v>2</v>
      </c>
      <c r="AA456">
        <v>80</v>
      </c>
      <c r="AB456">
        <v>2</v>
      </c>
      <c r="AC456" s="2">
        <v>8</v>
      </c>
      <c r="AD456">
        <v>2</v>
      </c>
      <c r="AE456">
        <v>4</v>
      </c>
      <c r="AF456" s="2">
        <v>3</v>
      </c>
      <c r="AG456">
        <v>2</v>
      </c>
      <c r="AH456">
        <v>1</v>
      </c>
      <c r="AI456">
        <v>2</v>
      </c>
      <c r="AJ456" s="2" t="str">
        <f>IF(A456 A456 &lt;= 25, "18-25", IF(A456 &lt;=35, "26-35", IF(A456 &lt;=45, "36-45", IF(Table3[[#This Row],[Age]] &lt;=55, "46-55", "56+"))))</f>
        <v>26-35</v>
      </c>
      <c r="AK456" t="str">
        <f t="shared" si="7"/>
        <v>Low</v>
      </c>
      <c r="AL456" s="2" t="str">
        <f>IF(AF456 &lt; 3, "0-2 Years", IF(AF456 &lt;= 5, "3-5 Years", IF(AF456 &lt;= 10, "6-10 Years",IF(Table3[[#This Row],[Years At Company]]&lt;=20, "11-20 Years","20+ Years"))))</f>
        <v>3-5 Years</v>
      </c>
    </row>
    <row r="457" spans="1:38" x14ac:dyDescent="0.25">
      <c r="A457" s="2">
        <v>33</v>
      </c>
      <c r="B457" t="s">
        <v>43</v>
      </c>
      <c r="C457" t="s">
        <v>36</v>
      </c>
      <c r="D457" s="2">
        <v>922</v>
      </c>
      <c r="E457" t="s">
        <v>45</v>
      </c>
      <c r="F457" s="2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 s="2">
        <v>16184</v>
      </c>
      <c r="T457">
        <v>22578</v>
      </c>
      <c r="U457">
        <v>4</v>
      </c>
      <c r="V457" t="s">
        <v>42</v>
      </c>
      <c r="W457" t="s">
        <v>43</v>
      </c>
      <c r="X457" s="2">
        <v>19</v>
      </c>
      <c r="Y457">
        <v>3</v>
      </c>
      <c r="Z457">
        <v>3</v>
      </c>
      <c r="AA457">
        <v>80</v>
      </c>
      <c r="AB457">
        <v>1</v>
      </c>
      <c r="AC457" s="2">
        <v>10</v>
      </c>
      <c r="AD457">
        <v>2</v>
      </c>
      <c r="AE457">
        <v>3</v>
      </c>
      <c r="AF457" s="2">
        <v>6</v>
      </c>
      <c r="AG457">
        <v>1</v>
      </c>
      <c r="AH457">
        <v>0</v>
      </c>
      <c r="AI457">
        <v>5</v>
      </c>
      <c r="AJ457" s="2" t="str">
        <f>IF(A457 A457 &lt;= 25, "18-25", IF(A457 &lt;=35, "26-35", IF(A457 &lt;=45, "36-45", IF(Table3[[#This Row],[Age]] &lt;=55, "46-55", "56+"))))</f>
        <v>26-35</v>
      </c>
      <c r="AK457" t="str">
        <f t="shared" si="7"/>
        <v>High</v>
      </c>
      <c r="AL457" s="2" t="str">
        <f>IF(AF457 &lt; 3, "0-2 Years", IF(AF457 &lt;= 5, "3-5 Years", IF(AF457 &lt;= 10, "6-10 Years",IF(Table3[[#This Row],[Years At Company]]&lt;=20, "11-20 Years","20+ Years"))))</f>
        <v>6-10 Years</v>
      </c>
    </row>
    <row r="458" spans="1:38" x14ac:dyDescent="0.25">
      <c r="A458" s="2">
        <v>31</v>
      </c>
      <c r="B458" t="s">
        <v>43</v>
      </c>
      <c r="C458" t="s">
        <v>36</v>
      </c>
      <c r="D458" s="2">
        <v>688</v>
      </c>
      <c r="E458" t="s">
        <v>37</v>
      </c>
      <c r="F458" s="2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 s="2">
        <v>11557</v>
      </c>
      <c r="T458">
        <v>25291</v>
      </c>
      <c r="U458">
        <v>9</v>
      </c>
      <c r="V458" t="s">
        <v>42</v>
      </c>
      <c r="W458" t="s">
        <v>43</v>
      </c>
      <c r="X458" s="2">
        <v>21</v>
      </c>
      <c r="Y458">
        <v>4</v>
      </c>
      <c r="Z458">
        <v>3</v>
      </c>
      <c r="AA458">
        <v>80</v>
      </c>
      <c r="AB458">
        <v>1</v>
      </c>
      <c r="AC458" s="2">
        <v>10</v>
      </c>
      <c r="AD458">
        <v>3</v>
      </c>
      <c r="AE458">
        <v>2</v>
      </c>
      <c r="AF458" s="2">
        <v>5</v>
      </c>
      <c r="AG458">
        <v>4</v>
      </c>
      <c r="AH458">
        <v>0</v>
      </c>
      <c r="AI458">
        <v>1</v>
      </c>
      <c r="AJ458" s="2" t="str">
        <f>IF(A458 A458 &lt;= 25, "18-25", IF(A458 &lt;=35, "26-35", IF(A458 &lt;=45, "36-45", IF(Table3[[#This Row],[Age]] &lt;=55, "46-55", "56+"))))</f>
        <v>26-35</v>
      </c>
      <c r="AK458" t="str">
        <f t="shared" si="7"/>
        <v>High</v>
      </c>
      <c r="AL458" s="2" t="str">
        <f>IF(AF458 &lt; 3, "0-2 Years", IF(AF458 &lt;= 5, "3-5 Years", IF(AF458 &lt;= 10, "6-10 Years",IF(Table3[[#This Row],[Years At Company]]&lt;=20, "11-20 Years","20+ Years"))))</f>
        <v>3-5 Years</v>
      </c>
    </row>
    <row r="459" spans="1:38" x14ac:dyDescent="0.25">
      <c r="A459" s="2">
        <v>18</v>
      </c>
      <c r="B459" t="s">
        <v>35</v>
      </c>
      <c r="C459" t="s">
        <v>44</v>
      </c>
      <c r="D459" s="2">
        <v>1306</v>
      </c>
      <c r="E459" t="s">
        <v>37</v>
      </c>
      <c r="F459" s="2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 s="2">
        <v>1878</v>
      </c>
      <c r="T459">
        <v>8059</v>
      </c>
      <c r="U459">
        <v>1</v>
      </c>
      <c r="V459" t="s">
        <v>42</v>
      </c>
      <c r="W459" t="s">
        <v>35</v>
      </c>
      <c r="X459" s="2">
        <v>14</v>
      </c>
      <c r="Y459">
        <v>3</v>
      </c>
      <c r="Z459">
        <v>4</v>
      </c>
      <c r="AA459">
        <v>80</v>
      </c>
      <c r="AB459">
        <v>0</v>
      </c>
      <c r="AC459" s="2">
        <v>0</v>
      </c>
      <c r="AD459">
        <v>3</v>
      </c>
      <c r="AE459">
        <v>3</v>
      </c>
      <c r="AF459" s="2">
        <v>0</v>
      </c>
      <c r="AG459">
        <v>0</v>
      </c>
      <c r="AH459">
        <v>0</v>
      </c>
      <c r="AI459">
        <v>0</v>
      </c>
      <c r="AJ459" s="2" t="str">
        <f>IF(A459 A459 &lt;= 25, "18-25", IF(A459 &lt;=35, "26-35", IF(A459 &lt;=45, "36-45", IF(Table3[[#This Row],[Age]] &lt;=55, "46-55", "56+"))))</f>
        <v>18-25</v>
      </c>
      <c r="AK459" t="str">
        <f t="shared" si="7"/>
        <v>Low</v>
      </c>
      <c r="AL459" s="2" t="str">
        <f>IF(AF459 &lt; 3, "0-2 Years", IF(AF459 &lt;= 5, "3-5 Years", IF(AF459 &lt;= 10, "6-10 Years",IF(Table3[[#This Row],[Years At Company]]&lt;=20, "11-20 Years","20+ Years"))))</f>
        <v>0-2 Years</v>
      </c>
    </row>
    <row r="460" spans="1:38" x14ac:dyDescent="0.25">
      <c r="A460" s="2">
        <v>40</v>
      </c>
      <c r="B460" t="s">
        <v>43</v>
      </c>
      <c r="C460" t="s">
        <v>55</v>
      </c>
      <c r="D460" s="2">
        <v>1094</v>
      </c>
      <c r="E460" t="s">
        <v>37</v>
      </c>
      <c r="F460" s="2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 s="2">
        <v>10932</v>
      </c>
      <c r="T460">
        <v>11373</v>
      </c>
      <c r="U460">
        <v>3</v>
      </c>
      <c r="V460" t="s">
        <v>42</v>
      </c>
      <c r="W460" t="s">
        <v>43</v>
      </c>
      <c r="X460" s="2">
        <v>15</v>
      </c>
      <c r="Y460">
        <v>3</v>
      </c>
      <c r="Z460">
        <v>3</v>
      </c>
      <c r="AA460">
        <v>80</v>
      </c>
      <c r="AB460">
        <v>1</v>
      </c>
      <c r="AC460" s="2">
        <v>20</v>
      </c>
      <c r="AD460">
        <v>2</v>
      </c>
      <c r="AE460">
        <v>3</v>
      </c>
      <c r="AF460" s="2">
        <v>1</v>
      </c>
      <c r="AG460">
        <v>0</v>
      </c>
      <c r="AH460">
        <v>0</v>
      </c>
      <c r="AI460">
        <v>1</v>
      </c>
      <c r="AJ460" s="2" t="str">
        <f>IF(A460 A460 &lt;= 25, "18-25", IF(A460 &lt;=35, "26-35", IF(A460 &lt;=45, "36-45", IF(Table3[[#This Row],[Age]] &lt;=55, "46-55", "56+"))))</f>
        <v>36-45</v>
      </c>
      <c r="AK460" t="str">
        <f t="shared" si="7"/>
        <v>High</v>
      </c>
      <c r="AL460" s="2" t="str">
        <f>IF(AF460 &lt; 3, "0-2 Years", IF(AF460 &lt;= 5, "3-5 Years", IF(AF460 &lt;= 10, "6-10 Years",IF(Table3[[#This Row],[Years At Company]]&lt;=20, "11-20 Years","20+ Years"))))</f>
        <v>0-2 Years</v>
      </c>
    </row>
    <row r="461" spans="1:38" x14ac:dyDescent="0.25">
      <c r="A461" s="2">
        <v>41</v>
      </c>
      <c r="B461" t="s">
        <v>43</v>
      </c>
      <c r="C461" t="s">
        <v>55</v>
      </c>
      <c r="D461" s="2">
        <v>509</v>
      </c>
      <c r="E461" t="s">
        <v>45</v>
      </c>
      <c r="F461" s="2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 s="2">
        <v>6811</v>
      </c>
      <c r="T461">
        <v>2112</v>
      </c>
      <c r="U461">
        <v>2</v>
      </c>
      <c r="V461" t="s">
        <v>42</v>
      </c>
      <c r="W461" t="s">
        <v>35</v>
      </c>
      <c r="X461" s="2">
        <v>17</v>
      </c>
      <c r="Y461">
        <v>3</v>
      </c>
      <c r="Z461">
        <v>1</v>
      </c>
      <c r="AA461">
        <v>80</v>
      </c>
      <c r="AB461">
        <v>0</v>
      </c>
      <c r="AC461" s="2">
        <v>10</v>
      </c>
      <c r="AD461">
        <v>3</v>
      </c>
      <c r="AE461">
        <v>3</v>
      </c>
      <c r="AF461" s="2">
        <v>8</v>
      </c>
      <c r="AG461">
        <v>7</v>
      </c>
      <c r="AH461">
        <v>0</v>
      </c>
      <c r="AI461">
        <v>7</v>
      </c>
      <c r="AJ461" s="2" t="str">
        <f>IF(A461 A461 &lt;= 25, "18-25", IF(A461 &lt;=35, "26-35", IF(A461 &lt;=45, "36-45", IF(Table3[[#This Row],[Age]] &lt;=55, "46-55", "56+"))))</f>
        <v>36-45</v>
      </c>
      <c r="AK461" t="str">
        <f t="shared" si="7"/>
        <v>Medium</v>
      </c>
      <c r="AL461" s="2" t="str">
        <f>IF(AF461 &lt; 3, "0-2 Years", IF(AF461 &lt;= 5, "3-5 Years", IF(AF461 &lt;= 10, "6-10 Years",IF(Table3[[#This Row],[Years At Company]]&lt;=20, "11-20 Years","20+ Years"))))</f>
        <v>6-10 Years</v>
      </c>
    </row>
    <row r="462" spans="1:38" x14ac:dyDescent="0.25">
      <c r="A462" s="2">
        <v>26</v>
      </c>
      <c r="B462" t="s">
        <v>43</v>
      </c>
      <c r="C462" t="s">
        <v>36</v>
      </c>
      <c r="D462" s="2">
        <v>775</v>
      </c>
      <c r="E462" t="s">
        <v>37</v>
      </c>
      <c r="F462" s="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 s="2">
        <v>4306</v>
      </c>
      <c r="T462">
        <v>4267</v>
      </c>
      <c r="U462">
        <v>5</v>
      </c>
      <c r="V462" t="s">
        <v>42</v>
      </c>
      <c r="W462" t="s">
        <v>43</v>
      </c>
      <c r="X462" s="2">
        <v>12</v>
      </c>
      <c r="Y462">
        <v>3</v>
      </c>
      <c r="Z462">
        <v>1</v>
      </c>
      <c r="AA462">
        <v>80</v>
      </c>
      <c r="AB462">
        <v>2</v>
      </c>
      <c r="AC462" s="2">
        <v>8</v>
      </c>
      <c r="AD462">
        <v>5</v>
      </c>
      <c r="AE462">
        <v>3</v>
      </c>
      <c r="AF462" s="2">
        <v>0</v>
      </c>
      <c r="AG462">
        <v>0</v>
      </c>
      <c r="AH462">
        <v>0</v>
      </c>
      <c r="AI462">
        <v>0</v>
      </c>
      <c r="AJ462" s="2" t="str">
        <f>IF(A462 A462 &lt;= 25, "18-25", IF(A462 &lt;=35, "26-35", IF(A462 &lt;=45, "36-45", IF(Table3[[#This Row],[Age]] &lt;=55, "46-55", "56+"))))</f>
        <v>26-35</v>
      </c>
      <c r="AK462" t="str">
        <f t="shared" si="7"/>
        <v>Low</v>
      </c>
      <c r="AL462" s="2" t="str">
        <f>IF(AF462 &lt; 3, "0-2 Years", IF(AF462 &lt;= 5, "3-5 Years", IF(AF462 &lt;= 10, "6-10 Years",IF(Table3[[#This Row],[Years At Company]]&lt;=20, "11-20 Years","20+ Years"))))</f>
        <v>0-2 Years</v>
      </c>
    </row>
    <row r="463" spans="1:38" x14ac:dyDescent="0.25">
      <c r="A463" s="2">
        <v>35</v>
      </c>
      <c r="B463" t="s">
        <v>43</v>
      </c>
      <c r="C463" t="s">
        <v>36</v>
      </c>
      <c r="D463" s="2">
        <v>195</v>
      </c>
      <c r="E463" t="s">
        <v>37</v>
      </c>
      <c r="F463" s="2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 s="2">
        <v>4859</v>
      </c>
      <c r="T463">
        <v>6698</v>
      </c>
      <c r="U463">
        <v>1</v>
      </c>
      <c r="V463" t="s">
        <v>42</v>
      </c>
      <c r="W463" t="s">
        <v>43</v>
      </c>
      <c r="X463" s="2">
        <v>16</v>
      </c>
      <c r="Y463">
        <v>3</v>
      </c>
      <c r="Z463">
        <v>4</v>
      </c>
      <c r="AA463">
        <v>80</v>
      </c>
      <c r="AB463">
        <v>0</v>
      </c>
      <c r="AC463" s="2">
        <v>5</v>
      </c>
      <c r="AD463">
        <v>3</v>
      </c>
      <c r="AE463">
        <v>3</v>
      </c>
      <c r="AF463" s="2">
        <v>5</v>
      </c>
      <c r="AG463">
        <v>4</v>
      </c>
      <c r="AH463">
        <v>0</v>
      </c>
      <c r="AI463">
        <v>3</v>
      </c>
      <c r="AJ463" s="2" t="str">
        <f>IF(A463 A463 &lt;= 25, "18-25", IF(A463 &lt;=35, "26-35", IF(A463 &lt;=45, "36-45", IF(Table3[[#This Row],[Age]] &lt;=55, "46-55", "56+"))))</f>
        <v>26-35</v>
      </c>
      <c r="AK463" t="str">
        <f t="shared" si="7"/>
        <v>Low</v>
      </c>
      <c r="AL463" s="2" t="str">
        <f>IF(AF463 &lt; 3, "0-2 Years", IF(AF463 &lt;= 5, "3-5 Years", IF(AF463 &lt;= 10, "6-10 Years",IF(Table3[[#This Row],[Years At Company]]&lt;=20, "11-20 Years","20+ Years"))))</f>
        <v>3-5 Years</v>
      </c>
    </row>
    <row r="464" spans="1:38" x14ac:dyDescent="0.25">
      <c r="A464" s="2">
        <v>34</v>
      </c>
      <c r="B464" t="s">
        <v>43</v>
      </c>
      <c r="C464" t="s">
        <v>36</v>
      </c>
      <c r="D464" s="2">
        <v>258</v>
      </c>
      <c r="E464" t="s">
        <v>37</v>
      </c>
      <c r="F464" s="2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 s="2">
        <v>5337</v>
      </c>
      <c r="T464">
        <v>19921</v>
      </c>
      <c r="U464">
        <v>1</v>
      </c>
      <c r="V464" t="s">
        <v>42</v>
      </c>
      <c r="W464" t="s">
        <v>43</v>
      </c>
      <c r="X464" s="2">
        <v>12</v>
      </c>
      <c r="Y464">
        <v>3</v>
      </c>
      <c r="Z464">
        <v>4</v>
      </c>
      <c r="AA464">
        <v>80</v>
      </c>
      <c r="AB464">
        <v>0</v>
      </c>
      <c r="AC464" s="2">
        <v>10</v>
      </c>
      <c r="AD464">
        <v>3</v>
      </c>
      <c r="AE464">
        <v>3</v>
      </c>
      <c r="AF464" s="2">
        <v>10</v>
      </c>
      <c r="AG464">
        <v>7</v>
      </c>
      <c r="AH464">
        <v>5</v>
      </c>
      <c r="AI464">
        <v>7</v>
      </c>
      <c r="AJ464" s="2" t="str">
        <f>IF(A464 A464 &lt;= 25, "18-25", IF(A464 &lt;=35, "26-35", IF(A464 &lt;=45, "36-45", IF(Table3[[#This Row],[Age]] &lt;=55, "46-55", "56+"))))</f>
        <v>26-35</v>
      </c>
      <c r="AK464" t="str">
        <f t="shared" si="7"/>
        <v>Medium</v>
      </c>
      <c r="AL464" s="2" t="str">
        <f>IF(AF464 &lt; 3, "0-2 Years", IF(AF464 &lt;= 5, "3-5 Years", IF(AF464 &lt;= 10, "6-10 Years",IF(Table3[[#This Row],[Years At Company]]&lt;=20, "11-20 Years","20+ Years"))))</f>
        <v>6-10 Years</v>
      </c>
    </row>
    <row r="465" spans="1:38" x14ac:dyDescent="0.25">
      <c r="A465" s="2">
        <v>26</v>
      </c>
      <c r="B465" t="s">
        <v>35</v>
      </c>
      <c r="C465" t="s">
        <v>36</v>
      </c>
      <c r="D465" s="2">
        <v>471</v>
      </c>
      <c r="E465" t="s">
        <v>45</v>
      </c>
      <c r="F465" s="2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 s="2">
        <v>2340</v>
      </c>
      <c r="T465">
        <v>23213</v>
      </c>
      <c r="U465">
        <v>1</v>
      </c>
      <c r="V465" t="s">
        <v>42</v>
      </c>
      <c r="W465" t="s">
        <v>35</v>
      </c>
      <c r="X465" s="2">
        <v>18</v>
      </c>
      <c r="Y465">
        <v>3</v>
      </c>
      <c r="Z465">
        <v>2</v>
      </c>
      <c r="AA465">
        <v>80</v>
      </c>
      <c r="AB465">
        <v>0</v>
      </c>
      <c r="AC465" s="2">
        <v>1</v>
      </c>
      <c r="AD465">
        <v>3</v>
      </c>
      <c r="AE465">
        <v>1</v>
      </c>
      <c r="AF465" s="2">
        <v>1</v>
      </c>
      <c r="AG465">
        <v>0</v>
      </c>
      <c r="AH465">
        <v>0</v>
      </c>
      <c r="AI465">
        <v>0</v>
      </c>
      <c r="AJ465" s="2" t="str">
        <f>IF(A465 A465 &lt;= 25, "18-25", IF(A465 &lt;=35, "26-35", IF(A465 &lt;=45, "36-45", IF(Table3[[#This Row],[Age]] &lt;=55, "46-55", "56+"))))</f>
        <v>26-35</v>
      </c>
      <c r="AK465" t="str">
        <f t="shared" si="7"/>
        <v>Low</v>
      </c>
      <c r="AL465" s="2" t="str">
        <f>IF(AF465 &lt; 3, "0-2 Years", IF(AF465 &lt;= 5, "3-5 Years", IF(AF465 &lt;= 10, "6-10 Years",IF(Table3[[#This Row],[Years At Company]]&lt;=20, "11-20 Years","20+ Years"))))</f>
        <v>0-2 Years</v>
      </c>
    </row>
    <row r="466" spans="1:38" x14ac:dyDescent="0.25">
      <c r="A466" s="2">
        <v>37</v>
      </c>
      <c r="B466" t="s">
        <v>43</v>
      </c>
      <c r="C466" t="s">
        <v>36</v>
      </c>
      <c r="D466" s="2">
        <v>799</v>
      </c>
      <c r="E466" t="s">
        <v>45</v>
      </c>
      <c r="F466" s="2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 s="2">
        <v>7491</v>
      </c>
      <c r="T466">
        <v>23848</v>
      </c>
      <c r="U466">
        <v>4</v>
      </c>
      <c r="V466" t="s">
        <v>42</v>
      </c>
      <c r="W466" t="s">
        <v>43</v>
      </c>
      <c r="X466" s="2">
        <v>17</v>
      </c>
      <c r="Y466">
        <v>3</v>
      </c>
      <c r="Z466">
        <v>4</v>
      </c>
      <c r="AA466">
        <v>80</v>
      </c>
      <c r="AB466">
        <v>0</v>
      </c>
      <c r="AC466" s="2">
        <v>12</v>
      </c>
      <c r="AD466">
        <v>3</v>
      </c>
      <c r="AE466">
        <v>4</v>
      </c>
      <c r="AF466" s="2">
        <v>6</v>
      </c>
      <c r="AG466">
        <v>5</v>
      </c>
      <c r="AH466">
        <v>1</v>
      </c>
      <c r="AI466">
        <v>2</v>
      </c>
      <c r="AJ466" s="2" t="str">
        <f>IF(A466 A466 &lt;= 25, "18-25", IF(A466 &lt;=35, "26-35", IF(A466 &lt;=45, "36-45", IF(Table3[[#This Row],[Age]] &lt;=55, "46-55", "56+"))))</f>
        <v>36-45</v>
      </c>
      <c r="AK466" t="str">
        <f t="shared" si="7"/>
        <v>Medium</v>
      </c>
      <c r="AL466" s="2" t="str">
        <f>IF(AF466 &lt; 3, "0-2 Years", IF(AF466 &lt;= 5, "3-5 Years", IF(AF466 &lt;= 10, "6-10 Years",IF(Table3[[#This Row],[Years At Company]]&lt;=20, "11-20 Years","20+ Years"))))</f>
        <v>6-10 Years</v>
      </c>
    </row>
    <row r="467" spans="1:38" x14ac:dyDescent="0.25">
      <c r="A467" s="2">
        <v>46</v>
      </c>
      <c r="B467" t="s">
        <v>43</v>
      </c>
      <c r="C467" t="s">
        <v>44</v>
      </c>
      <c r="D467" s="2">
        <v>1034</v>
      </c>
      <c r="E467" t="s">
        <v>45</v>
      </c>
      <c r="F467" s="2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 s="2">
        <v>10527</v>
      </c>
      <c r="T467">
        <v>8984</v>
      </c>
      <c r="U467">
        <v>5</v>
      </c>
      <c r="V467" t="s">
        <v>42</v>
      </c>
      <c r="W467" t="s">
        <v>43</v>
      </c>
      <c r="X467" s="2">
        <v>11</v>
      </c>
      <c r="Y467">
        <v>3</v>
      </c>
      <c r="Z467">
        <v>4</v>
      </c>
      <c r="AA467">
        <v>80</v>
      </c>
      <c r="AB467">
        <v>0</v>
      </c>
      <c r="AC467" s="2">
        <v>28</v>
      </c>
      <c r="AD467">
        <v>3</v>
      </c>
      <c r="AE467">
        <v>2</v>
      </c>
      <c r="AF467" s="2">
        <v>2</v>
      </c>
      <c r="AG467">
        <v>2</v>
      </c>
      <c r="AH467">
        <v>1</v>
      </c>
      <c r="AI467">
        <v>2</v>
      </c>
      <c r="AJ467" s="2" t="str">
        <f>IF(A467 A467 &lt;= 25, "18-25", IF(A467 &lt;=35, "26-35", IF(A467 &lt;=45, "36-45", IF(Table3[[#This Row],[Age]] &lt;=55, "46-55", "56+"))))</f>
        <v>46-55</v>
      </c>
      <c r="AK467" t="str">
        <f t="shared" si="7"/>
        <v>High</v>
      </c>
      <c r="AL467" s="2" t="str">
        <f>IF(AF467 &lt; 3, "0-2 Years", IF(AF467 &lt;= 5, "3-5 Years", IF(AF467 &lt;= 10, "6-10 Years",IF(Table3[[#This Row],[Years At Company]]&lt;=20, "11-20 Years","20+ Years"))))</f>
        <v>0-2 Years</v>
      </c>
    </row>
    <row r="468" spans="1:38" x14ac:dyDescent="0.25">
      <c r="A468" s="2">
        <v>41</v>
      </c>
      <c r="B468" t="s">
        <v>43</v>
      </c>
      <c r="C468" t="s">
        <v>36</v>
      </c>
      <c r="D468" s="2">
        <v>1276</v>
      </c>
      <c r="E468" t="s">
        <v>37</v>
      </c>
      <c r="F468" s="2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 s="2">
        <v>16595</v>
      </c>
      <c r="T468">
        <v>5626</v>
      </c>
      <c r="U468">
        <v>7</v>
      </c>
      <c r="V468" t="s">
        <v>42</v>
      </c>
      <c r="W468" t="s">
        <v>43</v>
      </c>
      <c r="X468" s="2">
        <v>16</v>
      </c>
      <c r="Y468">
        <v>3</v>
      </c>
      <c r="Z468">
        <v>2</v>
      </c>
      <c r="AA468">
        <v>80</v>
      </c>
      <c r="AB468">
        <v>1</v>
      </c>
      <c r="AC468" s="2">
        <v>22</v>
      </c>
      <c r="AD468">
        <v>2</v>
      </c>
      <c r="AE468">
        <v>3</v>
      </c>
      <c r="AF468" s="2">
        <v>18</v>
      </c>
      <c r="AG468">
        <v>16</v>
      </c>
      <c r="AH468">
        <v>11</v>
      </c>
      <c r="AI468">
        <v>8</v>
      </c>
      <c r="AJ468" s="2" t="str">
        <f>IF(A468 A468 &lt;= 25, "18-25", IF(A468 &lt;=35, "26-35", IF(A468 &lt;=45, "36-45", IF(Table3[[#This Row],[Age]] &lt;=55, "46-55", "56+"))))</f>
        <v>36-45</v>
      </c>
      <c r="AK468" t="str">
        <f t="shared" si="7"/>
        <v>High</v>
      </c>
      <c r="AL468" s="2" t="str">
        <f>IF(AF468 &lt; 3, "0-2 Years", IF(AF468 &lt;= 5, "3-5 Years", IF(AF468 &lt;= 10, "6-10 Years",IF(Table3[[#This Row],[Years At Company]]&lt;=20, "11-20 Years","20+ Years"))))</f>
        <v>11-20 Years</v>
      </c>
    </row>
    <row r="469" spans="1:38" x14ac:dyDescent="0.25">
      <c r="A469" s="2">
        <v>37</v>
      </c>
      <c r="B469" t="s">
        <v>43</v>
      </c>
      <c r="C469" t="s">
        <v>55</v>
      </c>
      <c r="D469" s="2">
        <v>142</v>
      </c>
      <c r="E469" t="s">
        <v>37</v>
      </c>
      <c r="F469" s="2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 s="2">
        <v>8834</v>
      </c>
      <c r="T469">
        <v>24666</v>
      </c>
      <c r="U469">
        <v>1</v>
      </c>
      <c r="V469" t="s">
        <v>42</v>
      </c>
      <c r="W469" t="s">
        <v>43</v>
      </c>
      <c r="X469" s="2">
        <v>13</v>
      </c>
      <c r="Y469">
        <v>3</v>
      </c>
      <c r="Z469">
        <v>4</v>
      </c>
      <c r="AA469">
        <v>80</v>
      </c>
      <c r="AB469">
        <v>1</v>
      </c>
      <c r="AC469" s="2">
        <v>9</v>
      </c>
      <c r="AD469">
        <v>6</v>
      </c>
      <c r="AE469">
        <v>3</v>
      </c>
      <c r="AF469" s="2">
        <v>9</v>
      </c>
      <c r="AG469">
        <v>5</v>
      </c>
      <c r="AH469">
        <v>7</v>
      </c>
      <c r="AI469">
        <v>7</v>
      </c>
      <c r="AJ469" s="2" t="str">
        <f>IF(A469 A469 &lt;= 25, "18-25", IF(A469 &lt;=35, "26-35", IF(A469 &lt;=45, "36-45", IF(Table3[[#This Row],[Age]] &lt;=55, "46-55", "56+"))))</f>
        <v>36-45</v>
      </c>
      <c r="AK469" t="str">
        <f t="shared" si="7"/>
        <v>Medium</v>
      </c>
      <c r="AL469" s="2" t="str">
        <f>IF(AF469 &lt; 3, "0-2 Years", IF(AF469 &lt;= 5, "3-5 Years", IF(AF469 &lt;= 10, "6-10 Years",IF(Table3[[#This Row],[Years At Company]]&lt;=20, "11-20 Years","20+ Years"))))</f>
        <v>6-10 Years</v>
      </c>
    </row>
    <row r="470" spans="1:38" x14ac:dyDescent="0.25">
      <c r="A470" s="2">
        <v>52</v>
      </c>
      <c r="B470" t="s">
        <v>43</v>
      </c>
      <c r="C470" t="s">
        <v>36</v>
      </c>
      <c r="D470" s="2">
        <v>956</v>
      </c>
      <c r="E470" t="s">
        <v>45</v>
      </c>
      <c r="F470" s="2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 s="2">
        <v>5577</v>
      </c>
      <c r="T470">
        <v>22087</v>
      </c>
      <c r="U470">
        <v>3</v>
      </c>
      <c r="V470" t="s">
        <v>42</v>
      </c>
      <c r="W470" t="s">
        <v>35</v>
      </c>
      <c r="X470" s="2">
        <v>12</v>
      </c>
      <c r="Y470">
        <v>3</v>
      </c>
      <c r="Z470">
        <v>2</v>
      </c>
      <c r="AA470">
        <v>80</v>
      </c>
      <c r="AB470">
        <v>2</v>
      </c>
      <c r="AC470" s="2">
        <v>18</v>
      </c>
      <c r="AD470">
        <v>3</v>
      </c>
      <c r="AE470">
        <v>3</v>
      </c>
      <c r="AF470" s="2">
        <v>10</v>
      </c>
      <c r="AG470">
        <v>9</v>
      </c>
      <c r="AH470">
        <v>6</v>
      </c>
      <c r="AI470">
        <v>9</v>
      </c>
      <c r="AJ470" s="2" t="str">
        <f>IF(A470 A470 &lt;= 25, "18-25", IF(A470 &lt;=35, "26-35", IF(A470 &lt;=45, "36-45", IF(Table3[[#This Row],[Age]] &lt;=55, "46-55", "56+"))))</f>
        <v>46-55</v>
      </c>
      <c r="AK470" t="str">
        <f t="shared" si="7"/>
        <v>Medium</v>
      </c>
      <c r="AL470" s="2" t="str">
        <f>IF(AF470 &lt; 3, "0-2 Years", IF(AF470 &lt;= 5, "3-5 Years", IF(AF470 &lt;= 10, "6-10 Years",IF(Table3[[#This Row],[Years At Company]]&lt;=20, "11-20 Years","20+ Years"))))</f>
        <v>6-10 Years</v>
      </c>
    </row>
    <row r="471" spans="1:38" x14ac:dyDescent="0.25">
      <c r="A471" s="2">
        <v>32</v>
      </c>
      <c r="B471" t="s">
        <v>35</v>
      </c>
      <c r="C471" t="s">
        <v>55</v>
      </c>
      <c r="D471" s="2">
        <v>1474</v>
      </c>
      <c r="E471" t="s">
        <v>37</v>
      </c>
      <c r="F471" s="2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 s="2">
        <v>4707</v>
      </c>
      <c r="T471">
        <v>23914</v>
      </c>
      <c r="U471">
        <v>8</v>
      </c>
      <c r="V471" t="s">
        <v>42</v>
      </c>
      <c r="W471" t="s">
        <v>43</v>
      </c>
      <c r="X471" s="2">
        <v>12</v>
      </c>
      <c r="Y471">
        <v>3</v>
      </c>
      <c r="Z471">
        <v>4</v>
      </c>
      <c r="AA471">
        <v>80</v>
      </c>
      <c r="AB471">
        <v>0</v>
      </c>
      <c r="AC471" s="2">
        <v>6</v>
      </c>
      <c r="AD471">
        <v>2</v>
      </c>
      <c r="AE471">
        <v>3</v>
      </c>
      <c r="AF471" s="2">
        <v>4</v>
      </c>
      <c r="AG471">
        <v>2</v>
      </c>
      <c r="AH471">
        <v>1</v>
      </c>
      <c r="AI471">
        <v>2</v>
      </c>
      <c r="AJ471" s="2" t="str">
        <f>IF(A471 A471 &lt;= 25, "18-25", IF(A471 &lt;=35, "26-35", IF(A471 &lt;=45, "36-45", IF(Table3[[#This Row],[Age]] &lt;=55, "46-55", "56+"))))</f>
        <v>26-35</v>
      </c>
      <c r="AK471" t="str">
        <f t="shared" si="7"/>
        <v>Low</v>
      </c>
      <c r="AL471" s="2" t="str">
        <f>IF(AF471 &lt; 3, "0-2 Years", IF(AF471 &lt;= 5, "3-5 Years", IF(AF471 &lt;= 10, "6-10 Years",IF(Table3[[#This Row],[Years At Company]]&lt;=20, "11-20 Years","20+ Years"))))</f>
        <v>3-5 Years</v>
      </c>
    </row>
    <row r="472" spans="1:38" x14ac:dyDescent="0.25">
      <c r="A472" s="2">
        <v>24</v>
      </c>
      <c r="B472" t="s">
        <v>43</v>
      </c>
      <c r="C472" t="s">
        <v>44</v>
      </c>
      <c r="D472" s="2">
        <v>535</v>
      </c>
      <c r="E472" t="s">
        <v>37</v>
      </c>
      <c r="F472" s="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 s="2">
        <v>2400</v>
      </c>
      <c r="T472">
        <v>5530</v>
      </c>
      <c r="U472">
        <v>0</v>
      </c>
      <c r="V472" t="s">
        <v>42</v>
      </c>
      <c r="W472" t="s">
        <v>43</v>
      </c>
      <c r="X472" s="2">
        <v>13</v>
      </c>
      <c r="Y472">
        <v>3</v>
      </c>
      <c r="Z472">
        <v>3</v>
      </c>
      <c r="AA472">
        <v>80</v>
      </c>
      <c r="AB472">
        <v>2</v>
      </c>
      <c r="AC472" s="2">
        <v>3</v>
      </c>
      <c r="AD472">
        <v>3</v>
      </c>
      <c r="AE472">
        <v>3</v>
      </c>
      <c r="AF472" s="2">
        <v>2</v>
      </c>
      <c r="AG472">
        <v>2</v>
      </c>
      <c r="AH472">
        <v>2</v>
      </c>
      <c r="AI472">
        <v>1</v>
      </c>
      <c r="AJ472" s="2" t="str">
        <f>IF(A472 A472 &lt;= 25, "18-25", IF(A472 &lt;=35, "26-35", IF(A472 &lt;=45, "36-45", IF(Table3[[#This Row],[Age]] &lt;=55, "46-55", "56+"))))</f>
        <v>18-25</v>
      </c>
      <c r="AK472" t="str">
        <f t="shared" si="7"/>
        <v>Low</v>
      </c>
      <c r="AL472" s="2" t="str">
        <f>IF(AF472 &lt; 3, "0-2 Years", IF(AF472 &lt;= 5, "3-5 Years", IF(AF472 &lt;= 10, "6-10 Years",IF(Table3[[#This Row],[Years At Company]]&lt;=20, "11-20 Years","20+ Years"))))</f>
        <v>0-2 Years</v>
      </c>
    </row>
    <row r="473" spans="1:38" x14ac:dyDescent="0.25">
      <c r="A473" s="2">
        <v>38</v>
      </c>
      <c r="B473" t="s">
        <v>43</v>
      </c>
      <c r="C473" t="s">
        <v>36</v>
      </c>
      <c r="D473" s="2">
        <v>1495</v>
      </c>
      <c r="E473" t="s">
        <v>45</v>
      </c>
      <c r="F473" s="2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 s="2">
        <v>9824</v>
      </c>
      <c r="T473">
        <v>22174</v>
      </c>
      <c r="U473">
        <v>3</v>
      </c>
      <c r="V473" t="s">
        <v>42</v>
      </c>
      <c r="W473" t="s">
        <v>43</v>
      </c>
      <c r="X473" s="2">
        <v>19</v>
      </c>
      <c r="Y473">
        <v>3</v>
      </c>
      <c r="Z473">
        <v>3</v>
      </c>
      <c r="AA473">
        <v>80</v>
      </c>
      <c r="AB473">
        <v>1</v>
      </c>
      <c r="AC473" s="2">
        <v>18</v>
      </c>
      <c r="AD473">
        <v>4</v>
      </c>
      <c r="AE473">
        <v>3</v>
      </c>
      <c r="AF473" s="2">
        <v>1</v>
      </c>
      <c r="AG473">
        <v>0</v>
      </c>
      <c r="AH473">
        <v>0</v>
      </c>
      <c r="AI473">
        <v>0</v>
      </c>
      <c r="AJ473" s="2" t="str">
        <f>IF(A473 A473 &lt;= 25, "18-25", IF(A473 &lt;=35, "26-35", IF(A473 &lt;=45, "36-45", IF(Table3[[#This Row],[Age]] &lt;=55, "46-55", "56+"))))</f>
        <v>36-45</v>
      </c>
      <c r="AK473" t="str">
        <f t="shared" si="7"/>
        <v>Medium</v>
      </c>
      <c r="AL473" s="2" t="str">
        <f>IF(AF473 &lt; 3, "0-2 Years", IF(AF473 &lt;= 5, "3-5 Years", IF(AF473 &lt;= 10, "6-10 Years",IF(Table3[[#This Row],[Years At Company]]&lt;=20, "11-20 Years","20+ Years"))))</f>
        <v>0-2 Years</v>
      </c>
    </row>
    <row r="474" spans="1:38" x14ac:dyDescent="0.25">
      <c r="A474" s="2">
        <v>37</v>
      </c>
      <c r="B474" t="s">
        <v>43</v>
      </c>
      <c r="C474" t="s">
        <v>36</v>
      </c>
      <c r="D474" s="2">
        <v>446</v>
      </c>
      <c r="E474" t="s">
        <v>45</v>
      </c>
      <c r="F474" s="2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 s="2">
        <v>6447</v>
      </c>
      <c r="T474">
        <v>15701</v>
      </c>
      <c r="U474">
        <v>6</v>
      </c>
      <c r="V474" t="s">
        <v>42</v>
      </c>
      <c r="W474" t="s">
        <v>43</v>
      </c>
      <c r="X474" s="2">
        <v>12</v>
      </c>
      <c r="Y474">
        <v>3</v>
      </c>
      <c r="Z474">
        <v>2</v>
      </c>
      <c r="AA474">
        <v>80</v>
      </c>
      <c r="AB474">
        <v>1</v>
      </c>
      <c r="AC474" s="2">
        <v>8</v>
      </c>
      <c r="AD474">
        <v>2</v>
      </c>
      <c r="AE474">
        <v>2</v>
      </c>
      <c r="AF474" s="2">
        <v>6</v>
      </c>
      <c r="AG474">
        <v>5</v>
      </c>
      <c r="AH474">
        <v>4</v>
      </c>
      <c r="AI474">
        <v>3</v>
      </c>
      <c r="AJ474" s="2" t="str">
        <f>IF(A474 A474 &lt;= 25, "18-25", IF(A474 &lt;=35, "26-35", IF(A474 &lt;=45, "36-45", IF(Table3[[#This Row],[Age]] &lt;=55, "46-55", "56+"))))</f>
        <v>36-45</v>
      </c>
      <c r="AK474" t="str">
        <f t="shared" si="7"/>
        <v>Medium</v>
      </c>
      <c r="AL474" s="2" t="str">
        <f>IF(AF474 &lt; 3, "0-2 Years", IF(AF474 &lt;= 5, "3-5 Years", IF(AF474 &lt;= 10, "6-10 Years",IF(Table3[[#This Row],[Years At Company]]&lt;=20, "11-20 Years","20+ Years"))))</f>
        <v>6-10 Years</v>
      </c>
    </row>
    <row r="475" spans="1:38" x14ac:dyDescent="0.25">
      <c r="A475" s="2">
        <v>49</v>
      </c>
      <c r="B475" t="s">
        <v>43</v>
      </c>
      <c r="C475" t="s">
        <v>36</v>
      </c>
      <c r="D475" s="2">
        <v>1245</v>
      </c>
      <c r="E475" t="s">
        <v>45</v>
      </c>
      <c r="F475" s="2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 s="2">
        <v>19502</v>
      </c>
      <c r="T475">
        <v>2125</v>
      </c>
      <c r="U475">
        <v>1</v>
      </c>
      <c r="V475" t="s">
        <v>42</v>
      </c>
      <c r="W475" t="s">
        <v>35</v>
      </c>
      <c r="X475" s="2">
        <v>17</v>
      </c>
      <c r="Y475">
        <v>3</v>
      </c>
      <c r="Z475">
        <v>3</v>
      </c>
      <c r="AA475">
        <v>80</v>
      </c>
      <c r="AB475">
        <v>1</v>
      </c>
      <c r="AC475" s="2">
        <v>31</v>
      </c>
      <c r="AD475">
        <v>5</v>
      </c>
      <c r="AE475">
        <v>3</v>
      </c>
      <c r="AF475" s="2">
        <v>31</v>
      </c>
      <c r="AG475">
        <v>9</v>
      </c>
      <c r="AH475">
        <v>0</v>
      </c>
      <c r="AI475">
        <v>9</v>
      </c>
      <c r="AJ475" s="2" t="str">
        <f>IF(A475 A475 &lt;= 25, "18-25", IF(A475 &lt;=35, "26-35", IF(A475 &lt;=45, "36-45", IF(Table3[[#This Row],[Age]] &lt;=55, "46-55", "56+"))))</f>
        <v>46-55</v>
      </c>
      <c r="AK475" t="str">
        <f t="shared" si="7"/>
        <v>High</v>
      </c>
      <c r="AL475" s="2" t="str">
        <f>IF(AF475 &lt; 3, "0-2 Years", IF(AF475 &lt;= 5, "3-5 Years", IF(AF475 &lt;= 10, "6-10 Years",IF(Table3[[#This Row],[Years At Company]]&lt;=20, "11-20 Years","20+ Years"))))</f>
        <v>20+ Years</v>
      </c>
    </row>
    <row r="476" spans="1:38" x14ac:dyDescent="0.25">
      <c r="A476" s="2">
        <v>24</v>
      </c>
      <c r="B476" t="s">
        <v>43</v>
      </c>
      <c r="C476" t="s">
        <v>36</v>
      </c>
      <c r="D476" s="2">
        <v>691</v>
      </c>
      <c r="E476" t="s">
        <v>45</v>
      </c>
      <c r="F476" s="2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 s="2">
        <v>2725</v>
      </c>
      <c r="T476">
        <v>21630</v>
      </c>
      <c r="U476">
        <v>1</v>
      </c>
      <c r="V476" t="s">
        <v>42</v>
      </c>
      <c r="W476" t="s">
        <v>35</v>
      </c>
      <c r="X476" s="2">
        <v>11</v>
      </c>
      <c r="Y476">
        <v>3</v>
      </c>
      <c r="Z476">
        <v>2</v>
      </c>
      <c r="AA476">
        <v>80</v>
      </c>
      <c r="AB476">
        <v>2</v>
      </c>
      <c r="AC476" s="2">
        <v>6</v>
      </c>
      <c r="AD476">
        <v>3</v>
      </c>
      <c r="AE476">
        <v>3</v>
      </c>
      <c r="AF476" s="2">
        <v>6</v>
      </c>
      <c r="AG476">
        <v>5</v>
      </c>
      <c r="AH476">
        <v>1</v>
      </c>
      <c r="AI476">
        <v>4</v>
      </c>
      <c r="AJ476" s="2" t="str">
        <f>IF(A476 A476 &lt;= 25, "18-25", IF(A476 &lt;=35, "26-35", IF(A476 &lt;=45, "36-45", IF(Table3[[#This Row],[Age]] &lt;=55, "46-55", "56+"))))</f>
        <v>18-25</v>
      </c>
      <c r="AK476" t="str">
        <f t="shared" si="7"/>
        <v>Low</v>
      </c>
      <c r="AL476" s="2" t="str">
        <f>IF(AF476 &lt; 3, "0-2 Years", IF(AF476 &lt;= 5, "3-5 Years", IF(AF476 &lt;= 10, "6-10 Years",IF(Table3[[#This Row],[Years At Company]]&lt;=20, "11-20 Years","20+ Years"))))</f>
        <v>6-10 Years</v>
      </c>
    </row>
    <row r="477" spans="1:38" x14ac:dyDescent="0.25">
      <c r="A477" s="2">
        <v>26</v>
      </c>
      <c r="B477" t="s">
        <v>43</v>
      </c>
      <c r="C477" t="s">
        <v>36</v>
      </c>
      <c r="D477" s="2">
        <v>703</v>
      </c>
      <c r="E477" t="s">
        <v>37</v>
      </c>
      <c r="F477" s="2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 s="2">
        <v>6272</v>
      </c>
      <c r="T477">
        <v>7428</v>
      </c>
      <c r="U477">
        <v>1</v>
      </c>
      <c r="V477" t="s">
        <v>42</v>
      </c>
      <c r="W477" t="s">
        <v>43</v>
      </c>
      <c r="X477" s="2">
        <v>20</v>
      </c>
      <c r="Y477">
        <v>4</v>
      </c>
      <c r="Z477">
        <v>4</v>
      </c>
      <c r="AA477">
        <v>80</v>
      </c>
      <c r="AB477">
        <v>2</v>
      </c>
      <c r="AC477" s="2">
        <v>6</v>
      </c>
      <c r="AD477">
        <v>5</v>
      </c>
      <c r="AE477">
        <v>4</v>
      </c>
      <c r="AF477" s="2">
        <v>5</v>
      </c>
      <c r="AG477">
        <v>3</v>
      </c>
      <c r="AH477">
        <v>1</v>
      </c>
      <c r="AI477">
        <v>4</v>
      </c>
      <c r="AJ477" s="2" t="str">
        <f>IF(A477 A477 &lt;= 25, "18-25", IF(A477 &lt;=35, "26-35", IF(A477 &lt;=45, "36-45", IF(Table3[[#This Row],[Age]] &lt;=55, "46-55", "56+"))))</f>
        <v>26-35</v>
      </c>
      <c r="AK477" t="str">
        <f t="shared" si="7"/>
        <v>Medium</v>
      </c>
      <c r="AL477" s="2" t="str">
        <f>IF(AF477 &lt; 3, "0-2 Years", IF(AF477 &lt;= 5, "3-5 Years", IF(AF477 &lt;= 10, "6-10 Years",IF(Table3[[#This Row],[Years At Company]]&lt;=20, "11-20 Years","20+ Years"))))</f>
        <v>3-5 Years</v>
      </c>
    </row>
    <row r="478" spans="1:38" x14ac:dyDescent="0.25">
      <c r="A478" s="2">
        <v>24</v>
      </c>
      <c r="B478" t="s">
        <v>43</v>
      </c>
      <c r="C478" t="s">
        <v>36</v>
      </c>
      <c r="D478" s="2">
        <v>823</v>
      </c>
      <c r="E478" t="s">
        <v>45</v>
      </c>
      <c r="F478" s="2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 s="2">
        <v>2127</v>
      </c>
      <c r="T478">
        <v>9100</v>
      </c>
      <c r="U478">
        <v>1</v>
      </c>
      <c r="V478" t="s">
        <v>42</v>
      </c>
      <c r="W478" t="s">
        <v>43</v>
      </c>
      <c r="X478" s="2">
        <v>21</v>
      </c>
      <c r="Y478">
        <v>4</v>
      </c>
      <c r="Z478">
        <v>4</v>
      </c>
      <c r="AA478">
        <v>80</v>
      </c>
      <c r="AB478">
        <v>1</v>
      </c>
      <c r="AC478" s="2">
        <v>1</v>
      </c>
      <c r="AD478">
        <v>2</v>
      </c>
      <c r="AE478">
        <v>3</v>
      </c>
      <c r="AF478" s="2">
        <v>1</v>
      </c>
      <c r="AG478">
        <v>0</v>
      </c>
      <c r="AH478">
        <v>0</v>
      </c>
      <c r="AI478">
        <v>0</v>
      </c>
      <c r="AJ478" s="2" t="str">
        <f>IF(A478 A478 &lt;= 25, "18-25", IF(A478 &lt;=35, "26-35", IF(A478 &lt;=45, "36-45", IF(Table3[[#This Row],[Age]] &lt;=55, "46-55", "56+"))))</f>
        <v>18-25</v>
      </c>
      <c r="AK478" t="str">
        <f t="shared" si="7"/>
        <v>Low</v>
      </c>
      <c r="AL478" s="2" t="str">
        <f>IF(AF478 &lt; 3, "0-2 Years", IF(AF478 &lt;= 5, "3-5 Years", IF(AF478 &lt;= 10, "6-10 Years",IF(Table3[[#This Row],[Years At Company]]&lt;=20, "11-20 Years","20+ Years"))))</f>
        <v>0-2 Years</v>
      </c>
    </row>
    <row r="479" spans="1:38" x14ac:dyDescent="0.25">
      <c r="A479" s="2">
        <v>50</v>
      </c>
      <c r="B479" t="s">
        <v>43</v>
      </c>
      <c r="C479" t="s">
        <v>44</v>
      </c>
      <c r="D479" s="2">
        <v>1246</v>
      </c>
      <c r="E479" t="s">
        <v>61</v>
      </c>
      <c r="F479" s="2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 s="2">
        <v>18200</v>
      </c>
      <c r="T479">
        <v>7999</v>
      </c>
      <c r="U479">
        <v>1</v>
      </c>
      <c r="V479" t="s">
        <v>42</v>
      </c>
      <c r="W479" t="s">
        <v>43</v>
      </c>
      <c r="X479" s="2">
        <v>11</v>
      </c>
      <c r="Y479">
        <v>3</v>
      </c>
      <c r="Z479">
        <v>3</v>
      </c>
      <c r="AA479">
        <v>80</v>
      </c>
      <c r="AB479">
        <v>1</v>
      </c>
      <c r="AC479" s="2">
        <v>32</v>
      </c>
      <c r="AD479">
        <v>2</v>
      </c>
      <c r="AE479">
        <v>3</v>
      </c>
      <c r="AF479" s="2">
        <v>32</v>
      </c>
      <c r="AG479">
        <v>5</v>
      </c>
      <c r="AH479">
        <v>10</v>
      </c>
      <c r="AI479">
        <v>7</v>
      </c>
      <c r="AJ479" s="2" t="str">
        <f>IF(A479 A479 &lt;= 25, "18-25", IF(A479 &lt;=35, "26-35", IF(A479 &lt;=45, "36-45", IF(Table3[[#This Row],[Age]] &lt;=55, "46-55", "56+"))))</f>
        <v>46-55</v>
      </c>
      <c r="AK479" t="str">
        <f t="shared" si="7"/>
        <v>High</v>
      </c>
      <c r="AL479" s="2" t="str">
        <f>IF(AF479 &lt; 3, "0-2 Years", IF(AF479 &lt;= 5, "3-5 Years", IF(AF479 &lt;= 10, "6-10 Years",IF(Table3[[#This Row],[Years At Company]]&lt;=20, "11-20 Years","20+ Years"))))</f>
        <v>20+ Years</v>
      </c>
    </row>
    <row r="480" spans="1:38" x14ac:dyDescent="0.25">
      <c r="A480" s="2">
        <v>25</v>
      </c>
      <c r="B480" t="s">
        <v>43</v>
      </c>
      <c r="C480" t="s">
        <v>36</v>
      </c>
      <c r="D480" s="2">
        <v>622</v>
      </c>
      <c r="E480" t="s">
        <v>37</v>
      </c>
      <c r="F480" s="2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 s="2">
        <v>2096</v>
      </c>
      <c r="T480">
        <v>26376</v>
      </c>
      <c r="U480">
        <v>1</v>
      </c>
      <c r="V480" t="s">
        <v>42</v>
      </c>
      <c r="W480" t="s">
        <v>43</v>
      </c>
      <c r="X480" s="2">
        <v>11</v>
      </c>
      <c r="Y480">
        <v>3</v>
      </c>
      <c r="Z480">
        <v>3</v>
      </c>
      <c r="AA480">
        <v>80</v>
      </c>
      <c r="AB480">
        <v>0</v>
      </c>
      <c r="AC480" s="2">
        <v>7</v>
      </c>
      <c r="AD480">
        <v>1</v>
      </c>
      <c r="AE480">
        <v>3</v>
      </c>
      <c r="AF480" s="2">
        <v>7</v>
      </c>
      <c r="AG480">
        <v>4</v>
      </c>
      <c r="AH480">
        <v>0</v>
      </c>
      <c r="AI480">
        <v>6</v>
      </c>
      <c r="AJ480" s="2" t="str">
        <f>IF(A480 A480 &lt;= 25, "18-25", IF(A480 &lt;=35, "26-35", IF(A480 &lt;=45, "36-45", IF(Table3[[#This Row],[Age]] &lt;=55, "46-55", "56+"))))</f>
        <v>18-25</v>
      </c>
      <c r="AK480" t="str">
        <f t="shared" si="7"/>
        <v>Low</v>
      </c>
      <c r="AL480" s="2" t="str">
        <f>IF(AF480 &lt; 3, "0-2 Years", IF(AF480 &lt;= 5, "3-5 Years", IF(AF480 &lt;= 10, "6-10 Years",IF(Table3[[#This Row],[Years At Company]]&lt;=20, "11-20 Years","20+ Years"))))</f>
        <v>6-10 Years</v>
      </c>
    </row>
    <row r="481" spans="1:38" x14ac:dyDescent="0.25">
      <c r="A481" s="2">
        <v>24</v>
      </c>
      <c r="B481" t="s">
        <v>35</v>
      </c>
      <c r="C481" t="s">
        <v>44</v>
      </c>
      <c r="D481" s="2">
        <v>1287</v>
      </c>
      <c r="E481" t="s">
        <v>45</v>
      </c>
      <c r="F481" s="2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 s="2">
        <v>2886</v>
      </c>
      <c r="T481">
        <v>14168</v>
      </c>
      <c r="U481">
        <v>1</v>
      </c>
      <c r="V481" t="s">
        <v>42</v>
      </c>
      <c r="W481" t="s">
        <v>35</v>
      </c>
      <c r="X481" s="2">
        <v>16</v>
      </c>
      <c r="Y481">
        <v>3</v>
      </c>
      <c r="Z481">
        <v>4</v>
      </c>
      <c r="AA481">
        <v>80</v>
      </c>
      <c r="AB481">
        <v>1</v>
      </c>
      <c r="AC481" s="2">
        <v>6</v>
      </c>
      <c r="AD481">
        <v>4</v>
      </c>
      <c r="AE481">
        <v>3</v>
      </c>
      <c r="AF481" s="2">
        <v>6</v>
      </c>
      <c r="AG481">
        <v>3</v>
      </c>
      <c r="AH481">
        <v>1</v>
      </c>
      <c r="AI481">
        <v>2</v>
      </c>
      <c r="AJ481" s="2" t="str">
        <f>IF(A481 A481 &lt;= 25, "18-25", IF(A481 &lt;=35, "26-35", IF(A481 &lt;=45, "36-45", IF(Table3[[#This Row],[Age]] &lt;=55, "46-55", "56+"))))</f>
        <v>18-25</v>
      </c>
      <c r="AK481" t="str">
        <f t="shared" si="7"/>
        <v>Low</v>
      </c>
      <c r="AL481" s="2" t="str">
        <f>IF(AF481 &lt; 3, "0-2 Years", IF(AF481 &lt;= 5, "3-5 Years", IF(AF481 &lt;= 10, "6-10 Years",IF(Table3[[#This Row],[Years At Company]]&lt;=20, "11-20 Years","20+ Years"))))</f>
        <v>6-10 Years</v>
      </c>
    </row>
    <row r="482" spans="1:38" x14ac:dyDescent="0.25">
      <c r="A482" s="2">
        <v>30</v>
      </c>
      <c r="B482" t="s">
        <v>35</v>
      </c>
      <c r="C482" t="s">
        <v>44</v>
      </c>
      <c r="D482" s="2">
        <v>448</v>
      </c>
      <c r="E482" t="s">
        <v>37</v>
      </c>
      <c r="F482" s="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 s="2">
        <v>2033</v>
      </c>
      <c r="T482">
        <v>14470</v>
      </c>
      <c r="U482">
        <v>1</v>
      </c>
      <c r="V482" t="s">
        <v>42</v>
      </c>
      <c r="W482" t="s">
        <v>43</v>
      </c>
      <c r="X482" s="2">
        <v>18</v>
      </c>
      <c r="Y482">
        <v>3</v>
      </c>
      <c r="Z482">
        <v>3</v>
      </c>
      <c r="AA482">
        <v>80</v>
      </c>
      <c r="AB482">
        <v>1</v>
      </c>
      <c r="AC482" s="2">
        <v>1</v>
      </c>
      <c r="AD482">
        <v>2</v>
      </c>
      <c r="AE482">
        <v>4</v>
      </c>
      <c r="AF482" s="2">
        <v>1</v>
      </c>
      <c r="AG482">
        <v>0</v>
      </c>
      <c r="AH482">
        <v>0</v>
      </c>
      <c r="AI482">
        <v>0</v>
      </c>
      <c r="AJ482" s="2" t="str">
        <f>IF(A482 A482 &lt;= 25, "18-25", IF(A482 &lt;=35, "26-35", IF(A482 &lt;=45, "36-45", IF(Table3[[#This Row],[Age]] &lt;=55, "46-55", "56+"))))</f>
        <v>26-35</v>
      </c>
      <c r="AK482" t="str">
        <f t="shared" si="7"/>
        <v>Low</v>
      </c>
      <c r="AL482" s="2" t="str">
        <f>IF(AF482 &lt; 3, "0-2 Years", IF(AF482 &lt;= 5, "3-5 Years", IF(AF482 &lt;= 10, "6-10 Years",IF(Table3[[#This Row],[Years At Company]]&lt;=20, "11-20 Years","20+ Years"))))</f>
        <v>0-2 Years</v>
      </c>
    </row>
    <row r="483" spans="1:38" x14ac:dyDescent="0.25">
      <c r="A483" s="2">
        <v>34</v>
      </c>
      <c r="B483" t="s">
        <v>43</v>
      </c>
      <c r="C483" t="s">
        <v>36</v>
      </c>
      <c r="D483" s="2">
        <v>254</v>
      </c>
      <c r="E483" t="s">
        <v>45</v>
      </c>
      <c r="F483" s="2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 s="2">
        <v>3622</v>
      </c>
      <c r="T483">
        <v>22794</v>
      </c>
      <c r="U483">
        <v>1</v>
      </c>
      <c r="V483" t="s">
        <v>42</v>
      </c>
      <c r="W483" t="s">
        <v>35</v>
      </c>
      <c r="X483" s="2">
        <v>13</v>
      </c>
      <c r="Y483">
        <v>3</v>
      </c>
      <c r="Z483">
        <v>4</v>
      </c>
      <c r="AA483">
        <v>80</v>
      </c>
      <c r="AB483">
        <v>1</v>
      </c>
      <c r="AC483" s="2">
        <v>6</v>
      </c>
      <c r="AD483">
        <v>3</v>
      </c>
      <c r="AE483">
        <v>3</v>
      </c>
      <c r="AF483" s="2">
        <v>6</v>
      </c>
      <c r="AG483">
        <v>5</v>
      </c>
      <c r="AH483">
        <v>1</v>
      </c>
      <c r="AI483">
        <v>3</v>
      </c>
      <c r="AJ483" s="2" t="str">
        <f>IF(A483 A483 &lt;= 25, "18-25", IF(A483 &lt;=35, "26-35", IF(A483 &lt;=45, "36-45", IF(Table3[[#This Row],[Age]] &lt;=55, "46-55", "56+"))))</f>
        <v>26-35</v>
      </c>
      <c r="AK483" t="str">
        <f t="shared" si="7"/>
        <v>Low</v>
      </c>
      <c r="AL483" s="2" t="str">
        <f>IF(AF483 &lt; 3, "0-2 Years", IF(AF483 &lt;= 5, "3-5 Years", IF(AF483 &lt;= 10, "6-10 Years",IF(Table3[[#This Row],[Years At Company]]&lt;=20, "11-20 Years","20+ Years"))))</f>
        <v>6-10 Years</v>
      </c>
    </row>
    <row r="484" spans="1:38" x14ac:dyDescent="0.25">
      <c r="A484" s="2">
        <v>31</v>
      </c>
      <c r="B484" t="s">
        <v>35</v>
      </c>
      <c r="C484" t="s">
        <v>36</v>
      </c>
      <c r="D484" s="2">
        <v>1365</v>
      </c>
      <c r="E484" t="s">
        <v>37</v>
      </c>
      <c r="F484" s="2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 s="2">
        <v>4233</v>
      </c>
      <c r="T484">
        <v>11512</v>
      </c>
      <c r="U484">
        <v>2</v>
      </c>
      <c r="V484" t="s">
        <v>42</v>
      </c>
      <c r="W484" t="s">
        <v>43</v>
      </c>
      <c r="X484" s="2">
        <v>17</v>
      </c>
      <c r="Y484">
        <v>3</v>
      </c>
      <c r="Z484">
        <v>3</v>
      </c>
      <c r="AA484">
        <v>80</v>
      </c>
      <c r="AB484">
        <v>0</v>
      </c>
      <c r="AC484" s="2">
        <v>9</v>
      </c>
      <c r="AD484">
        <v>2</v>
      </c>
      <c r="AE484">
        <v>1</v>
      </c>
      <c r="AF484" s="2">
        <v>3</v>
      </c>
      <c r="AG484">
        <v>1</v>
      </c>
      <c r="AH484">
        <v>1</v>
      </c>
      <c r="AI484">
        <v>2</v>
      </c>
      <c r="AJ484" s="2" t="str">
        <f>IF(A484 A484 &lt;= 25, "18-25", IF(A484 &lt;=35, "26-35", IF(A484 &lt;=45, "36-45", IF(Table3[[#This Row],[Age]] &lt;=55, "46-55", "56+"))))</f>
        <v>26-35</v>
      </c>
      <c r="AK484" t="str">
        <f t="shared" si="7"/>
        <v>Low</v>
      </c>
      <c r="AL484" s="2" t="str">
        <f>IF(AF484 &lt; 3, "0-2 Years", IF(AF484 &lt;= 5, "3-5 Years", IF(AF484 &lt;= 10, "6-10 Years",IF(Table3[[#This Row],[Years At Company]]&lt;=20, "11-20 Years","20+ Years"))))</f>
        <v>3-5 Years</v>
      </c>
    </row>
    <row r="485" spans="1:38" x14ac:dyDescent="0.25">
      <c r="A485" s="2">
        <v>35</v>
      </c>
      <c r="B485" t="s">
        <v>43</v>
      </c>
      <c r="C485" t="s">
        <v>36</v>
      </c>
      <c r="D485" s="2">
        <v>538</v>
      </c>
      <c r="E485" t="s">
        <v>45</v>
      </c>
      <c r="F485" s="2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 s="2">
        <v>3681</v>
      </c>
      <c r="T485">
        <v>14004</v>
      </c>
      <c r="U485">
        <v>4</v>
      </c>
      <c r="V485" t="s">
        <v>42</v>
      </c>
      <c r="W485" t="s">
        <v>43</v>
      </c>
      <c r="X485" s="2">
        <v>14</v>
      </c>
      <c r="Y485">
        <v>3</v>
      </c>
      <c r="Z485">
        <v>4</v>
      </c>
      <c r="AA485">
        <v>80</v>
      </c>
      <c r="AB485">
        <v>0</v>
      </c>
      <c r="AC485" s="2">
        <v>9</v>
      </c>
      <c r="AD485">
        <v>3</v>
      </c>
      <c r="AE485">
        <v>3</v>
      </c>
      <c r="AF485" s="2">
        <v>3</v>
      </c>
      <c r="AG485">
        <v>2</v>
      </c>
      <c r="AH485">
        <v>0</v>
      </c>
      <c r="AI485">
        <v>2</v>
      </c>
      <c r="AJ485" s="2" t="str">
        <f>IF(A485 A485 &lt;= 25, "18-25", IF(A485 &lt;=35, "26-35", IF(A485 &lt;=45, "36-45", IF(Table3[[#This Row],[Age]] &lt;=55, "46-55", "56+"))))</f>
        <v>26-35</v>
      </c>
      <c r="AK485" t="str">
        <f t="shared" si="7"/>
        <v>Low</v>
      </c>
      <c r="AL485" s="2" t="str">
        <f>IF(AF485 &lt; 3, "0-2 Years", IF(AF485 &lt;= 5, "3-5 Years", IF(AF485 &lt;= 10, "6-10 Years",IF(Table3[[#This Row],[Years At Company]]&lt;=20, "11-20 Years","20+ Years"))))</f>
        <v>3-5 Years</v>
      </c>
    </row>
    <row r="486" spans="1:38" x14ac:dyDescent="0.25">
      <c r="A486" s="2">
        <v>31</v>
      </c>
      <c r="B486" t="s">
        <v>43</v>
      </c>
      <c r="C486" t="s">
        <v>36</v>
      </c>
      <c r="D486" s="2">
        <v>525</v>
      </c>
      <c r="E486" t="s">
        <v>37</v>
      </c>
      <c r="F486" s="2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 s="2">
        <v>5460</v>
      </c>
      <c r="T486">
        <v>6219</v>
      </c>
      <c r="U486">
        <v>4</v>
      </c>
      <c r="V486" t="s">
        <v>42</v>
      </c>
      <c r="W486" t="s">
        <v>43</v>
      </c>
      <c r="X486" s="2">
        <v>22</v>
      </c>
      <c r="Y486">
        <v>4</v>
      </c>
      <c r="Z486">
        <v>4</v>
      </c>
      <c r="AA486">
        <v>80</v>
      </c>
      <c r="AB486">
        <v>2</v>
      </c>
      <c r="AC486" s="2">
        <v>13</v>
      </c>
      <c r="AD486">
        <v>4</v>
      </c>
      <c r="AE486">
        <v>4</v>
      </c>
      <c r="AF486" s="2">
        <v>7</v>
      </c>
      <c r="AG486">
        <v>7</v>
      </c>
      <c r="AH486">
        <v>5</v>
      </c>
      <c r="AI486">
        <v>7</v>
      </c>
      <c r="AJ486" s="2" t="str">
        <f>IF(A486 A486 &lt;= 25, "18-25", IF(A486 &lt;=35, "26-35", IF(A486 &lt;=45, "36-45", IF(Table3[[#This Row],[Age]] &lt;=55, "46-55", "56+"))))</f>
        <v>26-35</v>
      </c>
      <c r="AK486" t="str">
        <f t="shared" si="7"/>
        <v>Medium</v>
      </c>
      <c r="AL486" s="2" t="str">
        <f>IF(AF486 &lt; 3, "0-2 Years", IF(AF486 &lt;= 5, "3-5 Years", IF(AF486 &lt;= 10, "6-10 Years",IF(Table3[[#This Row],[Years At Company]]&lt;=20, "11-20 Years","20+ Years"))))</f>
        <v>6-10 Years</v>
      </c>
    </row>
    <row r="487" spans="1:38" x14ac:dyDescent="0.25">
      <c r="A487" s="2">
        <v>27</v>
      </c>
      <c r="B487" t="s">
        <v>43</v>
      </c>
      <c r="C487" t="s">
        <v>36</v>
      </c>
      <c r="D487" s="2">
        <v>798</v>
      </c>
      <c r="E487" t="s">
        <v>45</v>
      </c>
      <c r="F487" s="2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 s="2">
        <v>2187</v>
      </c>
      <c r="T487">
        <v>5013</v>
      </c>
      <c r="U487">
        <v>0</v>
      </c>
      <c r="V487" t="s">
        <v>42</v>
      </c>
      <c r="W487" t="s">
        <v>43</v>
      </c>
      <c r="X487" s="2">
        <v>12</v>
      </c>
      <c r="Y487">
        <v>3</v>
      </c>
      <c r="Z487">
        <v>3</v>
      </c>
      <c r="AA487">
        <v>80</v>
      </c>
      <c r="AB487">
        <v>2</v>
      </c>
      <c r="AC487" s="2">
        <v>6</v>
      </c>
      <c r="AD487">
        <v>5</v>
      </c>
      <c r="AE487">
        <v>2</v>
      </c>
      <c r="AF487" s="2">
        <v>5</v>
      </c>
      <c r="AG487">
        <v>3</v>
      </c>
      <c r="AH487">
        <v>0</v>
      </c>
      <c r="AI487">
        <v>3</v>
      </c>
      <c r="AJ487" s="2" t="str">
        <f>IF(A487 A487 &lt;= 25, "18-25", IF(A487 &lt;=35, "26-35", IF(A487 &lt;=45, "36-45", IF(Table3[[#This Row],[Age]] &lt;=55, "46-55", "56+"))))</f>
        <v>26-35</v>
      </c>
      <c r="AK487" t="str">
        <f t="shared" si="7"/>
        <v>Low</v>
      </c>
      <c r="AL487" s="2" t="str">
        <f>IF(AF487 &lt; 3, "0-2 Years", IF(AF487 &lt;= 5, "3-5 Years", IF(AF487 &lt;= 10, "6-10 Years",IF(Table3[[#This Row],[Years At Company]]&lt;=20, "11-20 Years","20+ Years"))))</f>
        <v>3-5 Years</v>
      </c>
    </row>
    <row r="488" spans="1:38" x14ac:dyDescent="0.25">
      <c r="A488" s="2">
        <v>37</v>
      </c>
      <c r="B488" t="s">
        <v>43</v>
      </c>
      <c r="C488" t="s">
        <v>36</v>
      </c>
      <c r="D488" s="2">
        <v>558</v>
      </c>
      <c r="E488" t="s">
        <v>37</v>
      </c>
      <c r="F488" s="2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 s="2">
        <v>9602</v>
      </c>
      <c r="T488">
        <v>3010</v>
      </c>
      <c r="U488">
        <v>4</v>
      </c>
      <c r="V488" t="s">
        <v>42</v>
      </c>
      <c r="W488" t="s">
        <v>35</v>
      </c>
      <c r="X488" s="2">
        <v>11</v>
      </c>
      <c r="Y488">
        <v>3</v>
      </c>
      <c r="Z488">
        <v>3</v>
      </c>
      <c r="AA488">
        <v>80</v>
      </c>
      <c r="AB488">
        <v>1</v>
      </c>
      <c r="AC488" s="2">
        <v>17</v>
      </c>
      <c r="AD488">
        <v>3</v>
      </c>
      <c r="AE488">
        <v>2</v>
      </c>
      <c r="AF488" s="2">
        <v>3</v>
      </c>
      <c r="AG488">
        <v>0</v>
      </c>
      <c r="AH488">
        <v>1</v>
      </c>
      <c r="AI488">
        <v>0</v>
      </c>
      <c r="AJ488" s="2" t="str">
        <f>IF(A488 A488 &lt;= 25, "18-25", IF(A488 &lt;=35, "26-35", IF(A488 &lt;=45, "36-45", IF(Table3[[#This Row],[Age]] &lt;=55, "46-55", "56+"))))</f>
        <v>36-45</v>
      </c>
      <c r="AK488" t="str">
        <f t="shared" si="7"/>
        <v>Medium</v>
      </c>
      <c r="AL488" s="2" t="str">
        <f>IF(AF488 &lt; 3, "0-2 Years", IF(AF488 &lt;= 5, "3-5 Years", IF(AF488 &lt;= 10, "6-10 Years",IF(Table3[[#This Row],[Years At Company]]&lt;=20, "11-20 Years","20+ Years"))))</f>
        <v>3-5 Years</v>
      </c>
    </row>
    <row r="489" spans="1:38" x14ac:dyDescent="0.25">
      <c r="A489" s="2">
        <v>20</v>
      </c>
      <c r="B489" t="s">
        <v>43</v>
      </c>
      <c r="C489" t="s">
        <v>36</v>
      </c>
      <c r="D489" s="2">
        <v>959</v>
      </c>
      <c r="E489" t="s">
        <v>45</v>
      </c>
      <c r="F489" s="2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 s="2">
        <v>2836</v>
      </c>
      <c r="T489">
        <v>11757</v>
      </c>
      <c r="U489">
        <v>1</v>
      </c>
      <c r="V489" t="s">
        <v>42</v>
      </c>
      <c r="W489" t="s">
        <v>43</v>
      </c>
      <c r="X489" s="2">
        <v>13</v>
      </c>
      <c r="Y489">
        <v>3</v>
      </c>
      <c r="Z489">
        <v>4</v>
      </c>
      <c r="AA489">
        <v>80</v>
      </c>
      <c r="AB489">
        <v>0</v>
      </c>
      <c r="AC489" s="2">
        <v>1</v>
      </c>
      <c r="AD489">
        <v>0</v>
      </c>
      <c r="AE489">
        <v>4</v>
      </c>
      <c r="AF489" s="2">
        <v>1</v>
      </c>
      <c r="AG489">
        <v>0</v>
      </c>
      <c r="AH489">
        <v>0</v>
      </c>
      <c r="AI489">
        <v>0</v>
      </c>
      <c r="AJ489" s="2" t="str">
        <f>IF(A489 A489 &lt;= 25, "18-25", IF(A489 &lt;=35, "26-35", IF(A489 &lt;=45, "36-45", IF(Table3[[#This Row],[Age]] &lt;=55, "46-55", "56+"))))</f>
        <v>18-25</v>
      </c>
      <c r="AK489" t="str">
        <f t="shared" si="7"/>
        <v>Low</v>
      </c>
      <c r="AL489" s="2" t="str">
        <f>IF(AF489 &lt; 3, "0-2 Years", IF(AF489 &lt;= 5, "3-5 Years", IF(AF489 &lt;= 10, "6-10 Years",IF(Table3[[#This Row],[Years At Company]]&lt;=20, "11-20 Years","20+ Years"))))</f>
        <v>0-2 Years</v>
      </c>
    </row>
    <row r="490" spans="1:38" x14ac:dyDescent="0.25">
      <c r="A490" s="2">
        <v>42</v>
      </c>
      <c r="B490" t="s">
        <v>43</v>
      </c>
      <c r="C490" t="s">
        <v>36</v>
      </c>
      <c r="D490" s="2">
        <v>622</v>
      </c>
      <c r="E490" t="s">
        <v>45</v>
      </c>
      <c r="F490" s="2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 s="2">
        <v>4089</v>
      </c>
      <c r="T490">
        <v>5718</v>
      </c>
      <c r="U490">
        <v>1</v>
      </c>
      <c r="V490" t="s">
        <v>42</v>
      </c>
      <c r="W490" t="s">
        <v>43</v>
      </c>
      <c r="X490" s="2">
        <v>13</v>
      </c>
      <c r="Y490">
        <v>3</v>
      </c>
      <c r="Z490">
        <v>2</v>
      </c>
      <c r="AA490">
        <v>80</v>
      </c>
      <c r="AB490">
        <v>2</v>
      </c>
      <c r="AC490" s="2">
        <v>10</v>
      </c>
      <c r="AD490">
        <v>4</v>
      </c>
      <c r="AE490">
        <v>3</v>
      </c>
      <c r="AF490" s="2">
        <v>10</v>
      </c>
      <c r="AG490">
        <v>2</v>
      </c>
      <c r="AH490">
        <v>2</v>
      </c>
      <c r="AI490">
        <v>2</v>
      </c>
      <c r="AJ490" s="2" t="str">
        <f>IF(A490 A490 &lt;= 25, "18-25", IF(A490 &lt;=35, "26-35", IF(A490 &lt;=45, "36-45", IF(Table3[[#This Row],[Age]] &lt;=55, "46-55", "56+"))))</f>
        <v>36-45</v>
      </c>
      <c r="AK490" t="str">
        <f t="shared" si="7"/>
        <v>Low</v>
      </c>
      <c r="AL490" s="2" t="str">
        <f>IF(AF490 &lt; 3, "0-2 Years", IF(AF490 &lt;= 5, "3-5 Years", IF(AF490 &lt;= 10, "6-10 Years",IF(Table3[[#This Row],[Years At Company]]&lt;=20, "11-20 Years","20+ Years"))))</f>
        <v>6-10 Years</v>
      </c>
    </row>
    <row r="491" spans="1:38" x14ac:dyDescent="0.25">
      <c r="A491" s="2">
        <v>43</v>
      </c>
      <c r="B491" t="s">
        <v>43</v>
      </c>
      <c r="C491" t="s">
        <v>36</v>
      </c>
      <c r="D491" s="2">
        <v>782</v>
      </c>
      <c r="E491" t="s">
        <v>45</v>
      </c>
      <c r="F491" s="2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 s="2">
        <v>16627</v>
      </c>
      <c r="T491">
        <v>2671</v>
      </c>
      <c r="U491">
        <v>4</v>
      </c>
      <c r="V491" t="s">
        <v>42</v>
      </c>
      <c r="W491" t="s">
        <v>35</v>
      </c>
      <c r="X491" s="2">
        <v>14</v>
      </c>
      <c r="Y491">
        <v>3</v>
      </c>
      <c r="Z491">
        <v>3</v>
      </c>
      <c r="AA491">
        <v>80</v>
      </c>
      <c r="AB491">
        <v>1</v>
      </c>
      <c r="AC491" s="2">
        <v>21</v>
      </c>
      <c r="AD491">
        <v>3</v>
      </c>
      <c r="AE491">
        <v>2</v>
      </c>
      <c r="AF491" s="2">
        <v>1</v>
      </c>
      <c r="AG491">
        <v>0</v>
      </c>
      <c r="AH491">
        <v>0</v>
      </c>
      <c r="AI491">
        <v>0</v>
      </c>
      <c r="AJ491" s="2" t="str">
        <f>IF(A491 A491 &lt;= 25, "18-25", IF(A491 &lt;=35, "26-35", IF(A491 &lt;=45, "36-45", IF(Table3[[#This Row],[Age]] &lt;=55, "46-55", "56+"))))</f>
        <v>36-45</v>
      </c>
      <c r="AK491" t="str">
        <f t="shared" si="7"/>
        <v>High</v>
      </c>
      <c r="AL491" s="2" t="str">
        <f>IF(AF491 &lt; 3, "0-2 Years", IF(AF491 &lt;= 5, "3-5 Years", IF(AF491 &lt;= 10, "6-10 Years",IF(Table3[[#This Row],[Years At Company]]&lt;=20, "11-20 Years","20+ Years"))))</f>
        <v>0-2 Years</v>
      </c>
    </row>
    <row r="492" spans="1:38" x14ac:dyDescent="0.25">
      <c r="A492" s="2">
        <v>38</v>
      </c>
      <c r="B492" t="s">
        <v>43</v>
      </c>
      <c r="C492" t="s">
        <v>36</v>
      </c>
      <c r="D492" s="2">
        <v>362</v>
      </c>
      <c r="E492" t="s">
        <v>45</v>
      </c>
      <c r="F492" s="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 s="2">
        <v>2619</v>
      </c>
      <c r="T492">
        <v>14561</v>
      </c>
      <c r="U492">
        <v>3</v>
      </c>
      <c r="V492" t="s">
        <v>42</v>
      </c>
      <c r="W492" t="s">
        <v>43</v>
      </c>
      <c r="X492" s="2">
        <v>17</v>
      </c>
      <c r="Y492">
        <v>3</v>
      </c>
      <c r="Z492">
        <v>4</v>
      </c>
      <c r="AA492">
        <v>80</v>
      </c>
      <c r="AB492">
        <v>0</v>
      </c>
      <c r="AC492" s="2">
        <v>8</v>
      </c>
      <c r="AD492">
        <v>3</v>
      </c>
      <c r="AE492">
        <v>2</v>
      </c>
      <c r="AF492" s="2">
        <v>0</v>
      </c>
      <c r="AG492">
        <v>0</v>
      </c>
      <c r="AH492">
        <v>0</v>
      </c>
      <c r="AI492">
        <v>0</v>
      </c>
      <c r="AJ492" s="2" t="str">
        <f>IF(A492 A492 &lt;= 25, "18-25", IF(A492 &lt;=35, "26-35", IF(A492 &lt;=45, "36-45", IF(Table3[[#This Row],[Age]] &lt;=55, "46-55", "56+"))))</f>
        <v>36-45</v>
      </c>
      <c r="AK492" t="str">
        <f t="shared" si="7"/>
        <v>Low</v>
      </c>
      <c r="AL492" s="2" t="str">
        <f>IF(AF492 &lt; 3, "0-2 Years", IF(AF492 &lt;= 5, "3-5 Years", IF(AF492 &lt;= 10, "6-10 Years",IF(Table3[[#This Row],[Years At Company]]&lt;=20, "11-20 Years","20+ Years"))))</f>
        <v>0-2 Years</v>
      </c>
    </row>
    <row r="493" spans="1:38" x14ac:dyDescent="0.25">
      <c r="A493" s="2">
        <v>43</v>
      </c>
      <c r="B493" t="s">
        <v>43</v>
      </c>
      <c r="C493" t="s">
        <v>44</v>
      </c>
      <c r="D493" s="2">
        <v>1001</v>
      </c>
      <c r="E493" t="s">
        <v>45</v>
      </c>
      <c r="F493" s="2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 s="2">
        <v>5679</v>
      </c>
      <c r="T493">
        <v>19627</v>
      </c>
      <c r="U493">
        <v>3</v>
      </c>
      <c r="V493" t="s">
        <v>42</v>
      </c>
      <c r="W493" t="s">
        <v>35</v>
      </c>
      <c r="X493" s="2">
        <v>13</v>
      </c>
      <c r="Y493">
        <v>3</v>
      </c>
      <c r="Z493">
        <v>2</v>
      </c>
      <c r="AA493">
        <v>80</v>
      </c>
      <c r="AB493">
        <v>1</v>
      </c>
      <c r="AC493" s="2">
        <v>10</v>
      </c>
      <c r="AD493">
        <v>3</v>
      </c>
      <c r="AE493">
        <v>3</v>
      </c>
      <c r="AF493" s="2">
        <v>8</v>
      </c>
      <c r="AG493">
        <v>7</v>
      </c>
      <c r="AH493">
        <v>4</v>
      </c>
      <c r="AI493">
        <v>7</v>
      </c>
      <c r="AJ493" s="2" t="str">
        <f>IF(A493 A493 &lt;= 25, "18-25", IF(A493 &lt;=35, "26-35", IF(A493 &lt;=45, "36-45", IF(Table3[[#This Row],[Age]] &lt;=55, "46-55", "56+"))))</f>
        <v>36-45</v>
      </c>
      <c r="AK493" t="str">
        <f t="shared" si="7"/>
        <v>Medium</v>
      </c>
      <c r="AL493" s="2" t="str">
        <f>IF(AF493 &lt; 3, "0-2 Years", IF(AF493 &lt;= 5, "3-5 Years", IF(AF493 &lt;= 10, "6-10 Years",IF(Table3[[#This Row],[Years At Company]]&lt;=20, "11-20 Years","20+ Years"))))</f>
        <v>6-10 Years</v>
      </c>
    </row>
    <row r="494" spans="1:38" x14ac:dyDescent="0.25">
      <c r="A494" s="2">
        <v>48</v>
      </c>
      <c r="B494" t="s">
        <v>43</v>
      </c>
      <c r="C494" t="s">
        <v>36</v>
      </c>
      <c r="D494" s="2">
        <v>1236</v>
      </c>
      <c r="E494" t="s">
        <v>45</v>
      </c>
      <c r="F494" s="2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 s="2">
        <v>15402</v>
      </c>
      <c r="T494">
        <v>17997</v>
      </c>
      <c r="U494">
        <v>7</v>
      </c>
      <c r="V494" t="s">
        <v>42</v>
      </c>
      <c r="W494" t="s">
        <v>43</v>
      </c>
      <c r="X494" s="2">
        <v>11</v>
      </c>
      <c r="Y494">
        <v>3</v>
      </c>
      <c r="Z494">
        <v>1</v>
      </c>
      <c r="AA494">
        <v>80</v>
      </c>
      <c r="AB494">
        <v>1</v>
      </c>
      <c r="AC494" s="2">
        <v>21</v>
      </c>
      <c r="AD494">
        <v>3</v>
      </c>
      <c r="AE494">
        <v>1</v>
      </c>
      <c r="AF494" s="2">
        <v>3</v>
      </c>
      <c r="AG494">
        <v>2</v>
      </c>
      <c r="AH494">
        <v>0</v>
      </c>
      <c r="AI494">
        <v>2</v>
      </c>
      <c r="AJ494" s="2" t="str">
        <f>IF(A494 A494 &lt;= 25, "18-25", IF(A494 &lt;=35, "26-35", IF(A494 &lt;=45, "36-45", IF(Table3[[#This Row],[Age]] &lt;=55, "46-55", "56+"))))</f>
        <v>46-55</v>
      </c>
      <c r="AK494" t="str">
        <f t="shared" si="7"/>
        <v>High</v>
      </c>
      <c r="AL494" s="2" t="str">
        <f>IF(AF494 &lt; 3, "0-2 Years", IF(AF494 &lt;= 5, "3-5 Years", IF(AF494 &lt;= 10, "6-10 Years",IF(Table3[[#This Row],[Years At Company]]&lt;=20, "11-20 Years","20+ Years"))))</f>
        <v>3-5 Years</v>
      </c>
    </row>
    <row r="495" spans="1:38" x14ac:dyDescent="0.25">
      <c r="A495" s="2">
        <v>44</v>
      </c>
      <c r="B495" t="s">
        <v>43</v>
      </c>
      <c r="C495" t="s">
        <v>36</v>
      </c>
      <c r="D495" s="2">
        <v>1112</v>
      </c>
      <c r="E495" t="s">
        <v>61</v>
      </c>
      <c r="F495" s="2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 s="2">
        <v>5985</v>
      </c>
      <c r="T495">
        <v>26894</v>
      </c>
      <c r="U495">
        <v>4</v>
      </c>
      <c r="V495" t="s">
        <v>42</v>
      </c>
      <c r="W495" t="s">
        <v>43</v>
      </c>
      <c r="X495" s="2">
        <v>11</v>
      </c>
      <c r="Y495">
        <v>3</v>
      </c>
      <c r="Z495">
        <v>2</v>
      </c>
      <c r="AA495">
        <v>80</v>
      </c>
      <c r="AB495">
        <v>0</v>
      </c>
      <c r="AC495" s="2">
        <v>10</v>
      </c>
      <c r="AD495">
        <v>1</v>
      </c>
      <c r="AE495">
        <v>4</v>
      </c>
      <c r="AF495" s="2">
        <v>2</v>
      </c>
      <c r="AG495">
        <v>2</v>
      </c>
      <c r="AH495">
        <v>0</v>
      </c>
      <c r="AI495">
        <v>2</v>
      </c>
      <c r="AJ495" s="2" t="str">
        <f>IF(A495 A495 &lt;= 25, "18-25", IF(A495 &lt;=35, "26-35", IF(A495 &lt;=45, "36-45", IF(Table3[[#This Row],[Age]] &lt;=55, "46-55", "56+"))))</f>
        <v>36-45</v>
      </c>
      <c r="AK495" t="str">
        <f t="shared" si="7"/>
        <v>Medium</v>
      </c>
      <c r="AL495" s="2" t="str">
        <f>IF(AF495 &lt; 3, "0-2 Years", IF(AF495 &lt;= 5, "3-5 Years", IF(AF495 &lt;= 10, "6-10 Years",IF(Table3[[#This Row],[Years At Company]]&lt;=20, "11-20 Years","20+ Years"))))</f>
        <v>0-2 Years</v>
      </c>
    </row>
    <row r="496" spans="1:38" x14ac:dyDescent="0.25">
      <c r="A496" s="2">
        <v>34</v>
      </c>
      <c r="B496" t="s">
        <v>43</v>
      </c>
      <c r="C496" t="s">
        <v>36</v>
      </c>
      <c r="D496" s="2">
        <v>204</v>
      </c>
      <c r="E496" t="s">
        <v>37</v>
      </c>
      <c r="F496" s="2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 s="2">
        <v>2579</v>
      </c>
      <c r="T496">
        <v>2912</v>
      </c>
      <c r="U496">
        <v>1</v>
      </c>
      <c r="V496" t="s">
        <v>42</v>
      </c>
      <c r="W496" t="s">
        <v>35</v>
      </c>
      <c r="X496" s="2">
        <v>18</v>
      </c>
      <c r="Y496">
        <v>3</v>
      </c>
      <c r="Z496">
        <v>4</v>
      </c>
      <c r="AA496">
        <v>80</v>
      </c>
      <c r="AB496">
        <v>2</v>
      </c>
      <c r="AC496" s="2">
        <v>8</v>
      </c>
      <c r="AD496">
        <v>3</v>
      </c>
      <c r="AE496">
        <v>3</v>
      </c>
      <c r="AF496" s="2">
        <v>8</v>
      </c>
      <c r="AG496">
        <v>2</v>
      </c>
      <c r="AH496">
        <v>0</v>
      </c>
      <c r="AI496">
        <v>6</v>
      </c>
      <c r="AJ496" s="2" t="str">
        <f>IF(A496 A496 &lt;= 25, "18-25", IF(A496 &lt;=35, "26-35", IF(A496 &lt;=45, "36-45", IF(Table3[[#This Row],[Age]] &lt;=55, "46-55", "56+"))))</f>
        <v>26-35</v>
      </c>
      <c r="AK496" t="str">
        <f t="shared" si="7"/>
        <v>Low</v>
      </c>
      <c r="AL496" s="2" t="str">
        <f>IF(AF496 &lt; 3, "0-2 Years", IF(AF496 &lt;= 5, "3-5 Years", IF(AF496 &lt;= 10, "6-10 Years",IF(Table3[[#This Row],[Years At Company]]&lt;=20, "11-20 Years","20+ Years"))))</f>
        <v>6-10 Years</v>
      </c>
    </row>
    <row r="497" spans="1:38" x14ac:dyDescent="0.25">
      <c r="A497" s="2">
        <v>27</v>
      </c>
      <c r="B497" t="s">
        <v>35</v>
      </c>
      <c r="C497" t="s">
        <v>36</v>
      </c>
      <c r="D497" s="2">
        <v>1420</v>
      </c>
      <c r="E497" t="s">
        <v>37</v>
      </c>
      <c r="F497" s="2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 s="2">
        <v>3041</v>
      </c>
      <c r="T497">
        <v>16346</v>
      </c>
      <c r="U497">
        <v>0</v>
      </c>
      <c r="V497" t="s">
        <v>42</v>
      </c>
      <c r="W497" t="s">
        <v>43</v>
      </c>
      <c r="X497" s="2">
        <v>11</v>
      </c>
      <c r="Y497">
        <v>3</v>
      </c>
      <c r="Z497">
        <v>2</v>
      </c>
      <c r="AA497">
        <v>80</v>
      </c>
      <c r="AB497">
        <v>1</v>
      </c>
      <c r="AC497" s="2">
        <v>5</v>
      </c>
      <c r="AD497">
        <v>3</v>
      </c>
      <c r="AE497">
        <v>3</v>
      </c>
      <c r="AF497" s="2">
        <v>4</v>
      </c>
      <c r="AG497">
        <v>3</v>
      </c>
      <c r="AH497">
        <v>0</v>
      </c>
      <c r="AI497">
        <v>2</v>
      </c>
      <c r="AJ497" s="2" t="str">
        <f>IF(A497 A497 &lt;= 25, "18-25", IF(A497 &lt;=35, "26-35", IF(A497 &lt;=45, "36-45", IF(Table3[[#This Row],[Age]] &lt;=55, "46-55", "56+"))))</f>
        <v>26-35</v>
      </c>
      <c r="AK497" t="str">
        <f t="shared" si="7"/>
        <v>Low</v>
      </c>
      <c r="AL497" s="2" t="str">
        <f>IF(AF497 &lt; 3, "0-2 Years", IF(AF497 &lt;= 5, "3-5 Years", IF(AF497 &lt;= 10, "6-10 Years",IF(Table3[[#This Row],[Years At Company]]&lt;=20, "11-20 Years","20+ Years"))))</f>
        <v>3-5 Years</v>
      </c>
    </row>
    <row r="498" spans="1:38" x14ac:dyDescent="0.25">
      <c r="A498" s="2">
        <v>21</v>
      </c>
      <c r="B498" t="s">
        <v>43</v>
      </c>
      <c r="C498" t="s">
        <v>36</v>
      </c>
      <c r="D498" s="2">
        <v>1343</v>
      </c>
      <c r="E498" t="s">
        <v>37</v>
      </c>
      <c r="F498" s="2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 s="2">
        <v>3447</v>
      </c>
      <c r="T498">
        <v>24444</v>
      </c>
      <c r="U498">
        <v>1</v>
      </c>
      <c r="V498" t="s">
        <v>42</v>
      </c>
      <c r="W498" t="s">
        <v>43</v>
      </c>
      <c r="X498" s="2">
        <v>11</v>
      </c>
      <c r="Y498">
        <v>3</v>
      </c>
      <c r="Z498">
        <v>3</v>
      </c>
      <c r="AA498">
        <v>80</v>
      </c>
      <c r="AB498">
        <v>0</v>
      </c>
      <c r="AC498" s="2">
        <v>3</v>
      </c>
      <c r="AD498">
        <v>2</v>
      </c>
      <c r="AE498">
        <v>3</v>
      </c>
      <c r="AF498" s="2">
        <v>3</v>
      </c>
      <c r="AG498">
        <v>2</v>
      </c>
      <c r="AH498">
        <v>1</v>
      </c>
      <c r="AI498">
        <v>2</v>
      </c>
      <c r="AJ498" s="2" t="str">
        <f>IF(A498 A498 &lt;= 25, "18-25", IF(A498 &lt;=35, "26-35", IF(A498 &lt;=45, "36-45", IF(Table3[[#This Row],[Age]] &lt;=55, "46-55", "56+"))))</f>
        <v>18-25</v>
      </c>
      <c r="AK498" t="str">
        <f t="shared" si="7"/>
        <v>Low</v>
      </c>
      <c r="AL498" s="2" t="str">
        <f>IF(AF498 &lt; 3, "0-2 Years", IF(AF498 &lt;= 5, "3-5 Years", IF(AF498 &lt;= 10, "6-10 Years",IF(Table3[[#This Row],[Years At Company]]&lt;=20, "11-20 Years","20+ Years"))))</f>
        <v>3-5 Years</v>
      </c>
    </row>
    <row r="499" spans="1:38" x14ac:dyDescent="0.25">
      <c r="A499" s="2">
        <v>44</v>
      </c>
      <c r="B499" t="s">
        <v>43</v>
      </c>
      <c r="C499" t="s">
        <v>36</v>
      </c>
      <c r="D499" s="2">
        <v>1315</v>
      </c>
      <c r="E499" t="s">
        <v>45</v>
      </c>
      <c r="F499" s="2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 s="2">
        <v>19513</v>
      </c>
      <c r="T499">
        <v>9358</v>
      </c>
      <c r="U499">
        <v>4</v>
      </c>
      <c r="V499" t="s">
        <v>42</v>
      </c>
      <c r="W499" t="s">
        <v>35</v>
      </c>
      <c r="X499" s="2">
        <v>12</v>
      </c>
      <c r="Y499">
        <v>3</v>
      </c>
      <c r="Z499">
        <v>1</v>
      </c>
      <c r="AA499">
        <v>80</v>
      </c>
      <c r="AB499">
        <v>1</v>
      </c>
      <c r="AC499" s="2">
        <v>26</v>
      </c>
      <c r="AD499">
        <v>2</v>
      </c>
      <c r="AE499">
        <v>4</v>
      </c>
      <c r="AF499" s="2">
        <v>2</v>
      </c>
      <c r="AG499">
        <v>2</v>
      </c>
      <c r="AH499">
        <v>0</v>
      </c>
      <c r="AI499">
        <v>1</v>
      </c>
      <c r="AJ499" s="2" t="str">
        <f>IF(A499 A499 &lt;= 25, "18-25", IF(A499 &lt;=35, "26-35", IF(A499 &lt;=45, "36-45", IF(Table3[[#This Row],[Age]] &lt;=55, "46-55", "56+"))))</f>
        <v>36-45</v>
      </c>
      <c r="AK499" t="str">
        <f t="shared" si="7"/>
        <v>High</v>
      </c>
      <c r="AL499" s="2" t="str">
        <f>IF(AF499 &lt; 3, "0-2 Years", IF(AF499 &lt;= 5, "3-5 Years", IF(AF499 &lt;= 10, "6-10 Years",IF(Table3[[#This Row],[Years At Company]]&lt;=20, "11-20 Years","20+ Years"))))</f>
        <v>0-2 Years</v>
      </c>
    </row>
    <row r="500" spans="1:38" x14ac:dyDescent="0.25">
      <c r="A500" s="2">
        <v>22</v>
      </c>
      <c r="B500" t="s">
        <v>43</v>
      </c>
      <c r="C500" t="s">
        <v>36</v>
      </c>
      <c r="D500" s="2">
        <v>604</v>
      </c>
      <c r="E500" t="s">
        <v>45</v>
      </c>
      <c r="F500" s="2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 s="2">
        <v>2773</v>
      </c>
      <c r="T500">
        <v>12145</v>
      </c>
      <c r="U500">
        <v>0</v>
      </c>
      <c r="V500" t="s">
        <v>42</v>
      </c>
      <c r="W500" t="s">
        <v>43</v>
      </c>
      <c r="X500" s="2">
        <v>20</v>
      </c>
      <c r="Y500">
        <v>4</v>
      </c>
      <c r="Z500">
        <v>4</v>
      </c>
      <c r="AA500">
        <v>80</v>
      </c>
      <c r="AB500">
        <v>0</v>
      </c>
      <c r="AC500" s="2">
        <v>3</v>
      </c>
      <c r="AD500">
        <v>3</v>
      </c>
      <c r="AE500">
        <v>3</v>
      </c>
      <c r="AF500" s="2">
        <v>2</v>
      </c>
      <c r="AG500">
        <v>2</v>
      </c>
      <c r="AH500">
        <v>2</v>
      </c>
      <c r="AI500">
        <v>2</v>
      </c>
      <c r="AJ500" s="2" t="str">
        <f>IF(A500 A500 &lt;= 25, "18-25", IF(A500 &lt;=35, "26-35", IF(A500 &lt;=45, "36-45", IF(Table3[[#This Row],[Age]] &lt;=55, "46-55", "56+"))))</f>
        <v>18-25</v>
      </c>
      <c r="AK500" t="str">
        <f t="shared" si="7"/>
        <v>Low</v>
      </c>
      <c r="AL500" s="2" t="str">
        <f>IF(AF500 &lt; 3, "0-2 Years", IF(AF500 &lt;= 5, "3-5 Years", IF(AF500 &lt;= 10, "6-10 Years",IF(Table3[[#This Row],[Years At Company]]&lt;=20, "11-20 Years","20+ Years"))))</f>
        <v>0-2 Years</v>
      </c>
    </row>
    <row r="501" spans="1:38" x14ac:dyDescent="0.25">
      <c r="A501" s="2">
        <v>33</v>
      </c>
      <c r="B501" t="s">
        <v>43</v>
      </c>
      <c r="C501" t="s">
        <v>36</v>
      </c>
      <c r="D501" s="2">
        <v>1216</v>
      </c>
      <c r="E501" t="s">
        <v>37</v>
      </c>
      <c r="F501" s="2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 s="2">
        <v>7104</v>
      </c>
      <c r="T501">
        <v>20431</v>
      </c>
      <c r="U501">
        <v>0</v>
      </c>
      <c r="V501" t="s">
        <v>42</v>
      </c>
      <c r="W501" t="s">
        <v>43</v>
      </c>
      <c r="X501" s="2">
        <v>12</v>
      </c>
      <c r="Y501">
        <v>3</v>
      </c>
      <c r="Z501">
        <v>4</v>
      </c>
      <c r="AA501">
        <v>80</v>
      </c>
      <c r="AB501">
        <v>0</v>
      </c>
      <c r="AC501" s="2">
        <v>6</v>
      </c>
      <c r="AD501">
        <v>3</v>
      </c>
      <c r="AE501">
        <v>3</v>
      </c>
      <c r="AF501" s="2">
        <v>5</v>
      </c>
      <c r="AG501">
        <v>0</v>
      </c>
      <c r="AH501">
        <v>1</v>
      </c>
      <c r="AI501">
        <v>2</v>
      </c>
      <c r="AJ501" s="2" t="str">
        <f>IF(A501 A501 &lt;= 25, "18-25", IF(A501 &lt;=35, "26-35", IF(A501 &lt;=45, "36-45", IF(Table3[[#This Row],[Age]] &lt;=55, "46-55", "56+"))))</f>
        <v>26-35</v>
      </c>
      <c r="AK501" t="str">
        <f t="shared" si="7"/>
        <v>Medium</v>
      </c>
      <c r="AL501" s="2" t="str">
        <f>IF(AF501 &lt; 3, "0-2 Years", IF(AF501 &lt;= 5, "3-5 Years", IF(AF501 &lt;= 10, "6-10 Years",IF(Table3[[#This Row],[Years At Company]]&lt;=20, "11-20 Years","20+ Years"))))</f>
        <v>3-5 Years</v>
      </c>
    </row>
    <row r="502" spans="1:38" x14ac:dyDescent="0.25">
      <c r="A502" s="2">
        <v>32</v>
      </c>
      <c r="B502" t="s">
        <v>43</v>
      </c>
      <c r="C502" t="s">
        <v>36</v>
      </c>
      <c r="D502" s="2">
        <v>646</v>
      </c>
      <c r="E502" t="s">
        <v>45</v>
      </c>
      <c r="F502" s="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 s="2">
        <v>6322</v>
      </c>
      <c r="T502">
        <v>18089</v>
      </c>
      <c r="U502">
        <v>1</v>
      </c>
      <c r="V502" t="s">
        <v>42</v>
      </c>
      <c r="W502" t="s">
        <v>35</v>
      </c>
      <c r="X502" s="2">
        <v>12</v>
      </c>
      <c r="Y502">
        <v>3</v>
      </c>
      <c r="Z502">
        <v>4</v>
      </c>
      <c r="AA502">
        <v>80</v>
      </c>
      <c r="AB502">
        <v>1</v>
      </c>
      <c r="AC502" s="2">
        <v>6</v>
      </c>
      <c r="AD502">
        <v>2</v>
      </c>
      <c r="AE502">
        <v>2</v>
      </c>
      <c r="AF502" s="2">
        <v>6</v>
      </c>
      <c r="AG502">
        <v>4</v>
      </c>
      <c r="AH502">
        <v>0</v>
      </c>
      <c r="AI502">
        <v>5</v>
      </c>
      <c r="AJ502" s="2" t="str">
        <f>IF(A502 A502 &lt;= 25, "18-25", IF(A502 &lt;=35, "26-35", IF(A502 &lt;=45, "36-45", IF(Table3[[#This Row],[Age]] &lt;=55, "46-55", "56+"))))</f>
        <v>26-35</v>
      </c>
      <c r="AK502" t="str">
        <f t="shared" si="7"/>
        <v>Medium</v>
      </c>
      <c r="AL502" s="2" t="str">
        <f>IF(AF502 &lt; 3, "0-2 Years", IF(AF502 &lt;= 5, "3-5 Years", IF(AF502 &lt;= 10, "6-10 Years",IF(Table3[[#This Row],[Years At Company]]&lt;=20, "11-20 Years","20+ Years"))))</f>
        <v>6-10 Years</v>
      </c>
    </row>
    <row r="503" spans="1:38" x14ac:dyDescent="0.25">
      <c r="A503" s="2">
        <v>30</v>
      </c>
      <c r="B503" t="s">
        <v>43</v>
      </c>
      <c r="C503" t="s">
        <v>44</v>
      </c>
      <c r="D503" s="2">
        <v>160</v>
      </c>
      <c r="E503" t="s">
        <v>45</v>
      </c>
      <c r="F503" s="2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 s="2">
        <v>2083</v>
      </c>
      <c r="T503">
        <v>22653</v>
      </c>
      <c r="U503">
        <v>1</v>
      </c>
      <c r="V503" t="s">
        <v>42</v>
      </c>
      <c r="W503" t="s">
        <v>43</v>
      </c>
      <c r="X503" s="2">
        <v>20</v>
      </c>
      <c r="Y503">
        <v>4</v>
      </c>
      <c r="Z503">
        <v>3</v>
      </c>
      <c r="AA503">
        <v>80</v>
      </c>
      <c r="AB503">
        <v>1</v>
      </c>
      <c r="AC503" s="2">
        <v>1</v>
      </c>
      <c r="AD503">
        <v>2</v>
      </c>
      <c r="AE503">
        <v>3</v>
      </c>
      <c r="AF503" s="2">
        <v>1</v>
      </c>
      <c r="AG503">
        <v>0</v>
      </c>
      <c r="AH503">
        <v>0</v>
      </c>
      <c r="AI503">
        <v>0</v>
      </c>
      <c r="AJ503" s="2" t="str">
        <f>IF(A503 A503 &lt;= 25, "18-25", IF(A503 &lt;=35, "26-35", IF(A503 &lt;=45, "36-45", IF(Table3[[#This Row],[Age]] &lt;=55, "46-55", "56+"))))</f>
        <v>26-35</v>
      </c>
      <c r="AK503" t="str">
        <f t="shared" si="7"/>
        <v>Low</v>
      </c>
      <c r="AL503" s="2" t="str">
        <f>IF(AF503 &lt; 3, "0-2 Years", IF(AF503 &lt;= 5, "3-5 Years", IF(AF503 &lt;= 10, "6-10 Years",IF(Table3[[#This Row],[Years At Company]]&lt;=20, "11-20 Years","20+ Years"))))</f>
        <v>0-2 Years</v>
      </c>
    </row>
    <row r="504" spans="1:38" x14ac:dyDescent="0.25">
      <c r="A504" s="2">
        <v>53</v>
      </c>
      <c r="B504" t="s">
        <v>43</v>
      </c>
      <c r="C504" t="s">
        <v>36</v>
      </c>
      <c r="D504" s="2">
        <v>238</v>
      </c>
      <c r="E504" t="s">
        <v>37</v>
      </c>
      <c r="F504" s="2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 s="2">
        <v>8381</v>
      </c>
      <c r="T504">
        <v>7507</v>
      </c>
      <c r="U504">
        <v>7</v>
      </c>
      <c r="V504" t="s">
        <v>42</v>
      </c>
      <c r="W504" t="s">
        <v>43</v>
      </c>
      <c r="X504" s="2">
        <v>20</v>
      </c>
      <c r="Y504">
        <v>4</v>
      </c>
      <c r="Z504">
        <v>4</v>
      </c>
      <c r="AA504">
        <v>80</v>
      </c>
      <c r="AB504">
        <v>0</v>
      </c>
      <c r="AC504" s="2">
        <v>18</v>
      </c>
      <c r="AD504">
        <v>2</v>
      </c>
      <c r="AE504">
        <v>4</v>
      </c>
      <c r="AF504" s="2">
        <v>14</v>
      </c>
      <c r="AG504">
        <v>7</v>
      </c>
      <c r="AH504">
        <v>8</v>
      </c>
      <c r="AI504">
        <v>10</v>
      </c>
      <c r="AJ504" s="2" t="str">
        <f>IF(A504 A504 &lt;= 25, "18-25", IF(A504 &lt;=35, "26-35", IF(A504 &lt;=45, "36-45", IF(Table3[[#This Row],[Age]] &lt;=55, "46-55", "56+"))))</f>
        <v>46-55</v>
      </c>
      <c r="AK504" t="str">
        <f t="shared" si="7"/>
        <v>Medium</v>
      </c>
      <c r="AL504" s="2" t="str">
        <f>IF(AF504 &lt; 3, "0-2 Years", IF(AF504 &lt;= 5, "3-5 Years", IF(AF504 &lt;= 10, "6-10 Years",IF(Table3[[#This Row],[Years At Company]]&lt;=20, "11-20 Years","20+ Years"))))</f>
        <v>11-20 Years</v>
      </c>
    </row>
    <row r="505" spans="1:38" x14ac:dyDescent="0.25">
      <c r="A505" s="2">
        <v>34</v>
      </c>
      <c r="B505" t="s">
        <v>43</v>
      </c>
      <c r="C505" t="s">
        <v>36</v>
      </c>
      <c r="D505" s="2">
        <v>1397</v>
      </c>
      <c r="E505" t="s">
        <v>45</v>
      </c>
      <c r="F505" s="2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 s="2">
        <v>2691</v>
      </c>
      <c r="T505">
        <v>7660</v>
      </c>
      <c r="U505">
        <v>1</v>
      </c>
      <c r="V505" t="s">
        <v>42</v>
      </c>
      <c r="W505" t="s">
        <v>43</v>
      </c>
      <c r="X505" s="2">
        <v>12</v>
      </c>
      <c r="Y505">
        <v>3</v>
      </c>
      <c r="Z505">
        <v>4</v>
      </c>
      <c r="AA505">
        <v>80</v>
      </c>
      <c r="AB505">
        <v>1</v>
      </c>
      <c r="AC505" s="2">
        <v>10</v>
      </c>
      <c r="AD505">
        <v>4</v>
      </c>
      <c r="AE505">
        <v>2</v>
      </c>
      <c r="AF505" s="2">
        <v>10</v>
      </c>
      <c r="AG505">
        <v>9</v>
      </c>
      <c r="AH505">
        <v>8</v>
      </c>
      <c r="AI505">
        <v>8</v>
      </c>
      <c r="AJ505" s="2" t="str">
        <f>IF(A505 A505 &lt;= 25, "18-25", IF(A505 &lt;=35, "26-35", IF(A505 &lt;=45, "36-45", IF(Table3[[#This Row],[Age]] &lt;=55, "46-55", "56+"))))</f>
        <v>26-35</v>
      </c>
      <c r="AK505" t="str">
        <f t="shared" si="7"/>
        <v>Low</v>
      </c>
      <c r="AL505" s="2" t="str">
        <f>IF(AF505 &lt; 3, "0-2 Years", IF(AF505 &lt;= 5, "3-5 Years", IF(AF505 &lt;= 10, "6-10 Years",IF(Table3[[#This Row],[Years At Company]]&lt;=20, "11-20 Years","20+ Years"))))</f>
        <v>6-10 Years</v>
      </c>
    </row>
    <row r="506" spans="1:38" x14ac:dyDescent="0.25">
      <c r="A506" s="2">
        <v>45</v>
      </c>
      <c r="B506" t="s">
        <v>35</v>
      </c>
      <c r="C506" t="s">
        <v>44</v>
      </c>
      <c r="D506" s="2">
        <v>306</v>
      </c>
      <c r="E506" t="s">
        <v>37</v>
      </c>
      <c r="F506" s="2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 s="2">
        <v>4286</v>
      </c>
      <c r="T506">
        <v>5630</v>
      </c>
      <c r="U506">
        <v>2</v>
      </c>
      <c r="V506" t="s">
        <v>42</v>
      </c>
      <c r="W506" t="s">
        <v>43</v>
      </c>
      <c r="X506" s="2">
        <v>14</v>
      </c>
      <c r="Y506">
        <v>3</v>
      </c>
      <c r="Z506">
        <v>4</v>
      </c>
      <c r="AA506">
        <v>80</v>
      </c>
      <c r="AB506">
        <v>2</v>
      </c>
      <c r="AC506" s="2">
        <v>5</v>
      </c>
      <c r="AD506">
        <v>4</v>
      </c>
      <c r="AE506">
        <v>3</v>
      </c>
      <c r="AF506" s="2">
        <v>1</v>
      </c>
      <c r="AG506">
        <v>1</v>
      </c>
      <c r="AH506">
        <v>0</v>
      </c>
      <c r="AI506">
        <v>0</v>
      </c>
      <c r="AJ506" s="2" t="str">
        <f>IF(A506 A506 &lt;= 25, "18-25", IF(A506 &lt;=35, "26-35", IF(A506 &lt;=45, "36-45", IF(Table3[[#This Row],[Age]] &lt;=55, "46-55", "56+"))))</f>
        <v>36-45</v>
      </c>
      <c r="AK506" t="str">
        <f t="shared" si="7"/>
        <v>Low</v>
      </c>
      <c r="AL506" s="2" t="str">
        <f>IF(AF506 &lt; 3, "0-2 Years", IF(AF506 &lt;= 5, "3-5 Years", IF(AF506 &lt;= 10, "6-10 Years",IF(Table3[[#This Row],[Years At Company]]&lt;=20, "11-20 Years","20+ Years"))))</f>
        <v>0-2 Years</v>
      </c>
    </row>
    <row r="507" spans="1:38" x14ac:dyDescent="0.25">
      <c r="A507" s="2">
        <v>26</v>
      </c>
      <c r="B507" t="s">
        <v>43</v>
      </c>
      <c r="C507" t="s">
        <v>36</v>
      </c>
      <c r="D507" s="2">
        <v>991</v>
      </c>
      <c r="E507" t="s">
        <v>45</v>
      </c>
      <c r="F507" s="2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 s="2">
        <v>2659</v>
      </c>
      <c r="T507">
        <v>17759</v>
      </c>
      <c r="U507">
        <v>1</v>
      </c>
      <c r="V507" t="s">
        <v>42</v>
      </c>
      <c r="W507" t="s">
        <v>35</v>
      </c>
      <c r="X507" s="2">
        <v>13</v>
      </c>
      <c r="Y507">
        <v>3</v>
      </c>
      <c r="Z507">
        <v>3</v>
      </c>
      <c r="AA507">
        <v>80</v>
      </c>
      <c r="AB507">
        <v>1</v>
      </c>
      <c r="AC507" s="2">
        <v>3</v>
      </c>
      <c r="AD507">
        <v>2</v>
      </c>
      <c r="AE507">
        <v>3</v>
      </c>
      <c r="AF507" s="2">
        <v>3</v>
      </c>
      <c r="AG507">
        <v>2</v>
      </c>
      <c r="AH507">
        <v>0</v>
      </c>
      <c r="AI507">
        <v>2</v>
      </c>
      <c r="AJ507" s="2" t="str">
        <f>IF(A507 A507 &lt;= 25, "18-25", IF(A507 &lt;=35, "26-35", IF(A507 &lt;=45, "36-45", IF(Table3[[#This Row],[Age]] &lt;=55, "46-55", "56+"))))</f>
        <v>26-35</v>
      </c>
      <c r="AK507" t="str">
        <f t="shared" si="7"/>
        <v>Low</v>
      </c>
      <c r="AL507" s="2" t="str">
        <f>IF(AF507 &lt; 3, "0-2 Years", IF(AF507 &lt;= 5, "3-5 Years", IF(AF507 &lt;= 10, "6-10 Years",IF(Table3[[#This Row],[Years At Company]]&lt;=20, "11-20 Years","20+ Years"))))</f>
        <v>3-5 Years</v>
      </c>
    </row>
    <row r="508" spans="1:38" x14ac:dyDescent="0.25">
      <c r="A508" s="2">
        <v>37</v>
      </c>
      <c r="B508" t="s">
        <v>43</v>
      </c>
      <c r="C508" t="s">
        <v>36</v>
      </c>
      <c r="D508" s="2">
        <v>482</v>
      </c>
      <c r="E508" t="s">
        <v>45</v>
      </c>
      <c r="F508" s="2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 s="2">
        <v>9434</v>
      </c>
      <c r="T508">
        <v>9606</v>
      </c>
      <c r="U508">
        <v>1</v>
      </c>
      <c r="V508" t="s">
        <v>42</v>
      </c>
      <c r="W508" t="s">
        <v>43</v>
      </c>
      <c r="X508" s="2">
        <v>15</v>
      </c>
      <c r="Y508">
        <v>3</v>
      </c>
      <c r="Z508">
        <v>3</v>
      </c>
      <c r="AA508">
        <v>80</v>
      </c>
      <c r="AB508">
        <v>1</v>
      </c>
      <c r="AC508" s="2">
        <v>10</v>
      </c>
      <c r="AD508">
        <v>2</v>
      </c>
      <c r="AE508">
        <v>3</v>
      </c>
      <c r="AF508" s="2">
        <v>10</v>
      </c>
      <c r="AG508">
        <v>7</v>
      </c>
      <c r="AH508">
        <v>7</v>
      </c>
      <c r="AI508">
        <v>8</v>
      </c>
      <c r="AJ508" s="2" t="str">
        <f>IF(A508 A508 &lt;= 25, "18-25", IF(A508 &lt;=35, "26-35", IF(A508 &lt;=45, "36-45", IF(Table3[[#This Row],[Age]] &lt;=55, "46-55", "56+"))))</f>
        <v>36-45</v>
      </c>
      <c r="AK508" t="str">
        <f t="shared" si="7"/>
        <v>Medium</v>
      </c>
      <c r="AL508" s="2" t="str">
        <f>IF(AF508 &lt; 3, "0-2 Years", IF(AF508 &lt;= 5, "3-5 Years", IF(AF508 &lt;= 10, "6-10 Years",IF(Table3[[#This Row],[Years At Company]]&lt;=20, "11-20 Years","20+ Years"))))</f>
        <v>6-10 Years</v>
      </c>
    </row>
    <row r="509" spans="1:38" x14ac:dyDescent="0.25">
      <c r="A509" s="2">
        <v>29</v>
      </c>
      <c r="B509" t="s">
        <v>43</v>
      </c>
      <c r="C509" t="s">
        <v>36</v>
      </c>
      <c r="D509" s="2">
        <v>1176</v>
      </c>
      <c r="E509" t="s">
        <v>37</v>
      </c>
      <c r="F509" s="2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 s="2">
        <v>5561</v>
      </c>
      <c r="T509">
        <v>3487</v>
      </c>
      <c r="U509">
        <v>1</v>
      </c>
      <c r="V509" t="s">
        <v>42</v>
      </c>
      <c r="W509" t="s">
        <v>43</v>
      </c>
      <c r="X509" s="2">
        <v>14</v>
      </c>
      <c r="Y509">
        <v>3</v>
      </c>
      <c r="Z509">
        <v>1</v>
      </c>
      <c r="AA509">
        <v>80</v>
      </c>
      <c r="AB509">
        <v>1</v>
      </c>
      <c r="AC509" s="2">
        <v>6</v>
      </c>
      <c r="AD509">
        <v>5</v>
      </c>
      <c r="AE509">
        <v>2</v>
      </c>
      <c r="AF509" s="2">
        <v>6</v>
      </c>
      <c r="AG509">
        <v>0</v>
      </c>
      <c r="AH509">
        <v>1</v>
      </c>
      <c r="AI509">
        <v>2</v>
      </c>
      <c r="AJ509" s="2" t="str">
        <f>IF(A509 A509 &lt;= 25, "18-25", IF(A509 &lt;=35, "26-35", IF(A509 &lt;=45, "36-45", IF(Table3[[#This Row],[Age]] &lt;=55, "46-55", "56+"))))</f>
        <v>26-35</v>
      </c>
      <c r="AK509" t="str">
        <f t="shared" si="7"/>
        <v>Medium</v>
      </c>
      <c r="AL509" s="2" t="str">
        <f>IF(AF509 &lt; 3, "0-2 Years", IF(AF509 &lt;= 5, "3-5 Years", IF(AF509 &lt;= 10, "6-10 Years",IF(Table3[[#This Row],[Years At Company]]&lt;=20, "11-20 Years","20+ Years"))))</f>
        <v>6-10 Years</v>
      </c>
    </row>
    <row r="510" spans="1:38" x14ac:dyDescent="0.25">
      <c r="A510" s="2">
        <v>35</v>
      </c>
      <c r="B510" t="s">
        <v>43</v>
      </c>
      <c r="C510" t="s">
        <v>36</v>
      </c>
      <c r="D510" s="2">
        <v>1017</v>
      </c>
      <c r="E510" t="s">
        <v>45</v>
      </c>
      <c r="F510" s="2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 s="2">
        <v>6646</v>
      </c>
      <c r="T510">
        <v>19368</v>
      </c>
      <c r="U510">
        <v>1</v>
      </c>
      <c r="V510" t="s">
        <v>42</v>
      </c>
      <c r="W510" t="s">
        <v>43</v>
      </c>
      <c r="X510" s="2">
        <v>13</v>
      </c>
      <c r="Y510">
        <v>3</v>
      </c>
      <c r="Z510">
        <v>2</v>
      </c>
      <c r="AA510">
        <v>80</v>
      </c>
      <c r="AB510">
        <v>0</v>
      </c>
      <c r="AC510" s="2">
        <v>17</v>
      </c>
      <c r="AD510">
        <v>3</v>
      </c>
      <c r="AE510">
        <v>3</v>
      </c>
      <c r="AF510" s="2">
        <v>17</v>
      </c>
      <c r="AG510">
        <v>11</v>
      </c>
      <c r="AH510">
        <v>11</v>
      </c>
      <c r="AI510">
        <v>8</v>
      </c>
      <c r="AJ510" s="2" t="str">
        <f>IF(A510 A510 &lt;= 25, "18-25", IF(A510 &lt;=35, "26-35", IF(A510 &lt;=45, "36-45", IF(Table3[[#This Row],[Age]] &lt;=55, "46-55", "56+"))))</f>
        <v>26-35</v>
      </c>
      <c r="AK510" t="str">
        <f t="shared" si="7"/>
        <v>Medium</v>
      </c>
      <c r="AL510" s="2" t="str">
        <f>IF(AF510 &lt; 3, "0-2 Years", IF(AF510 &lt;= 5, "3-5 Years", IF(AF510 &lt;= 10, "6-10 Years",IF(Table3[[#This Row],[Years At Company]]&lt;=20, "11-20 Years","20+ Years"))))</f>
        <v>11-20 Years</v>
      </c>
    </row>
    <row r="511" spans="1:38" x14ac:dyDescent="0.25">
      <c r="A511" s="2">
        <v>33</v>
      </c>
      <c r="B511" t="s">
        <v>43</v>
      </c>
      <c r="C511" t="s">
        <v>44</v>
      </c>
      <c r="D511" s="2">
        <v>1296</v>
      </c>
      <c r="E511" t="s">
        <v>45</v>
      </c>
      <c r="F511" s="2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 s="2">
        <v>7725</v>
      </c>
      <c r="T511">
        <v>5335</v>
      </c>
      <c r="U511">
        <v>3</v>
      </c>
      <c r="V511" t="s">
        <v>42</v>
      </c>
      <c r="W511" t="s">
        <v>43</v>
      </c>
      <c r="X511" s="2">
        <v>23</v>
      </c>
      <c r="Y511">
        <v>4</v>
      </c>
      <c r="Z511">
        <v>3</v>
      </c>
      <c r="AA511">
        <v>80</v>
      </c>
      <c r="AB511">
        <v>1</v>
      </c>
      <c r="AC511" s="2">
        <v>15</v>
      </c>
      <c r="AD511">
        <v>2</v>
      </c>
      <c r="AE511">
        <v>1</v>
      </c>
      <c r="AF511" s="2">
        <v>13</v>
      </c>
      <c r="AG511">
        <v>11</v>
      </c>
      <c r="AH511">
        <v>4</v>
      </c>
      <c r="AI511">
        <v>7</v>
      </c>
      <c r="AJ511" s="2" t="str">
        <f>IF(A511 A511 &lt;= 25, "18-25", IF(A511 &lt;=35, "26-35", IF(A511 &lt;=45, "36-45", IF(Table3[[#This Row],[Age]] &lt;=55, "46-55", "56+"))))</f>
        <v>26-35</v>
      </c>
      <c r="AK511" t="str">
        <f t="shared" si="7"/>
        <v>Medium</v>
      </c>
      <c r="AL511" s="2" t="str">
        <f>IF(AF511 &lt; 3, "0-2 Years", IF(AF511 &lt;= 5, "3-5 Years", IF(AF511 &lt;= 10, "6-10 Years",IF(Table3[[#This Row],[Years At Company]]&lt;=20, "11-20 Years","20+ Years"))))</f>
        <v>11-20 Years</v>
      </c>
    </row>
    <row r="512" spans="1:38" x14ac:dyDescent="0.25">
      <c r="A512" s="2">
        <v>54</v>
      </c>
      <c r="B512" t="s">
        <v>43</v>
      </c>
      <c r="C512" t="s">
        <v>36</v>
      </c>
      <c r="D512" s="2">
        <v>397</v>
      </c>
      <c r="E512" t="s">
        <v>61</v>
      </c>
      <c r="F512" s="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 s="2">
        <v>10725</v>
      </c>
      <c r="T512">
        <v>6729</v>
      </c>
      <c r="U512">
        <v>2</v>
      </c>
      <c r="V512" t="s">
        <v>42</v>
      </c>
      <c r="W512" t="s">
        <v>43</v>
      </c>
      <c r="X512" s="2">
        <v>15</v>
      </c>
      <c r="Y512">
        <v>3</v>
      </c>
      <c r="Z512">
        <v>3</v>
      </c>
      <c r="AA512">
        <v>80</v>
      </c>
      <c r="AB512">
        <v>1</v>
      </c>
      <c r="AC512" s="2">
        <v>16</v>
      </c>
      <c r="AD512">
        <v>1</v>
      </c>
      <c r="AE512">
        <v>4</v>
      </c>
      <c r="AF512" s="2">
        <v>9</v>
      </c>
      <c r="AG512">
        <v>7</v>
      </c>
      <c r="AH512">
        <v>7</v>
      </c>
      <c r="AI512">
        <v>1</v>
      </c>
      <c r="AJ512" s="2" t="str">
        <f>IF(A512 A512 &lt;= 25, "18-25", IF(A512 &lt;=35, "26-35", IF(A512 &lt;=45, "36-45", IF(Table3[[#This Row],[Age]] &lt;=55, "46-55", "56+"))))</f>
        <v>46-55</v>
      </c>
      <c r="AK512" t="str">
        <f t="shared" si="7"/>
        <v>High</v>
      </c>
      <c r="AL512" s="2" t="str">
        <f>IF(AF512 &lt; 3, "0-2 Years", IF(AF512 &lt;= 5, "3-5 Years", IF(AF512 &lt;= 10, "6-10 Years",IF(Table3[[#This Row],[Years At Company]]&lt;=20, "11-20 Years","20+ Years"))))</f>
        <v>6-10 Years</v>
      </c>
    </row>
    <row r="513" spans="1:38" x14ac:dyDescent="0.25">
      <c r="A513" s="2">
        <v>36</v>
      </c>
      <c r="B513" t="s">
        <v>43</v>
      </c>
      <c r="C513" t="s">
        <v>36</v>
      </c>
      <c r="D513" s="2">
        <v>913</v>
      </c>
      <c r="E513" t="s">
        <v>45</v>
      </c>
      <c r="F513" s="2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 s="2">
        <v>8847</v>
      </c>
      <c r="T513">
        <v>13934</v>
      </c>
      <c r="U513">
        <v>2</v>
      </c>
      <c r="V513" t="s">
        <v>42</v>
      </c>
      <c r="W513" t="s">
        <v>35</v>
      </c>
      <c r="X513" s="2">
        <v>11</v>
      </c>
      <c r="Y513">
        <v>3</v>
      </c>
      <c r="Z513">
        <v>3</v>
      </c>
      <c r="AA513">
        <v>80</v>
      </c>
      <c r="AB513">
        <v>1</v>
      </c>
      <c r="AC513" s="2">
        <v>13</v>
      </c>
      <c r="AD513">
        <v>2</v>
      </c>
      <c r="AE513">
        <v>3</v>
      </c>
      <c r="AF513" s="2">
        <v>3</v>
      </c>
      <c r="AG513">
        <v>2</v>
      </c>
      <c r="AH513">
        <v>0</v>
      </c>
      <c r="AI513">
        <v>2</v>
      </c>
      <c r="AJ513" s="2" t="str">
        <f>IF(A513 A513 &lt;= 25, "18-25", IF(A513 &lt;=35, "26-35", IF(A513 &lt;=45, "36-45", IF(Table3[[#This Row],[Age]] &lt;=55, "46-55", "56+"))))</f>
        <v>36-45</v>
      </c>
      <c r="AK513" t="str">
        <f t="shared" si="7"/>
        <v>Medium</v>
      </c>
      <c r="AL513" s="2" t="str">
        <f>IF(AF513 &lt; 3, "0-2 Years", IF(AF513 &lt;= 5, "3-5 Years", IF(AF513 &lt;= 10, "6-10 Years",IF(Table3[[#This Row],[Years At Company]]&lt;=20, "11-20 Years","20+ Years"))))</f>
        <v>3-5 Years</v>
      </c>
    </row>
    <row r="514" spans="1:38" x14ac:dyDescent="0.25">
      <c r="A514" s="2">
        <v>27</v>
      </c>
      <c r="B514" t="s">
        <v>43</v>
      </c>
      <c r="C514" t="s">
        <v>36</v>
      </c>
      <c r="D514" s="2">
        <v>1115</v>
      </c>
      <c r="E514" t="s">
        <v>45</v>
      </c>
      <c r="F514" s="2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 s="2">
        <v>2045</v>
      </c>
      <c r="T514">
        <v>15174</v>
      </c>
      <c r="U514">
        <v>0</v>
      </c>
      <c r="V514" t="s">
        <v>42</v>
      </c>
      <c r="W514" t="s">
        <v>43</v>
      </c>
      <c r="X514" s="2">
        <v>13</v>
      </c>
      <c r="Y514">
        <v>3</v>
      </c>
      <c r="Z514">
        <v>4</v>
      </c>
      <c r="AA514">
        <v>80</v>
      </c>
      <c r="AB514">
        <v>0</v>
      </c>
      <c r="AC514" s="2">
        <v>5</v>
      </c>
      <c r="AD514">
        <v>0</v>
      </c>
      <c r="AE514">
        <v>3</v>
      </c>
      <c r="AF514" s="2">
        <v>4</v>
      </c>
      <c r="AG514">
        <v>2</v>
      </c>
      <c r="AH514">
        <v>1</v>
      </c>
      <c r="AI514">
        <v>1</v>
      </c>
      <c r="AJ514" s="2" t="str">
        <f>IF(A514 A514 &lt;= 25, "18-25", IF(A514 &lt;=35, "26-35", IF(A514 &lt;=45, "36-45", IF(Table3[[#This Row],[Age]] &lt;=55, "46-55", "56+"))))</f>
        <v>26-35</v>
      </c>
      <c r="AK514" t="str">
        <f t="shared" ref="AK514:AK577" si="8">IF(S514 &lt; 5000, "Low",IF(S514 &lt;=9999, "Medium", "High"))</f>
        <v>Low</v>
      </c>
      <c r="AL514" s="2" t="str">
        <f>IF(AF514 &lt; 3, "0-2 Years", IF(AF514 &lt;= 5, "3-5 Years", IF(AF514 &lt;= 10, "6-10 Years",IF(Table3[[#This Row],[Years At Company]]&lt;=20, "11-20 Years","20+ Years"))))</f>
        <v>3-5 Years</v>
      </c>
    </row>
    <row r="515" spans="1:38" x14ac:dyDescent="0.25">
      <c r="A515" s="2">
        <v>20</v>
      </c>
      <c r="B515" t="s">
        <v>35</v>
      </c>
      <c r="C515" t="s">
        <v>36</v>
      </c>
      <c r="D515" s="2">
        <v>1362</v>
      </c>
      <c r="E515" t="s">
        <v>45</v>
      </c>
      <c r="F515" s="2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 s="2">
        <v>1009</v>
      </c>
      <c r="T515">
        <v>26999</v>
      </c>
      <c r="U515">
        <v>1</v>
      </c>
      <c r="V515" t="s">
        <v>42</v>
      </c>
      <c r="W515" t="s">
        <v>35</v>
      </c>
      <c r="X515" s="2">
        <v>11</v>
      </c>
      <c r="Y515">
        <v>3</v>
      </c>
      <c r="Z515">
        <v>4</v>
      </c>
      <c r="AA515">
        <v>80</v>
      </c>
      <c r="AB515">
        <v>0</v>
      </c>
      <c r="AC515" s="2">
        <v>1</v>
      </c>
      <c r="AD515">
        <v>5</v>
      </c>
      <c r="AE515">
        <v>3</v>
      </c>
      <c r="AF515" s="2">
        <v>1</v>
      </c>
      <c r="AG515">
        <v>0</v>
      </c>
      <c r="AH515">
        <v>1</v>
      </c>
      <c r="AI515">
        <v>1</v>
      </c>
      <c r="AJ515" s="2" t="str">
        <f>IF(A515 A515 &lt;= 25, "18-25", IF(A515 &lt;=35, "26-35", IF(A515 &lt;=45, "36-45", IF(Table3[[#This Row],[Age]] &lt;=55, "46-55", "56+"))))</f>
        <v>18-25</v>
      </c>
      <c r="AK515" t="str">
        <f t="shared" si="8"/>
        <v>Low</v>
      </c>
      <c r="AL515" s="2" t="str">
        <f>IF(AF515 &lt; 3, "0-2 Years", IF(AF515 &lt;= 5, "3-5 Years", IF(AF515 &lt;= 10, "6-10 Years",IF(Table3[[#This Row],[Years At Company]]&lt;=20, "11-20 Years","20+ Years"))))</f>
        <v>0-2 Years</v>
      </c>
    </row>
    <row r="516" spans="1:38" x14ac:dyDescent="0.25">
      <c r="A516" s="2">
        <v>33</v>
      </c>
      <c r="B516" t="s">
        <v>35</v>
      </c>
      <c r="C516" t="s">
        <v>44</v>
      </c>
      <c r="D516" s="2">
        <v>1076</v>
      </c>
      <c r="E516" t="s">
        <v>45</v>
      </c>
      <c r="F516" s="2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 s="2">
        <v>3348</v>
      </c>
      <c r="T516">
        <v>3164</v>
      </c>
      <c r="U516">
        <v>1</v>
      </c>
      <c r="V516" t="s">
        <v>42</v>
      </c>
      <c r="W516" t="s">
        <v>35</v>
      </c>
      <c r="X516" s="2">
        <v>11</v>
      </c>
      <c r="Y516">
        <v>3</v>
      </c>
      <c r="Z516">
        <v>1</v>
      </c>
      <c r="AA516">
        <v>80</v>
      </c>
      <c r="AB516">
        <v>0</v>
      </c>
      <c r="AC516" s="2">
        <v>10</v>
      </c>
      <c r="AD516">
        <v>3</v>
      </c>
      <c r="AE516">
        <v>3</v>
      </c>
      <c r="AF516" s="2">
        <v>10</v>
      </c>
      <c r="AG516">
        <v>8</v>
      </c>
      <c r="AH516">
        <v>9</v>
      </c>
      <c r="AI516">
        <v>7</v>
      </c>
      <c r="AJ516" s="2" t="str">
        <f>IF(A516 A516 &lt;= 25, "18-25", IF(A516 &lt;=35, "26-35", IF(A516 &lt;=45, "36-45", IF(Table3[[#This Row],[Age]] &lt;=55, "46-55", "56+"))))</f>
        <v>26-35</v>
      </c>
      <c r="AK516" t="str">
        <f t="shared" si="8"/>
        <v>Low</v>
      </c>
      <c r="AL516" s="2" t="str">
        <f>IF(AF516 &lt; 3, "0-2 Years", IF(AF516 &lt;= 5, "3-5 Years", IF(AF516 &lt;= 10, "6-10 Years",IF(Table3[[#This Row],[Years At Company]]&lt;=20, "11-20 Years","20+ Years"))))</f>
        <v>6-10 Years</v>
      </c>
    </row>
    <row r="517" spans="1:38" x14ac:dyDescent="0.25">
      <c r="A517" s="2">
        <v>35</v>
      </c>
      <c r="B517" t="s">
        <v>43</v>
      </c>
      <c r="C517" t="s">
        <v>55</v>
      </c>
      <c r="D517" s="2">
        <v>727</v>
      </c>
      <c r="E517" t="s">
        <v>45</v>
      </c>
      <c r="F517" s="2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 s="2">
        <v>1281</v>
      </c>
      <c r="T517">
        <v>16900</v>
      </c>
      <c r="U517">
        <v>1</v>
      </c>
      <c r="V517" t="s">
        <v>42</v>
      </c>
      <c r="W517" t="s">
        <v>43</v>
      </c>
      <c r="X517" s="2">
        <v>18</v>
      </c>
      <c r="Y517">
        <v>3</v>
      </c>
      <c r="Z517">
        <v>3</v>
      </c>
      <c r="AA517">
        <v>80</v>
      </c>
      <c r="AB517">
        <v>2</v>
      </c>
      <c r="AC517" s="2">
        <v>1</v>
      </c>
      <c r="AD517">
        <v>3</v>
      </c>
      <c r="AE517">
        <v>3</v>
      </c>
      <c r="AF517" s="2">
        <v>1</v>
      </c>
      <c r="AG517">
        <v>0</v>
      </c>
      <c r="AH517">
        <v>0</v>
      </c>
      <c r="AI517">
        <v>0</v>
      </c>
      <c r="AJ517" s="2" t="str">
        <f>IF(A517 A517 &lt;= 25, "18-25", IF(A517 &lt;=35, "26-35", IF(A517 &lt;=45, "36-45", IF(Table3[[#This Row],[Age]] &lt;=55, "46-55", "56+"))))</f>
        <v>26-35</v>
      </c>
      <c r="AK517" t="str">
        <f t="shared" si="8"/>
        <v>Low</v>
      </c>
      <c r="AL517" s="2" t="str">
        <f>IF(AF517 &lt; 3, "0-2 Years", IF(AF517 &lt;= 5, "3-5 Years", IF(AF517 &lt;= 10, "6-10 Years",IF(Table3[[#This Row],[Years At Company]]&lt;=20, "11-20 Years","20+ Years"))))</f>
        <v>0-2 Years</v>
      </c>
    </row>
    <row r="518" spans="1:38" x14ac:dyDescent="0.25">
      <c r="A518" s="2">
        <v>23</v>
      </c>
      <c r="B518" t="s">
        <v>43</v>
      </c>
      <c r="C518" t="s">
        <v>36</v>
      </c>
      <c r="D518" s="2">
        <v>885</v>
      </c>
      <c r="E518" t="s">
        <v>45</v>
      </c>
      <c r="F518" s="2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 s="2">
        <v>2819</v>
      </c>
      <c r="T518">
        <v>8544</v>
      </c>
      <c r="U518">
        <v>2</v>
      </c>
      <c r="V518" t="s">
        <v>42</v>
      </c>
      <c r="W518" t="s">
        <v>43</v>
      </c>
      <c r="X518" s="2">
        <v>16</v>
      </c>
      <c r="Y518">
        <v>3</v>
      </c>
      <c r="Z518">
        <v>1</v>
      </c>
      <c r="AA518">
        <v>80</v>
      </c>
      <c r="AB518">
        <v>1</v>
      </c>
      <c r="AC518" s="2">
        <v>5</v>
      </c>
      <c r="AD518">
        <v>3</v>
      </c>
      <c r="AE518">
        <v>4</v>
      </c>
      <c r="AF518" s="2">
        <v>3</v>
      </c>
      <c r="AG518">
        <v>2</v>
      </c>
      <c r="AH518">
        <v>0</v>
      </c>
      <c r="AI518">
        <v>2</v>
      </c>
      <c r="AJ518" s="2" t="str">
        <f>IF(A518 A518 &lt;= 25, "18-25", IF(A518 &lt;=35, "26-35", IF(A518 &lt;=45, "36-45", IF(Table3[[#This Row],[Age]] &lt;=55, "46-55", "56+"))))</f>
        <v>18-25</v>
      </c>
      <c r="AK518" t="str">
        <f t="shared" si="8"/>
        <v>Low</v>
      </c>
      <c r="AL518" s="2" t="str">
        <f>IF(AF518 &lt; 3, "0-2 Years", IF(AF518 &lt;= 5, "3-5 Years", IF(AF518 &lt;= 10, "6-10 Years",IF(Table3[[#This Row],[Years At Company]]&lt;=20, "11-20 Years","20+ Years"))))</f>
        <v>3-5 Years</v>
      </c>
    </row>
    <row r="519" spans="1:38" x14ac:dyDescent="0.25">
      <c r="A519" s="2">
        <v>25</v>
      </c>
      <c r="B519" t="s">
        <v>43</v>
      </c>
      <c r="C519" t="s">
        <v>36</v>
      </c>
      <c r="D519" s="2">
        <v>810</v>
      </c>
      <c r="E519" t="s">
        <v>37</v>
      </c>
      <c r="F519" s="2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 s="2">
        <v>4851</v>
      </c>
      <c r="T519">
        <v>15678</v>
      </c>
      <c r="U519">
        <v>0</v>
      </c>
      <c r="V519" t="s">
        <v>42</v>
      </c>
      <c r="W519" t="s">
        <v>43</v>
      </c>
      <c r="X519" s="2">
        <v>22</v>
      </c>
      <c r="Y519">
        <v>4</v>
      </c>
      <c r="Z519">
        <v>3</v>
      </c>
      <c r="AA519">
        <v>80</v>
      </c>
      <c r="AB519">
        <v>1</v>
      </c>
      <c r="AC519" s="2">
        <v>4</v>
      </c>
      <c r="AD519">
        <v>4</v>
      </c>
      <c r="AE519">
        <v>3</v>
      </c>
      <c r="AF519" s="2">
        <v>3</v>
      </c>
      <c r="AG519">
        <v>2</v>
      </c>
      <c r="AH519">
        <v>1</v>
      </c>
      <c r="AI519">
        <v>2</v>
      </c>
      <c r="AJ519" s="2" t="str">
        <f>IF(A519 A519 &lt;= 25, "18-25", IF(A519 &lt;=35, "26-35", IF(A519 &lt;=45, "36-45", IF(Table3[[#This Row],[Age]] &lt;=55, "46-55", "56+"))))</f>
        <v>18-25</v>
      </c>
      <c r="AK519" t="str">
        <f t="shared" si="8"/>
        <v>Low</v>
      </c>
      <c r="AL519" s="2" t="str">
        <f>IF(AF519 &lt; 3, "0-2 Years", IF(AF519 &lt;= 5, "3-5 Years", IF(AF519 &lt;= 10, "6-10 Years",IF(Table3[[#This Row],[Years At Company]]&lt;=20, "11-20 Years","20+ Years"))))</f>
        <v>3-5 Years</v>
      </c>
    </row>
    <row r="520" spans="1:38" x14ac:dyDescent="0.25">
      <c r="A520" s="2">
        <v>38</v>
      </c>
      <c r="B520" t="s">
        <v>43</v>
      </c>
      <c r="C520" t="s">
        <v>36</v>
      </c>
      <c r="D520" s="2">
        <v>243</v>
      </c>
      <c r="E520" t="s">
        <v>37</v>
      </c>
      <c r="F520" s="2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 s="2">
        <v>4028</v>
      </c>
      <c r="T520">
        <v>7791</v>
      </c>
      <c r="U520">
        <v>0</v>
      </c>
      <c r="V520" t="s">
        <v>42</v>
      </c>
      <c r="W520" t="s">
        <v>43</v>
      </c>
      <c r="X520" s="2">
        <v>20</v>
      </c>
      <c r="Y520">
        <v>4</v>
      </c>
      <c r="Z520">
        <v>1</v>
      </c>
      <c r="AA520">
        <v>80</v>
      </c>
      <c r="AB520">
        <v>0</v>
      </c>
      <c r="AC520" s="2">
        <v>8</v>
      </c>
      <c r="AD520">
        <v>2</v>
      </c>
      <c r="AE520">
        <v>3</v>
      </c>
      <c r="AF520" s="2">
        <v>7</v>
      </c>
      <c r="AG520">
        <v>7</v>
      </c>
      <c r="AH520">
        <v>0</v>
      </c>
      <c r="AI520">
        <v>5</v>
      </c>
      <c r="AJ520" s="2" t="str">
        <f>IF(A520 A520 &lt;= 25, "18-25", IF(A520 &lt;=35, "26-35", IF(A520 &lt;=45, "36-45", IF(Table3[[#This Row],[Age]] &lt;=55, "46-55", "56+"))))</f>
        <v>36-45</v>
      </c>
      <c r="AK520" t="str">
        <f t="shared" si="8"/>
        <v>Low</v>
      </c>
      <c r="AL520" s="2" t="str">
        <f>IF(AF520 &lt; 3, "0-2 Years", IF(AF520 &lt;= 5, "3-5 Years", IF(AF520 &lt;= 10, "6-10 Years",IF(Table3[[#This Row],[Years At Company]]&lt;=20, "11-20 Years","20+ Years"))))</f>
        <v>6-10 Years</v>
      </c>
    </row>
    <row r="521" spans="1:38" x14ac:dyDescent="0.25">
      <c r="A521" s="2">
        <v>29</v>
      </c>
      <c r="B521" t="s">
        <v>43</v>
      </c>
      <c r="C521" t="s">
        <v>44</v>
      </c>
      <c r="D521" s="2">
        <v>806</v>
      </c>
      <c r="E521" t="s">
        <v>45</v>
      </c>
      <c r="F521" s="2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 s="2">
        <v>2720</v>
      </c>
      <c r="T521">
        <v>18959</v>
      </c>
      <c r="U521">
        <v>1</v>
      </c>
      <c r="V521" t="s">
        <v>42</v>
      </c>
      <c r="W521" t="s">
        <v>43</v>
      </c>
      <c r="X521" s="2">
        <v>18</v>
      </c>
      <c r="Y521">
        <v>3</v>
      </c>
      <c r="Z521">
        <v>4</v>
      </c>
      <c r="AA521">
        <v>80</v>
      </c>
      <c r="AB521">
        <v>1</v>
      </c>
      <c r="AC521" s="2">
        <v>10</v>
      </c>
      <c r="AD521">
        <v>5</v>
      </c>
      <c r="AE521">
        <v>3</v>
      </c>
      <c r="AF521" s="2">
        <v>10</v>
      </c>
      <c r="AG521">
        <v>7</v>
      </c>
      <c r="AH521">
        <v>2</v>
      </c>
      <c r="AI521">
        <v>8</v>
      </c>
      <c r="AJ521" s="2" t="str">
        <f>IF(A521 A521 &lt;= 25, "18-25", IF(A521 &lt;=35, "26-35", IF(A521 &lt;=45, "36-45", IF(Table3[[#This Row],[Age]] &lt;=55, "46-55", "56+"))))</f>
        <v>26-35</v>
      </c>
      <c r="AK521" t="str">
        <f t="shared" si="8"/>
        <v>Low</v>
      </c>
      <c r="AL521" s="2" t="str">
        <f>IF(AF521 &lt; 3, "0-2 Years", IF(AF521 &lt;= 5, "3-5 Years", IF(AF521 &lt;= 10, "6-10 Years",IF(Table3[[#This Row],[Years At Company]]&lt;=20, "11-20 Years","20+ Years"))))</f>
        <v>6-10 Years</v>
      </c>
    </row>
    <row r="522" spans="1:38" x14ac:dyDescent="0.25">
      <c r="A522" s="2">
        <v>48</v>
      </c>
      <c r="B522" t="s">
        <v>43</v>
      </c>
      <c r="C522" t="s">
        <v>36</v>
      </c>
      <c r="D522" s="2">
        <v>817</v>
      </c>
      <c r="E522" t="s">
        <v>37</v>
      </c>
      <c r="F522" s="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 s="2">
        <v>8120</v>
      </c>
      <c r="T522">
        <v>18597</v>
      </c>
      <c r="U522">
        <v>3</v>
      </c>
      <c r="V522" t="s">
        <v>42</v>
      </c>
      <c r="W522" t="s">
        <v>43</v>
      </c>
      <c r="X522" s="2">
        <v>12</v>
      </c>
      <c r="Y522">
        <v>3</v>
      </c>
      <c r="Z522">
        <v>4</v>
      </c>
      <c r="AA522">
        <v>80</v>
      </c>
      <c r="AB522">
        <v>0</v>
      </c>
      <c r="AC522" s="2">
        <v>12</v>
      </c>
      <c r="AD522">
        <v>3</v>
      </c>
      <c r="AE522">
        <v>3</v>
      </c>
      <c r="AF522" s="2">
        <v>2</v>
      </c>
      <c r="AG522">
        <v>2</v>
      </c>
      <c r="AH522">
        <v>2</v>
      </c>
      <c r="AI522">
        <v>2</v>
      </c>
      <c r="AJ522" s="2" t="str">
        <f>IF(A522 A522 &lt;= 25, "18-25", IF(A522 &lt;=35, "26-35", IF(A522 &lt;=45, "36-45", IF(Table3[[#This Row],[Age]] &lt;=55, "46-55", "56+"))))</f>
        <v>46-55</v>
      </c>
      <c r="AK522" t="str">
        <f t="shared" si="8"/>
        <v>Medium</v>
      </c>
      <c r="AL522" s="2" t="str">
        <f>IF(AF522 &lt; 3, "0-2 Years", IF(AF522 &lt;= 5, "3-5 Years", IF(AF522 &lt;= 10, "6-10 Years",IF(Table3[[#This Row],[Years At Company]]&lt;=20, "11-20 Years","20+ Years"))))</f>
        <v>0-2 Years</v>
      </c>
    </row>
    <row r="523" spans="1:38" x14ac:dyDescent="0.25">
      <c r="A523" s="2">
        <v>27</v>
      </c>
      <c r="B523" t="s">
        <v>43</v>
      </c>
      <c r="C523" t="s">
        <v>44</v>
      </c>
      <c r="D523" s="2">
        <v>1410</v>
      </c>
      <c r="E523" t="s">
        <v>37</v>
      </c>
      <c r="F523" s="2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 s="2">
        <v>4647</v>
      </c>
      <c r="T523">
        <v>16673</v>
      </c>
      <c r="U523">
        <v>1</v>
      </c>
      <c r="V523" t="s">
        <v>42</v>
      </c>
      <c r="W523" t="s">
        <v>35</v>
      </c>
      <c r="X523" s="2">
        <v>20</v>
      </c>
      <c r="Y523">
        <v>4</v>
      </c>
      <c r="Z523">
        <v>2</v>
      </c>
      <c r="AA523">
        <v>80</v>
      </c>
      <c r="AB523">
        <v>2</v>
      </c>
      <c r="AC523" s="2">
        <v>6</v>
      </c>
      <c r="AD523">
        <v>3</v>
      </c>
      <c r="AE523">
        <v>3</v>
      </c>
      <c r="AF523" s="2">
        <v>6</v>
      </c>
      <c r="AG523">
        <v>5</v>
      </c>
      <c r="AH523">
        <v>0</v>
      </c>
      <c r="AI523">
        <v>4</v>
      </c>
      <c r="AJ523" s="2" t="str">
        <f>IF(A523 A523 &lt;= 25, "18-25", IF(A523 &lt;=35, "26-35", IF(A523 &lt;=45, "36-45", IF(Table3[[#This Row],[Age]] &lt;=55, "46-55", "56+"))))</f>
        <v>26-35</v>
      </c>
      <c r="AK523" t="str">
        <f t="shared" si="8"/>
        <v>Low</v>
      </c>
      <c r="AL523" s="2" t="str">
        <f>IF(AF523 &lt; 3, "0-2 Years", IF(AF523 &lt;= 5, "3-5 Years", IF(AF523 &lt;= 10, "6-10 Years",IF(Table3[[#This Row],[Years At Company]]&lt;=20, "11-20 Years","20+ Years"))))</f>
        <v>6-10 Years</v>
      </c>
    </row>
    <row r="524" spans="1:38" x14ac:dyDescent="0.25">
      <c r="A524" s="2">
        <v>37</v>
      </c>
      <c r="B524" t="s">
        <v>43</v>
      </c>
      <c r="C524" t="s">
        <v>36</v>
      </c>
      <c r="D524" s="2">
        <v>1225</v>
      </c>
      <c r="E524" t="s">
        <v>45</v>
      </c>
      <c r="F524" s="2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 s="2">
        <v>4680</v>
      </c>
      <c r="T524">
        <v>15232</v>
      </c>
      <c r="U524">
        <v>3</v>
      </c>
      <c r="V524" t="s">
        <v>42</v>
      </c>
      <c r="W524" t="s">
        <v>43</v>
      </c>
      <c r="X524" s="2">
        <v>17</v>
      </c>
      <c r="Y524">
        <v>3</v>
      </c>
      <c r="Z524">
        <v>1</v>
      </c>
      <c r="AA524">
        <v>80</v>
      </c>
      <c r="AB524">
        <v>0</v>
      </c>
      <c r="AC524" s="2">
        <v>4</v>
      </c>
      <c r="AD524">
        <v>2</v>
      </c>
      <c r="AE524">
        <v>3</v>
      </c>
      <c r="AF524" s="2">
        <v>1</v>
      </c>
      <c r="AG524">
        <v>0</v>
      </c>
      <c r="AH524">
        <v>0</v>
      </c>
      <c r="AI524">
        <v>0</v>
      </c>
      <c r="AJ524" s="2" t="str">
        <f>IF(A524 A524 &lt;= 25, "18-25", IF(A524 &lt;=35, "26-35", IF(A524 &lt;=45, "36-45", IF(Table3[[#This Row],[Age]] &lt;=55, "46-55", "56+"))))</f>
        <v>36-45</v>
      </c>
      <c r="AK524" t="str">
        <f t="shared" si="8"/>
        <v>Low</v>
      </c>
      <c r="AL524" s="2" t="str">
        <f>IF(AF524 &lt; 3, "0-2 Years", IF(AF524 &lt;= 5, "3-5 Years", IF(AF524 &lt;= 10, "6-10 Years",IF(Table3[[#This Row],[Years At Company]]&lt;=20, "11-20 Years","20+ Years"))))</f>
        <v>0-2 Years</v>
      </c>
    </row>
    <row r="525" spans="1:38" x14ac:dyDescent="0.25">
      <c r="A525" s="2">
        <v>50</v>
      </c>
      <c r="B525" t="s">
        <v>43</v>
      </c>
      <c r="C525" t="s">
        <v>36</v>
      </c>
      <c r="D525" s="2">
        <v>1207</v>
      </c>
      <c r="E525" t="s">
        <v>45</v>
      </c>
      <c r="F525" s="2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 s="2">
        <v>3221</v>
      </c>
      <c r="T525">
        <v>3297</v>
      </c>
      <c r="U525">
        <v>1</v>
      </c>
      <c r="V525" t="s">
        <v>42</v>
      </c>
      <c r="W525" t="s">
        <v>35</v>
      </c>
      <c r="X525" s="2">
        <v>11</v>
      </c>
      <c r="Y525">
        <v>3</v>
      </c>
      <c r="Z525">
        <v>3</v>
      </c>
      <c r="AA525">
        <v>80</v>
      </c>
      <c r="AB525">
        <v>3</v>
      </c>
      <c r="AC525" s="2">
        <v>20</v>
      </c>
      <c r="AD525">
        <v>3</v>
      </c>
      <c r="AE525">
        <v>3</v>
      </c>
      <c r="AF525" s="2">
        <v>20</v>
      </c>
      <c r="AG525">
        <v>8</v>
      </c>
      <c r="AH525">
        <v>3</v>
      </c>
      <c r="AI525">
        <v>8</v>
      </c>
      <c r="AJ525" s="2" t="str">
        <f>IF(A525 A525 &lt;= 25, "18-25", IF(A525 &lt;=35, "26-35", IF(A525 &lt;=45, "36-45", IF(Table3[[#This Row],[Age]] &lt;=55, "46-55", "56+"))))</f>
        <v>46-55</v>
      </c>
      <c r="AK525" t="str">
        <f t="shared" si="8"/>
        <v>Low</v>
      </c>
      <c r="AL525" s="2" t="str">
        <f>IF(AF525 &lt; 3, "0-2 Years", IF(AF525 &lt;= 5, "3-5 Years", IF(AF525 &lt;= 10, "6-10 Years",IF(Table3[[#This Row],[Years At Company]]&lt;=20, "11-20 Years","20+ Years"))))</f>
        <v>11-20 Years</v>
      </c>
    </row>
    <row r="526" spans="1:38" x14ac:dyDescent="0.25">
      <c r="A526" s="2">
        <v>34</v>
      </c>
      <c r="B526" t="s">
        <v>43</v>
      </c>
      <c r="C526" t="s">
        <v>36</v>
      </c>
      <c r="D526" s="2">
        <v>1442</v>
      </c>
      <c r="E526" t="s">
        <v>45</v>
      </c>
      <c r="F526" s="2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 s="2">
        <v>8621</v>
      </c>
      <c r="T526">
        <v>17654</v>
      </c>
      <c r="U526">
        <v>1</v>
      </c>
      <c r="V526" t="s">
        <v>42</v>
      </c>
      <c r="W526" t="s">
        <v>43</v>
      </c>
      <c r="X526" s="2">
        <v>14</v>
      </c>
      <c r="Y526">
        <v>3</v>
      </c>
      <c r="Z526">
        <v>2</v>
      </c>
      <c r="AA526">
        <v>80</v>
      </c>
      <c r="AB526">
        <v>0</v>
      </c>
      <c r="AC526" s="2">
        <v>9</v>
      </c>
      <c r="AD526">
        <v>3</v>
      </c>
      <c r="AE526">
        <v>4</v>
      </c>
      <c r="AF526" s="2">
        <v>8</v>
      </c>
      <c r="AG526">
        <v>7</v>
      </c>
      <c r="AH526">
        <v>7</v>
      </c>
      <c r="AI526">
        <v>7</v>
      </c>
      <c r="AJ526" s="2" t="str">
        <f>IF(A526 A526 &lt;= 25, "18-25", IF(A526 &lt;=35, "26-35", IF(A526 &lt;=45, "36-45", IF(Table3[[#This Row],[Age]] &lt;=55, "46-55", "56+"))))</f>
        <v>26-35</v>
      </c>
      <c r="AK526" t="str">
        <f t="shared" si="8"/>
        <v>Medium</v>
      </c>
      <c r="AL526" s="2" t="str">
        <f>IF(AF526 &lt; 3, "0-2 Years", IF(AF526 &lt;= 5, "3-5 Years", IF(AF526 &lt;= 10, "6-10 Years",IF(Table3[[#This Row],[Years At Company]]&lt;=20, "11-20 Years","20+ Years"))))</f>
        <v>6-10 Years</v>
      </c>
    </row>
    <row r="527" spans="1:38" x14ac:dyDescent="0.25">
      <c r="A527" s="2">
        <v>24</v>
      </c>
      <c r="B527" t="s">
        <v>35</v>
      </c>
      <c r="C527" t="s">
        <v>36</v>
      </c>
      <c r="D527" s="2">
        <v>693</v>
      </c>
      <c r="E527" t="s">
        <v>37</v>
      </c>
      <c r="F527" s="2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 s="2">
        <v>4577</v>
      </c>
      <c r="T527">
        <v>24785</v>
      </c>
      <c r="U527">
        <v>9</v>
      </c>
      <c r="V527" t="s">
        <v>42</v>
      </c>
      <c r="W527" t="s">
        <v>43</v>
      </c>
      <c r="X527" s="2">
        <v>14</v>
      </c>
      <c r="Y527">
        <v>3</v>
      </c>
      <c r="Z527">
        <v>1</v>
      </c>
      <c r="AA527">
        <v>80</v>
      </c>
      <c r="AB527">
        <v>0</v>
      </c>
      <c r="AC527" s="2">
        <v>4</v>
      </c>
      <c r="AD527">
        <v>3</v>
      </c>
      <c r="AE527">
        <v>3</v>
      </c>
      <c r="AF527" s="2">
        <v>2</v>
      </c>
      <c r="AG527">
        <v>2</v>
      </c>
      <c r="AH527">
        <v>2</v>
      </c>
      <c r="AI527">
        <v>0</v>
      </c>
      <c r="AJ527" s="2" t="str">
        <f>IF(A527 A527 &lt;= 25, "18-25", IF(A527 &lt;=35, "26-35", IF(A527 &lt;=45, "36-45", IF(Table3[[#This Row],[Age]] &lt;=55, "46-55", "56+"))))</f>
        <v>18-25</v>
      </c>
      <c r="AK527" t="str">
        <f t="shared" si="8"/>
        <v>Low</v>
      </c>
      <c r="AL527" s="2" t="str">
        <f>IF(AF527 &lt; 3, "0-2 Years", IF(AF527 &lt;= 5, "3-5 Years", IF(AF527 &lt;= 10, "6-10 Years",IF(Table3[[#This Row],[Years At Company]]&lt;=20, "11-20 Years","20+ Years"))))</f>
        <v>0-2 Years</v>
      </c>
    </row>
    <row r="528" spans="1:38" x14ac:dyDescent="0.25">
      <c r="A528" s="2">
        <v>39</v>
      </c>
      <c r="B528" t="s">
        <v>43</v>
      </c>
      <c r="C528" t="s">
        <v>36</v>
      </c>
      <c r="D528" s="2">
        <v>408</v>
      </c>
      <c r="E528" t="s">
        <v>45</v>
      </c>
      <c r="F528" s="2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 s="2">
        <v>4553</v>
      </c>
      <c r="T528">
        <v>20978</v>
      </c>
      <c r="U528">
        <v>1</v>
      </c>
      <c r="V528" t="s">
        <v>42</v>
      </c>
      <c r="W528" t="s">
        <v>43</v>
      </c>
      <c r="X528" s="2">
        <v>11</v>
      </c>
      <c r="Y528">
        <v>3</v>
      </c>
      <c r="Z528">
        <v>1</v>
      </c>
      <c r="AA528">
        <v>80</v>
      </c>
      <c r="AB528">
        <v>0</v>
      </c>
      <c r="AC528" s="2">
        <v>20</v>
      </c>
      <c r="AD528">
        <v>4</v>
      </c>
      <c r="AE528">
        <v>3</v>
      </c>
      <c r="AF528" s="2">
        <v>20</v>
      </c>
      <c r="AG528">
        <v>7</v>
      </c>
      <c r="AH528">
        <v>11</v>
      </c>
      <c r="AI528">
        <v>10</v>
      </c>
      <c r="AJ528" s="2" t="str">
        <f>IF(A528 A528 &lt;= 25, "18-25", IF(A528 &lt;=35, "26-35", IF(A528 &lt;=45, "36-45", IF(Table3[[#This Row],[Age]] &lt;=55, "46-55", "56+"))))</f>
        <v>36-45</v>
      </c>
      <c r="AK528" t="str">
        <f t="shared" si="8"/>
        <v>Low</v>
      </c>
      <c r="AL528" s="2" t="str">
        <f>IF(AF528 &lt; 3, "0-2 Years", IF(AF528 &lt;= 5, "3-5 Years", IF(AF528 &lt;= 10, "6-10 Years",IF(Table3[[#This Row],[Years At Company]]&lt;=20, "11-20 Years","20+ Years"))))</f>
        <v>11-20 Years</v>
      </c>
    </row>
    <row r="529" spans="1:38" x14ac:dyDescent="0.25">
      <c r="A529" s="2">
        <v>32</v>
      </c>
      <c r="B529" t="s">
        <v>43</v>
      </c>
      <c r="C529" t="s">
        <v>36</v>
      </c>
      <c r="D529" s="2">
        <v>929</v>
      </c>
      <c r="E529" t="s">
        <v>37</v>
      </c>
      <c r="F529" s="2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 s="2">
        <v>5396</v>
      </c>
      <c r="T529">
        <v>21703</v>
      </c>
      <c r="U529">
        <v>1</v>
      </c>
      <c r="V529" t="s">
        <v>42</v>
      </c>
      <c r="W529" t="s">
        <v>43</v>
      </c>
      <c r="X529" s="2">
        <v>12</v>
      </c>
      <c r="Y529">
        <v>3</v>
      </c>
      <c r="Z529">
        <v>4</v>
      </c>
      <c r="AA529">
        <v>80</v>
      </c>
      <c r="AB529">
        <v>0</v>
      </c>
      <c r="AC529" s="2">
        <v>10</v>
      </c>
      <c r="AD529">
        <v>2</v>
      </c>
      <c r="AE529">
        <v>2</v>
      </c>
      <c r="AF529" s="2">
        <v>10</v>
      </c>
      <c r="AG529">
        <v>7</v>
      </c>
      <c r="AH529">
        <v>0</v>
      </c>
      <c r="AI529">
        <v>8</v>
      </c>
      <c r="AJ529" s="2" t="str">
        <f>IF(A529 A529 &lt;= 25, "18-25", IF(A529 &lt;=35, "26-35", IF(A529 &lt;=45, "36-45", IF(Table3[[#This Row],[Age]] &lt;=55, "46-55", "56+"))))</f>
        <v>26-35</v>
      </c>
      <c r="AK529" t="str">
        <f t="shared" si="8"/>
        <v>Medium</v>
      </c>
      <c r="AL529" s="2" t="str">
        <f>IF(AF529 &lt; 3, "0-2 Years", IF(AF529 &lt;= 5, "3-5 Years", IF(AF529 &lt;= 10, "6-10 Years",IF(Table3[[#This Row],[Years At Company]]&lt;=20, "11-20 Years","20+ Years"))))</f>
        <v>6-10 Years</v>
      </c>
    </row>
    <row r="530" spans="1:38" x14ac:dyDescent="0.25">
      <c r="A530" s="2">
        <v>50</v>
      </c>
      <c r="B530" t="s">
        <v>35</v>
      </c>
      <c r="C530" t="s">
        <v>44</v>
      </c>
      <c r="D530" s="2">
        <v>562</v>
      </c>
      <c r="E530" t="s">
        <v>37</v>
      </c>
      <c r="F530" s="2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 s="2">
        <v>6796</v>
      </c>
      <c r="T530">
        <v>23452</v>
      </c>
      <c r="U530">
        <v>3</v>
      </c>
      <c r="V530" t="s">
        <v>42</v>
      </c>
      <c r="W530" t="s">
        <v>35</v>
      </c>
      <c r="X530" s="2">
        <v>14</v>
      </c>
      <c r="Y530">
        <v>3</v>
      </c>
      <c r="Z530">
        <v>1</v>
      </c>
      <c r="AA530">
        <v>80</v>
      </c>
      <c r="AB530">
        <v>1</v>
      </c>
      <c r="AC530" s="2">
        <v>18</v>
      </c>
      <c r="AD530">
        <v>4</v>
      </c>
      <c r="AE530">
        <v>3</v>
      </c>
      <c r="AF530" s="2">
        <v>4</v>
      </c>
      <c r="AG530">
        <v>3</v>
      </c>
      <c r="AH530">
        <v>1</v>
      </c>
      <c r="AI530">
        <v>3</v>
      </c>
      <c r="AJ530" s="2" t="str">
        <f>IF(A530 A530 &lt;= 25, "18-25", IF(A530 &lt;=35, "26-35", IF(A530 &lt;=45, "36-45", IF(Table3[[#This Row],[Age]] &lt;=55, "46-55", "56+"))))</f>
        <v>46-55</v>
      </c>
      <c r="AK530" t="str">
        <f t="shared" si="8"/>
        <v>Medium</v>
      </c>
      <c r="AL530" s="2" t="str">
        <f>IF(AF530 &lt; 3, "0-2 Years", IF(AF530 &lt;= 5, "3-5 Years", IF(AF530 &lt;= 10, "6-10 Years",IF(Table3[[#This Row],[Years At Company]]&lt;=20, "11-20 Years","20+ Years"))))</f>
        <v>3-5 Years</v>
      </c>
    </row>
    <row r="531" spans="1:38" x14ac:dyDescent="0.25">
      <c r="A531" s="2">
        <v>38</v>
      </c>
      <c r="B531" t="s">
        <v>43</v>
      </c>
      <c r="C531" t="s">
        <v>36</v>
      </c>
      <c r="D531" s="2">
        <v>827</v>
      </c>
      <c r="E531" t="s">
        <v>45</v>
      </c>
      <c r="F531" s="2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 s="2">
        <v>7625</v>
      </c>
      <c r="T531">
        <v>19383</v>
      </c>
      <c r="U531">
        <v>0</v>
      </c>
      <c r="V531" t="s">
        <v>42</v>
      </c>
      <c r="W531" t="s">
        <v>43</v>
      </c>
      <c r="X531" s="2">
        <v>13</v>
      </c>
      <c r="Y531">
        <v>3</v>
      </c>
      <c r="Z531">
        <v>3</v>
      </c>
      <c r="AA531">
        <v>80</v>
      </c>
      <c r="AB531">
        <v>0</v>
      </c>
      <c r="AC531" s="2">
        <v>10</v>
      </c>
      <c r="AD531">
        <v>4</v>
      </c>
      <c r="AE531">
        <v>2</v>
      </c>
      <c r="AF531" s="2">
        <v>9</v>
      </c>
      <c r="AG531">
        <v>7</v>
      </c>
      <c r="AH531">
        <v>1</v>
      </c>
      <c r="AI531">
        <v>8</v>
      </c>
      <c r="AJ531" s="2" t="str">
        <f>IF(A531 A531 &lt;= 25, "18-25", IF(A531 &lt;=35, "26-35", IF(A531 &lt;=45, "36-45", IF(Table3[[#This Row],[Age]] &lt;=55, "46-55", "56+"))))</f>
        <v>36-45</v>
      </c>
      <c r="AK531" t="str">
        <f t="shared" si="8"/>
        <v>Medium</v>
      </c>
      <c r="AL531" s="2" t="str">
        <f>IF(AF531 &lt; 3, "0-2 Years", IF(AF531 &lt;= 5, "3-5 Years", IF(AF531 &lt;= 10, "6-10 Years",IF(Table3[[#This Row],[Years At Company]]&lt;=20, "11-20 Years","20+ Years"))))</f>
        <v>6-10 Years</v>
      </c>
    </row>
    <row r="532" spans="1:38" x14ac:dyDescent="0.25">
      <c r="A532" s="2">
        <v>27</v>
      </c>
      <c r="B532" t="s">
        <v>43</v>
      </c>
      <c r="C532" t="s">
        <v>36</v>
      </c>
      <c r="D532" s="2">
        <v>608</v>
      </c>
      <c r="E532" t="s">
        <v>45</v>
      </c>
      <c r="F532" s="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 s="2">
        <v>7412</v>
      </c>
      <c r="T532">
        <v>6009</v>
      </c>
      <c r="U532">
        <v>1</v>
      </c>
      <c r="V532" t="s">
        <v>42</v>
      </c>
      <c r="W532" t="s">
        <v>43</v>
      </c>
      <c r="X532" s="2">
        <v>11</v>
      </c>
      <c r="Y532">
        <v>3</v>
      </c>
      <c r="Z532">
        <v>4</v>
      </c>
      <c r="AA532">
        <v>80</v>
      </c>
      <c r="AB532">
        <v>0</v>
      </c>
      <c r="AC532" s="2">
        <v>9</v>
      </c>
      <c r="AD532">
        <v>3</v>
      </c>
      <c r="AE532">
        <v>3</v>
      </c>
      <c r="AF532" s="2">
        <v>9</v>
      </c>
      <c r="AG532">
        <v>7</v>
      </c>
      <c r="AH532">
        <v>0</v>
      </c>
      <c r="AI532">
        <v>7</v>
      </c>
      <c r="AJ532" s="2" t="str">
        <f>IF(A532 A532 &lt;= 25, "18-25", IF(A532 &lt;=35, "26-35", IF(A532 &lt;=45, "36-45", IF(Table3[[#This Row],[Age]] &lt;=55, "46-55", "56+"))))</f>
        <v>26-35</v>
      </c>
      <c r="AK532" t="str">
        <f t="shared" si="8"/>
        <v>Medium</v>
      </c>
      <c r="AL532" s="2" t="str">
        <f>IF(AF532 &lt; 3, "0-2 Years", IF(AF532 &lt;= 5, "3-5 Years", IF(AF532 &lt;= 10, "6-10 Years",IF(Table3[[#This Row],[Years At Company]]&lt;=20, "11-20 Years","20+ Years"))))</f>
        <v>6-10 Years</v>
      </c>
    </row>
    <row r="533" spans="1:38" x14ac:dyDescent="0.25">
      <c r="A533" s="2">
        <v>32</v>
      </c>
      <c r="B533" t="s">
        <v>43</v>
      </c>
      <c r="C533" t="s">
        <v>36</v>
      </c>
      <c r="D533" s="2">
        <v>1018</v>
      </c>
      <c r="E533" t="s">
        <v>45</v>
      </c>
      <c r="F533" s="2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 s="2">
        <v>11159</v>
      </c>
      <c r="T533">
        <v>19373</v>
      </c>
      <c r="U533">
        <v>3</v>
      </c>
      <c r="V533" t="s">
        <v>42</v>
      </c>
      <c r="W533" t="s">
        <v>43</v>
      </c>
      <c r="X533" s="2">
        <v>15</v>
      </c>
      <c r="Y533">
        <v>3</v>
      </c>
      <c r="Z533">
        <v>4</v>
      </c>
      <c r="AA533">
        <v>80</v>
      </c>
      <c r="AB533">
        <v>0</v>
      </c>
      <c r="AC533" s="2">
        <v>10</v>
      </c>
      <c r="AD533">
        <v>6</v>
      </c>
      <c r="AE533">
        <v>3</v>
      </c>
      <c r="AF533" s="2">
        <v>7</v>
      </c>
      <c r="AG533">
        <v>7</v>
      </c>
      <c r="AH533">
        <v>7</v>
      </c>
      <c r="AI533">
        <v>7</v>
      </c>
      <c r="AJ533" s="2" t="str">
        <f>IF(A533 A533 &lt;= 25, "18-25", IF(A533 &lt;=35, "26-35", IF(A533 &lt;=45, "36-45", IF(Table3[[#This Row],[Age]] &lt;=55, "46-55", "56+"))))</f>
        <v>26-35</v>
      </c>
      <c r="AK533" t="str">
        <f t="shared" si="8"/>
        <v>High</v>
      </c>
      <c r="AL533" s="2" t="str">
        <f>IF(AF533 &lt; 3, "0-2 Years", IF(AF533 &lt;= 5, "3-5 Years", IF(AF533 &lt;= 10, "6-10 Years",IF(Table3[[#This Row],[Years At Company]]&lt;=20, "11-20 Years","20+ Years"))))</f>
        <v>6-10 Years</v>
      </c>
    </row>
    <row r="534" spans="1:38" x14ac:dyDescent="0.25">
      <c r="A534" s="2">
        <v>47</v>
      </c>
      <c r="B534" t="s">
        <v>43</v>
      </c>
      <c r="C534" t="s">
        <v>36</v>
      </c>
      <c r="D534" s="2">
        <v>703</v>
      </c>
      <c r="E534" t="s">
        <v>37</v>
      </c>
      <c r="F534" s="2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 s="2">
        <v>4960</v>
      </c>
      <c r="T534">
        <v>11825</v>
      </c>
      <c r="U534">
        <v>2</v>
      </c>
      <c r="V534" t="s">
        <v>42</v>
      </c>
      <c r="W534" t="s">
        <v>43</v>
      </c>
      <c r="X534" s="2">
        <v>12</v>
      </c>
      <c r="Y534">
        <v>3</v>
      </c>
      <c r="Z534">
        <v>4</v>
      </c>
      <c r="AA534">
        <v>80</v>
      </c>
      <c r="AB534">
        <v>0</v>
      </c>
      <c r="AC534" s="2">
        <v>20</v>
      </c>
      <c r="AD534">
        <v>2</v>
      </c>
      <c r="AE534">
        <v>3</v>
      </c>
      <c r="AF534" s="2">
        <v>7</v>
      </c>
      <c r="AG534">
        <v>7</v>
      </c>
      <c r="AH534">
        <v>1</v>
      </c>
      <c r="AI534">
        <v>7</v>
      </c>
      <c r="AJ534" s="2" t="str">
        <f>IF(A534 A534 &lt;= 25, "18-25", IF(A534 &lt;=35, "26-35", IF(A534 &lt;=45, "36-45", IF(Table3[[#This Row],[Age]] &lt;=55, "46-55", "56+"))))</f>
        <v>46-55</v>
      </c>
      <c r="AK534" t="str">
        <f t="shared" si="8"/>
        <v>Low</v>
      </c>
      <c r="AL534" s="2" t="str">
        <f>IF(AF534 &lt; 3, "0-2 Years", IF(AF534 &lt;= 5, "3-5 Years", IF(AF534 &lt;= 10, "6-10 Years",IF(Table3[[#This Row],[Years At Company]]&lt;=20, "11-20 Years","20+ Years"))))</f>
        <v>6-10 Years</v>
      </c>
    </row>
    <row r="535" spans="1:38" x14ac:dyDescent="0.25">
      <c r="A535" s="2">
        <v>40</v>
      </c>
      <c r="B535" t="s">
        <v>43</v>
      </c>
      <c r="C535" t="s">
        <v>44</v>
      </c>
      <c r="D535" s="2">
        <v>580</v>
      </c>
      <c r="E535" t="s">
        <v>37</v>
      </c>
      <c r="F535" s="2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 s="2">
        <v>10475</v>
      </c>
      <c r="T535">
        <v>23772</v>
      </c>
      <c r="U535">
        <v>5</v>
      </c>
      <c r="V535" t="s">
        <v>42</v>
      </c>
      <c r="W535" t="s">
        <v>35</v>
      </c>
      <c r="X535" s="2">
        <v>21</v>
      </c>
      <c r="Y535">
        <v>4</v>
      </c>
      <c r="Z535">
        <v>3</v>
      </c>
      <c r="AA535">
        <v>80</v>
      </c>
      <c r="AB535">
        <v>1</v>
      </c>
      <c r="AC535" s="2">
        <v>20</v>
      </c>
      <c r="AD535">
        <v>2</v>
      </c>
      <c r="AE535">
        <v>3</v>
      </c>
      <c r="AF535" s="2">
        <v>18</v>
      </c>
      <c r="AG535">
        <v>13</v>
      </c>
      <c r="AH535">
        <v>1</v>
      </c>
      <c r="AI535">
        <v>12</v>
      </c>
      <c r="AJ535" s="2" t="str">
        <f>IF(A535 A535 &lt;= 25, "18-25", IF(A535 &lt;=35, "26-35", IF(A535 &lt;=45, "36-45", IF(Table3[[#This Row],[Age]] &lt;=55, "46-55", "56+"))))</f>
        <v>36-45</v>
      </c>
      <c r="AK535" t="str">
        <f t="shared" si="8"/>
        <v>High</v>
      </c>
      <c r="AL535" s="2" t="str">
        <f>IF(AF535 &lt; 3, "0-2 Years", IF(AF535 &lt;= 5, "3-5 Years", IF(AF535 &lt;= 10, "6-10 Years",IF(Table3[[#This Row],[Years At Company]]&lt;=20, "11-20 Years","20+ Years"))))</f>
        <v>11-20 Years</v>
      </c>
    </row>
    <row r="536" spans="1:38" x14ac:dyDescent="0.25">
      <c r="A536" s="2">
        <v>53</v>
      </c>
      <c r="B536" t="s">
        <v>43</v>
      </c>
      <c r="C536" t="s">
        <v>36</v>
      </c>
      <c r="D536" s="2">
        <v>970</v>
      </c>
      <c r="E536" t="s">
        <v>45</v>
      </c>
      <c r="F536" s="2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 s="2">
        <v>14814</v>
      </c>
      <c r="T536">
        <v>13514</v>
      </c>
      <c r="U536">
        <v>3</v>
      </c>
      <c r="V536" t="s">
        <v>42</v>
      </c>
      <c r="W536" t="s">
        <v>43</v>
      </c>
      <c r="X536" s="2">
        <v>19</v>
      </c>
      <c r="Y536">
        <v>3</v>
      </c>
      <c r="Z536">
        <v>3</v>
      </c>
      <c r="AA536">
        <v>80</v>
      </c>
      <c r="AB536">
        <v>0</v>
      </c>
      <c r="AC536" s="2">
        <v>32</v>
      </c>
      <c r="AD536">
        <v>3</v>
      </c>
      <c r="AE536">
        <v>3</v>
      </c>
      <c r="AF536" s="2">
        <v>5</v>
      </c>
      <c r="AG536">
        <v>1</v>
      </c>
      <c r="AH536">
        <v>1</v>
      </c>
      <c r="AI536">
        <v>3</v>
      </c>
      <c r="AJ536" s="2" t="str">
        <f>IF(A536 A536 &lt;= 25, "18-25", IF(A536 &lt;=35, "26-35", IF(A536 &lt;=45, "36-45", IF(Table3[[#This Row],[Age]] &lt;=55, "46-55", "56+"))))</f>
        <v>46-55</v>
      </c>
      <c r="AK536" t="str">
        <f t="shared" si="8"/>
        <v>High</v>
      </c>
      <c r="AL536" s="2" t="str">
        <f>IF(AF536 &lt; 3, "0-2 Years", IF(AF536 &lt;= 5, "3-5 Years", IF(AF536 &lt;= 10, "6-10 Years",IF(Table3[[#This Row],[Years At Company]]&lt;=20, "11-20 Years","20+ Years"))))</f>
        <v>3-5 Years</v>
      </c>
    </row>
    <row r="537" spans="1:38" x14ac:dyDescent="0.25">
      <c r="A537" s="2">
        <v>41</v>
      </c>
      <c r="B537" t="s">
        <v>43</v>
      </c>
      <c r="C537" t="s">
        <v>36</v>
      </c>
      <c r="D537" s="2">
        <v>427</v>
      </c>
      <c r="E537" t="s">
        <v>61</v>
      </c>
      <c r="F537" s="2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 s="2">
        <v>19141</v>
      </c>
      <c r="T537">
        <v>8861</v>
      </c>
      <c r="U537">
        <v>3</v>
      </c>
      <c r="V537" t="s">
        <v>42</v>
      </c>
      <c r="W537" t="s">
        <v>43</v>
      </c>
      <c r="X537" s="2">
        <v>15</v>
      </c>
      <c r="Y537">
        <v>3</v>
      </c>
      <c r="Z537">
        <v>2</v>
      </c>
      <c r="AA537">
        <v>80</v>
      </c>
      <c r="AB537">
        <v>3</v>
      </c>
      <c r="AC537" s="2">
        <v>23</v>
      </c>
      <c r="AD537">
        <v>2</v>
      </c>
      <c r="AE537">
        <v>2</v>
      </c>
      <c r="AF537" s="2">
        <v>21</v>
      </c>
      <c r="AG537">
        <v>6</v>
      </c>
      <c r="AH537">
        <v>12</v>
      </c>
      <c r="AI537">
        <v>6</v>
      </c>
      <c r="AJ537" s="2" t="str">
        <f>IF(A537 A537 &lt;= 25, "18-25", IF(A537 &lt;=35, "26-35", IF(A537 &lt;=45, "36-45", IF(Table3[[#This Row],[Age]] &lt;=55, "46-55", "56+"))))</f>
        <v>36-45</v>
      </c>
      <c r="AK537" t="str">
        <f t="shared" si="8"/>
        <v>High</v>
      </c>
      <c r="AL537" s="2" t="str">
        <f>IF(AF537 &lt; 3, "0-2 Years", IF(AF537 &lt;= 5, "3-5 Years", IF(AF537 &lt;= 10, "6-10 Years",IF(Table3[[#This Row],[Years At Company]]&lt;=20, "11-20 Years","20+ Years"))))</f>
        <v>20+ Years</v>
      </c>
    </row>
    <row r="538" spans="1:38" x14ac:dyDescent="0.25">
      <c r="A538" s="2">
        <v>60</v>
      </c>
      <c r="B538" t="s">
        <v>43</v>
      </c>
      <c r="C538" t="s">
        <v>36</v>
      </c>
      <c r="D538" s="2">
        <v>1179</v>
      </c>
      <c r="E538" t="s">
        <v>37</v>
      </c>
      <c r="F538" s="2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 s="2">
        <v>5405</v>
      </c>
      <c r="T538">
        <v>11924</v>
      </c>
      <c r="U538">
        <v>8</v>
      </c>
      <c r="V538" t="s">
        <v>42</v>
      </c>
      <c r="W538" t="s">
        <v>43</v>
      </c>
      <c r="X538" s="2">
        <v>14</v>
      </c>
      <c r="Y538">
        <v>3</v>
      </c>
      <c r="Z538">
        <v>4</v>
      </c>
      <c r="AA538">
        <v>80</v>
      </c>
      <c r="AB538">
        <v>0</v>
      </c>
      <c r="AC538" s="2">
        <v>10</v>
      </c>
      <c r="AD538">
        <v>1</v>
      </c>
      <c r="AE538">
        <v>3</v>
      </c>
      <c r="AF538" s="2">
        <v>2</v>
      </c>
      <c r="AG538">
        <v>2</v>
      </c>
      <c r="AH538">
        <v>2</v>
      </c>
      <c r="AI538">
        <v>2</v>
      </c>
      <c r="AJ538" s="2" t="str">
        <f>IF(A538 A538 &lt;= 25, "18-25", IF(A538 &lt;=35, "26-35", IF(A538 &lt;=45, "36-45", IF(Table3[[#This Row],[Age]] &lt;=55, "46-55", "56+"))))</f>
        <v>56+</v>
      </c>
      <c r="AK538" t="str">
        <f t="shared" si="8"/>
        <v>Medium</v>
      </c>
      <c r="AL538" s="2" t="str">
        <f>IF(AF538 &lt; 3, "0-2 Years", IF(AF538 &lt;= 5, "3-5 Years", IF(AF538 &lt;= 10, "6-10 Years",IF(Table3[[#This Row],[Years At Company]]&lt;=20, "11-20 Years","20+ Years"))))</f>
        <v>0-2 Years</v>
      </c>
    </row>
    <row r="539" spans="1:38" x14ac:dyDescent="0.25">
      <c r="A539" s="2">
        <v>27</v>
      </c>
      <c r="B539" t="s">
        <v>43</v>
      </c>
      <c r="C539" t="s">
        <v>44</v>
      </c>
      <c r="D539" s="2">
        <v>294</v>
      </c>
      <c r="E539" t="s">
        <v>45</v>
      </c>
      <c r="F539" s="2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 s="2">
        <v>8793</v>
      </c>
      <c r="T539">
        <v>4809</v>
      </c>
      <c r="U539">
        <v>1</v>
      </c>
      <c r="V539" t="s">
        <v>42</v>
      </c>
      <c r="W539" t="s">
        <v>43</v>
      </c>
      <c r="X539" s="2">
        <v>21</v>
      </c>
      <c r="Y539">
        <v>4</v>
      </c>
      <c r="Z539">
        <v>3</v>
      </c>
      <c r="AA539">
        <v>80</v>
      </c>
      <c r="AB539">
        <v>2</v>
      </c>
      <c r="AC539" s="2">
        <v>9</v>
      </c>
      <c r="AD539">
        <v>4</v>
      </c>
      <c r="AE539">
        <v>2</v>
      </c>
      <c r="AF539" s="2">
        <v>9</v>
      </c>
      <c r="AG539">
        <v>7</v>
      </c>
      <c r="AH539">
        <v>1</v>
      </c>
      <c r="AI539">
        <v>7</v>
      </c>
      <c r="AJ539" s="2" t="str">
        <f>IF(A539 A539 &lt;= 25, "18-25", IF(A539 &lt;=35, "26-35", IF(A539 &lt;=45, "36-45", IF(Table3[[#This Row],[Age]] &lt;=55, "46-55", "56+"))))</f>
        <v>26-35</v>
      </c>
      <c r="AK539" t="str">
        <f t="shared" si="8"/>
        <v>Medium</v>
      </c>
      <c r="AL539" s="2" t="str">
        <f>IF(AF539 &lt; 3, "0-2 Years", IF(AF539 &lt;= 5, "3-5 Years", IF(AF539 &lt;= 10, "6-10 Years",IF(Table3[[#This Row],[Years At Company]]&lt;=20, "11-20 Years","20+ Years"))))</f>
        <v>6-10 Years</v>
      </c>
    </row>
    <row r="540" spans="1:38" x14ac:dyDescent="0.25">
      <c r="A540" s="2">
        <v>41</v>
      </c>
      <c r="B540" t="s">
        <v>43</v>
      </c>
      <c r="C540" t="s">
        <v>36</v>
      </c>
      <c r="D540" s="2">
        <v>314</v>
      </c>
      <c r="E540" t="s">
        <v>61</v>
      </c>
      <c r="F540" s="2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 s="2">
        <v>19189</v>
      </c>
      <c r="T540">
        <v>19562</v>
      </c>
      <c r="U540">
        <v>1</v>
      </c>
      <c r="V540" t="s">
        <v>42</v>
      </c>
      <c r="W540" t="s">
        <v>43</v>
      </c>
      <c r="X540" s="2">
        <v>12</v>
      </c>
      <c r="Y540">
        <v>3</v>
      </c>
      <c r="Z540">
        <v>2</v>
      </c>
      <c r="AA540">
        <v>80</v>
      </c>
      <c r="AB540">
        <v>1</v>
      </c>
      <c r="AC540" s="2">
        <v>22</v>
      </c>
      <c r="AD540">
        <v>3</v>
      </c>
      <c r="AE540">
        <v>3</v>
      </c>
      <c r="AF540" s="2">
        <v>22</v>
      </c>
      <c r="AG540">
        <v>7</v>
      </c>
      <c r="AH540">
        <v>2</v>
      </c>
      <c r="AI540">
        <v>10</v>
      </c>
      <c r="AJ540" s="2" t="str">
        <f>IF(A540 A540 &lt;= 25, "18-25", IF(A540 &lt;=35, "26-35", IF(A540 &lt;=45, "36-45", IF(Table3[[#This Row],[Age]] &lt;=55, "46-55", "56+"))))</f>
        <v>36-45</v>
      </c>
      <c r="AK540" t="str">
        <f t="shared" si="8"/>
        <v>High</v>
      </c>
      <c r="AL540" s="2" t="str">
        <f>IF(AF540 &lt; 3, "0-2 Years", IF(AF540 &lt;= 5, "3-5 Years", IF(AF540 &lt;= 10, "6-10 Years",IF(Table3[[#This Row],[Years At Company]]&lt;=20, "11-20 Years","20+ Years"))))</f>
        <v>20+ Years</v>
      </c>
    </row>
    <row r="541" spans="1:38" x14ac:dyDescent="0.25">
      <c r="A541" s="2">
        <v>50</v>
      </c>
      <c r="B541" t="s">
        <v>43</v>
      </c>
      <c r="C541" t="s">
        <v>36</v>
      </c>
      <c r="D541" s="2">
        <v>316</v>
      </c>
      <c r="E541" t="s">
        <v>37</v>
      </c>
      <c r="F541" s="2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 s="2">
        <v>3875</v>
      </c>
      <c r="T541">
        <v>9983</v>
      </c>
      <c r="U541">
        <v>7</v>
      </c>
      <c r="V541" t="s">
        <v>42</v>
      </c>
      <c r="W541" t="s">
        <v>43</v>
      </c>
      <c r="X541" s="2">
        <v>15</v>
      </c>
      <c r="Y541">
        <v>3</v>
      </c>
      <c r="Z541">
        <v>4</v>
      </c>
      <c r="AA541">
        <v>80</v>
      </c>
      <c r="AB541">
        <v>1</v>
      </c>
      <c r="AC541" s="2">
        <v>4</v>
      </c>
      <c r="AD541">
        <v>2</v>
      </c>
      <c r="AE541">
        <v>3</v>
      </c>
      <c r="AF541" s="2">
        <v>2</v>
      </c>
      <c r="AG541">
        <v>2</v>
      </c>
      <c r="AH541">
        <v>2</v>
      </c>
      <c r="AI541">
        <v>2</v>
      </c>
      <c r="AJ541" s="2" t="str">
        <f>IF(A541 A541 &lt;= 25, "18-25", IF(A541 &lt;=35, "26-35", IF(A541 &lt;=45, "36-45", IF(Table3[[#This Row],[Age]] &lt;=55, "46-55", "56+"))))</f>
        <v>46-55</v>
      </c>
      <c r="AK541" t="str">
        <f t="shared" si="8"/>
        <v>Low</v>
      </c>
      <c r="AL541" s="2" t="str">
        <f>IF(AF541 &lt; 3, "0-2 Years", IF(AF541 &lt;= 5, "3-5 Years", IF(AF541 &lt;= 10, "6-10 Years",IF(Table3[[#This Row],[Years At Company]]&lt;=20, "11-20 Years","20+ Years"))))</f>
        <v>0-2 Years</v>
      </c>
    </row>
    <row r="542" spans="1:38" x14ac:dyDescent="0.25">
      <c r="A542" s="2">
        <v>28</v>
      </c>
      <c r="B542" t="s">
        <v>35</v>
      </c>
      <c r="C542" t="s">
        <v>36</v>
      </c>
      <c r="D542" s="2">
        <v>654</v>
      </c>
      <c r="E542" t="s">
        <v>45</v>
      </c>
      <c r="F542" s="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 s="2">
        <v>2216</v>
      </c>
      <c r="T542">
        <v>3872</v>
      </c>
      <c r="U542">
        <v>7</v>
      </c>
      <c r="V542" t="s">
        <v>42</v>
      </c>
      <c r="W542" t="s">
        <v>35</v>
      </c>
      <c r="X542" s="2">
        <v>13</v>
      </c>
      <c r="Y542">
        <v>3</v>
      </c>
      <c r="Z542">
        <v>4</v>
      </c>
      <c r="AA542">
        <v>80</v>
      </c>
      <c r="AB542">
        <v>0</v>
      </c>
      <c r="AC542" s="2">
        <v>10</v>
      </c>
      <c r="AD542">
        <v>4</v>
      </c>
      <c r="AE542">
        <v>3</v>
      </c>
      <c r="AF542" s="2">
        <v>7</v>
      </c>
      <c r="AG542">
        <v>7</v>
      </c>
      <c r="AH542">
        <v>3</v>
      </c>
      <c r="AI542">
        <v>7</v>
      </c>
      <c r="AJ542" s="2" t="str">
        <f>IF(A542 A542 &lt;= 25, "18-25", IF(A542 &lt;=35, "26-35", IF(A542 &lt;=45, "36-45", IF(Table3[[#This Row],[Age]] &lt;=55, "46-55", "56+"))))</f>
        <v>26-35</v>
      </c>
      <c r="AK542" t="str">
        <f t="shared" si="8"/>
        <v>Low</v>
      </c>
      <c r="AL542" s="2" t="str">
        <f>IF(AF542 &lt; 3, "0-2 Years", IF(AF542 &lt;= 5, "3-5 Years", IF(AF542 &lt;= 10, "6-10 Years",IF(Table3[[#This Row],[Years At Company]]&lt;=20, "11-20 Years","20+ Years"))))</f>
        <v>6-10 Years</v>
      </c>
    </row>
    <row r="543" spans="1:38" x14ac:dyDescent="0.25">
      <c r="A543" s="2">
        <v>36</v>
      </c>
      <c r="B543" t="s">
        <v>43</v>
      </c>
      <c r="C543" t="s">
        <v>55</v>
      </c>
      <c r="D543" s="2">
        <v>427</v>
      </c>
      <c r="E543" t="s">
        <v>45</v>
      </c>
      <c r="F543" s="2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 s="2">
        <v>11713</v>
      </c>
      <c r="T543">
        <v>20335</v>
      </c>
      <c r="U543">
        <v>9</v>
      </c>
      <c r="V543" t="s">
        <v>42</v>
      </c>
      <c r="W543" t="s">
        <v>43</v>
      </c>
      <c r="X543" s="2">
        <v>14</v>
      </c>
      <c r="Y543">
        <v>3</v>
      </c>
      <c r="Z543">
        <v>1</v>
      </c>
      <c r="AA543">
        <v>80</v>
      </c>
      <c r="AB543">
        <v>1</v>
      </c>
      <c r="AC543" s="2">
        <v>10</v>
      </c>
      <c r="AD543">
        <v>2</v>
      </c>
      <c r="AE543">
        <v>3</v>
      </c>
      <c r="AF543" s="2">
        <v>8</v>
      </c>
      <c r="AG543">
        <v>7</v>
      </c>
      <c r="AH543">
        <v>0</v>
      </c>
      <c r="AI543">
        <v>5</v>
      </c>
      <c r="AJ543" s="2" t="str">
        <f>IF(A543 A543 &lt;= 25, "18-25", IF(A543 &lt;=35, "26-35", IF(A543 &lt;=45, "36-45", IF(Table3[[#This Row],[Age]] &lt;=55, "46-55", "56+"))))</f>
        <v>36-45</v>
      </c>
      <c r="AK543" t="str">
        <f t="shared" si="8"/>
        <v>High</v>
      </c>
      <c r="AL543" s="2" t="str">
        <f>IF(AF543 &lt; 3, "0-2 Years", IF(AF543 &lt;= 5, "3-5 Years", IF(AF543 &lt;= 10, "6-10 Years",IF(Table3[[#This Row],[Years At Company]]&lt;=20, "11-20 Years","20+ Years"))))</f>
        <v>6-10 Years</v>
      </c>
    </row>
    <row r="544" spans="1:38" x14ac:dyDescent="0.25">
      <c r="A544" s="2">
        <v>38</v>
      </c>
      <c r="B544" t="s">
        <v>43</v>
      </c>
      <c r="C544" t="s">
        <v>36</v>
      </c>
      <c r="D544" s="2">
        <v>168</v>
      </c>
      <c r="E544" t="s">
        <v>45</v>
      </c>
      <c r="F544" s="2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 s="2">
        <v>7861</v>
      </c>
      <c r="T544">
        <v>15397</v>
      </c>
      <c r="U544">
        <v>4</v>
      </c>
      <c r="V544" t="s">
        <v>42</v>
      </c>
      <c r="W544" t="s">
        <v>35</v>
      </c>
      <c r="X544" s="2">
        <v>14</v>
      </c>
      <c r="Y544">
        <v>3</v>
      </c>
      <c r="Z544">
        <v>4</v>
      </c>
      <c r="AA544">
        <v>80</v>
      </c>
      <c r="AB544">
        <v>0</v>
      </c>
      <c r="AC544" s="2">
        <v>10</v>
      </c>
      <c r="AD544">
        <v>4</v>
      </c>
      <c r="AE544">
        <v>4</v>
      </c>
      <c r="AF544" s="2">
        <v>1</v>
      </c>
      <c r="AG544">
        <v>0</v>
      </c>
      <c r="AH544">
        <v>0</v>
      </c>
      <c r="AI544">
        <v>0</v>
      </c>
      <c r="AJ544" s="2" t="str">
        <f>IF(A544 A544 &lt;= 25, "18-25", IF(A544 &lt;=35, "26-35", IF(A544 &lt;=45, "36-45", IF(Table3[[#This Row],[Age]] &lt;=55, "46-55", "56+"))))</f>
        <v>36-45</v>
      </c>
      <c r="AK544" t="str">
        <f t="shared" si="8"/>
        <v>Medium</v>
      </c>
      <c r="AL544" s="2" t="str">
        <f>IF(AF544 &lt; 3, "0-2 Years", IF(AF544 &lt;= 5, "3-5 Years", IF(AF544 &lt;= 10, "6-10 Years",IF(Table3[[#This Row],[Years At Company]]&lt;=20, "11-20 Years","20+ Years"))))</f>
        <v>0-2 Years</v>
      </c>
    </row>
    <row r="545" spans="1:38" x14ac:dyDescent="0.25">
      <c r="A545" s="2">
        <v>44</v>
      </c>
      <c r="B545" t="s">
        <v>43</v>
      </c>
      <c r="C545" t="s">
        <v>55</v>
      </c>
      <c r="D545" s="2">
        <v>381</v>
      </c>
      <c r="E545" t="s">
        <v>45</v>
      </c>
      <c r="F545" s="2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 s="2">
        <v>3708</v>
      </c>
      <c r="T545">
        <v>2104</v>
      </c>
      <c r="U545">
        <v>2</v>
      </c>
      <c r="V545" t="s">
        <v>42</v>
      </c>
      <c r="W545" t="s">
        <v>43</v>
      </c>
      <c r="X545" s="2">
        <v>14</v>
      </c>
      <c r="Y545">
        <v>3</v>
      </c>
      <c r="Z545">
        <v>3</v>
      </c>
      <c r="AA545">
        <v>80</v>
      </c>
      <c r="AB545">
        <v>0</v>
      </c>
      <c r="AC545" s="2">
        <v>9</v>
      </c>
      <c r="AD545">
        <v>5</v>
      </c>
      <c r="AE545">
        <v>3</v>
      </c>
      <c r="AF545" s="2">
        <v>5</v>
      </c>
      <c r="AG545">
        <v>2</v>
      </c>
      <c r="AH545">
        <v>1</v>
      </c>
      <c r="AI545">
        <v>4</v>
      </c>
      <c r="AJ545" s="2" t="str">
        <f>IF(A545 A545 &lt;= 25, "18-25", IF(A545 &lt;=35, "26-35", IF(A545 &lt;=45, "36-45", IF(Table3[[#This Row],[Age]] &lt;=55, "46-55", "56+"))))</f>
        <v>36-45</v>
      </c>
      <c r="AK545" t="str">
        <f t="shared" si="8"/>
        <v>Low</v>
      </c>
      <c r="AL545" s="2" t="str">
        <f>IF(AF545 &lt; 3, "0-2 Years", IF(AF545 &lt;= 5, "3-5 Years", IF(AF545 &lt;= 10, "6-10 Years",IF(Table3[[#This Row],[Years At Company]]&lt;=20, "11-20 Years","20+ Years"))))</f>
        <v>3-5 Years</v>
      </c>
    </row>
    <row r="546" spans="1:38" x14ac:dyDescent="0.25">
      <c r="A546" s="2">
        <v>47</v>
      </c>
      <c r="B546" t="s">
        <v>43</v>
      </c>
      <c r="C546" t="s">
        <v>44</v>
      </c>
      <c r="D546" s="2">
        <v>217</v>
      </c>
      <c r="E546" t="s">
        <v>37</v>
      </c>
      <c r="F546" s="2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 s="2">
        <v>13770</v>
      </c>
      <c r="T546">
        <v>10225</v>
      </c>
      <c r="U546">
        <v>9</v>
      </c>
      <c r="V546" t="s">
        <v>42</v>
      </c>
      <c r="W546" t="s">
        <v>35</v>
      </c>
      <c r="X546" s="2">
        <v>12</v>
      </c>
      <c r="Y546">
        <v>3</v>
      </c>
      <c r="Z546">
        <v>4</v>
      </c>
      <c r="AA546">
        <v>80</v>
      </c>
      <c r="AB546">
        <v>2</v>
      </c>
      <c r="AC546" s="2">
        <v>28</v>
      </c>
      <c r="AD546">
        <v>2</v>
      </c>
      <c r="AE546">
        <v>2</v>
      </c>
      <c r="AF546" s="2">
        <v>22</v>
      </c>
      <c r="AG546">
        <v>2</v>
      </c>
      <c r="AH546">
        <v>11</v>
      </c>
      <c r="AI546">
        <v>13</v>
      </c>
      <c r="AJ546" s="2" t="str">
        <f>IF(A546 A546 &lt;= 25, "18-25", IF(A546 &lt;=35, "26-35", IF(A546 &lt;=45, "36-45", IF(Table3[[#This Row],[Age]] &lt;=55, "46-55", "56+"))))</f>
        <v>46-55</v>
      </c>
      <c r="AK546" t="str">
        <f t="shared" si="8"/>
        <v>High</v>
      </c>
      <c r="AL546" s="2" t="str">
        <f>IF(AF546 &lt; 3, "0-2 Years", IF(AF546 &lt;= 5, "3-5 Years", IF(AF546 &lt;= 10, "6-10 Years",IF(Table3[[#This Row],[Years At Company]]&lt;=20, "11-20 Years","20+ Years"))))</f>
        <v>20+ Years</v>
      </c>
    </row>
    <row r="547" spans="1:38" x14ac:dyDescent="0.25">
      <c r="A547" s="2">
        <v>30</v>
      </c>
      <c r="B547" t="s">
        <v>43</v>
      </c>
      <c r="C547" t="s">
        <v>36</v>
      </c>
      <c r="D547" s="2">
        <v>501</v>
      </c>
      <c r="E547" t="s">
        <v>37</v>
      </c>
      <c r="F547" s="2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 s="2">
        <v>5304</v>
      </c>
      <c r="T547">
        <v>25275</v>
      </c>
      <c r="U547">
        <v>7</v>
      </c>
      <c r="V547" t="s">
        <v>42</v>
      </c>
      <c r="W547" t="s">
        <v>43</v>
      </c>
      <c r="X547" s="2">
        <v>23</v>
      </c>
      <c r="Y547">
        <v>4</v>
      </c>
      <c r="Z547">
        <v>4</v>
      </c>
      <c r="AA547">
        <v>80</v>
      </c>
      <c r="AB547">
        <v>1</v>
      </c>
      <c r="AC547" s="2">
        <v>10</v>
      </c>
      <c r="AD547">
        <v>2</v>
      </c>
      <c r="AE547">
        <v>2</v>
      </c>
      <c r="AF547" s="2">
        <v>8</v>
      </c>
      <c r="AG547">
        <v>7</v>
      </c>
      <c r="AH547">
        <v>7</v>
      </c>
      <c r="AI547">
        <v>7</v>
      </c>
      <c r="AJ547" s="2" t="str">
        <f>IF(A547 A547 &lt;= 25, "18-25", IF(A547 &lt;=35, "26-35", IF(A547 &lt;=45, "36-45", IF(Table3[[#This Row],[Age]] &lt;=55, "46-55", "56+"))))</f>
        <v>26-35</v>
      </c>
      <c r="AK547" t="str">
        <f t="shared" si="8"/>
        <v>Medium</v>
      </c>
      <c r="AL547" s="2" t="str">
        <f>IF(AF547 &lt; 3, "0-2 Years", IF(AF547 &lt;= 5, "3-5 Years", IF(AF547 &lt;= 10, "6-10 Years",IF(Table3[[#This Row],[Years At Company]]&lt;=20, "11-20 Years","20+ Years"))))</f>
        <v>6-10 Years</v>
      </c>
    </row>
    <row r="548" spans="1:38" x14ac:dyDescent="0.25">
      <c r="A548" s="2">
        <v>29</v>
      </c>
      <c r="B548" t="s">
        <v>43</v>
      </c>
      <c r="C548" t="s">
        <v>36</v>
      </c>
      <c r="D548" s="2">
        <v>1396</v>
      </c>
      <c r="E548" t="s">
        <v>37</v>
      </c>
      <c r="F548" s="2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 s="2">
        <v>2642</v>
      </c>
      <c r="T548">
        <v>2755</v>
      </c>
      <c r="U548">
        <v>1</v>
      </c>
      <c r="V548" t="s">
        <v>42</v>
      </c>
      <c r="W548" t="s">
        <v>43</v>
      </c>
      <c r="X548" s="2">
        <v>11</v>
      </c>
      <c r="Y548">
        <v>3</v>
      </c>
      <c r="Z548">
        <v>3</v>
      </c>
      <c r="AA548">
        <v>80</v>
      </c>
      <c r="AB548">
        <v>0</v>
      </c>
      <c r="AC548" s="2">
        <v>1</v>
      </c>
      <c r="AD548">
        <v>6</v>
      </c>
      <c r="AE548">
        <v>3</v>
      </c>
      <c r="AF548" s="2">
        <v>1</v>
      </c>
      <c r="AG548">
        <v>0</v>
      </c>
      <c r="AH548">
        <v>0</v>
      </c>
      <c r="AI548">
        <v>0</v>
      </c>
      <c r="AJ548" s="2" t="str">
        <f>IF(A548 A548 &lt;= 25, "18-25", IF(A548 &lt;=35, "26-35", IF(A548 &lt;=45, "36-45", IF(Table3[[#This Row],[Age]] &lt;=55, "46-55", "56+"))))</f>
        <v>26-35</v>
      </c>
      <c r="AK548" t="str">
        <f t="shared" si="8"/>
        <v>Low</v>
      </c>
      <c r="AL548" s="2" t="str">
        <f>IF(AF548 &lt; 3, "0-2 Years", IF(AF548 &lt;= 5, "3-5 Years", IF(AF548 &lt;= 10, "6-10 Years",IF(Table3[[#This Row],[Years At Company]]&lt;=20, "11-20 Years","20+ Years"))))</f>
        <v>0-2 Years</v>
      </c>
    </row>
    <row r="549" spans="1:38" x14ac:dyDescent="0.25">
      <c r="A549" s="2">
        <v>42</v>
      </c>
      <c r="B549" t="s">
        <v>35</v>
      </c>
      <c r="C549" t="s">
        <v>44</v>
      </c>
      <c r="D549" s="2">
        <v>933</v>
      </c>
      <c r="E549" t="s">
        <v>45</v>
      </c>
      <c r="F549" s="2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 s="2">
        <v>2759</v>
      </c>
      <c r="T549">
        <v>20366</v>
      </c>
      <c r="U549">
        <v>6</v>
      </c>
      <c r="V549" t="s">
        <v>42</v>
      </c>
      <c r="W549" t="s">
        <v>35</v>
      </c>
      <c r="X549" s="2">
        <v>12</v>
      </c>
      <c r="Y549">
        <v>3</v>
      </c>
      <c r="Z549">
        <v>4</v>
      </c>
      <c r="AA549">
        <v>80</v>
      </c>
      <c r="AB549">
        <v>0</v>
      </c>
      <c r="AC549" s="2">
        <v>7</v>
      </c>
      <c r="AD549">
        <v>2</v>
      </c>
      <c r="AE549">
        <v>3</v>
      </c>
      <c r="AF549" s="2">
        <v>2</v>
      </c>
      <c r="AG549">
        <v>2</v>
      </c>
      <c r="AH549">
        <v>2</v>
      </c>
      <c r="AI549">
        <v>2</v>
      </c>
      <c r="AJ549" s="2" t="str">
        <f>IF(A549 A549 &lt;= 25, "18-25", IF(A549 &lt;=35, "26-35", IF(A549 &lt;=45, "36-45", IF(Table3[[#This Row],[Age]] &lt;=55, "46-55", "56+"))))</f>
        <v>36-45</v>
      </c>
      <c r="AK549" t="str">
        <f t="shared" si="8"/>
        <v>Low</v>
      </c>
      <c r="AL549" s="2" t="str">
        <f>IF(AF549 &lt; 3, "0-2 Years", IF(AF549 &lt;= 5, "3-5 Years", IF(AF549 &lt;= 10, "6-10 Years",IF(Table3[[#This Row],[Years At Company]]&lt;=20, "11-20 Years","20+ Years"))))</f>
        <v>0-2 Years</v>
      </c>
    </row>
    <row r="550" spans="1:38" x14ac:dyDescent="0.25">
      <c r="A550" s="2">
        <v>43</v>
      </c>
      <c r="B550" t="s">
        <v>43</v>
      </c>
      <c r="C550" t="s">
        <v>44</v>
      </c>
      <c r="D550" s="2">
        <v>775</v>
      </c>
      <c r="E550" t="s">
        <v>37</v>
      </c>
      <c r="F550" s="2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 s="2">
        <v>6804</v>
      </c>
      <c r="T550">
        <v>23683</v>
      </c>
      <c r="U550">
        <v>3</v>
      </c>
      <c r="V550" t="s">
        <v>42</v>
      </c>
      <c r="W550" t="s">
        <v>43</v>
      </c>
      <c r="X550" s="2">
        <v>18</v>
      </c>
      <c r="Y550">
        <v>3</v>
      </c>
      <c r="Z550">
        <v>3</v>
      </c>
      <c r="AA550">
        <v>80</v>
      </c>
      <c r="AB550">
        <v>1</v>
      </c>
      <c r="AC550" s="2">
        <v>7</v>
      </c>
      <c r="AD550">
        <v>5</v>
      </c>
      <c r="AE550">
        <v>3</v>
      </c>
      <c r="AF550" s="2">
        <v>2</v>
      </c>
      <c r="AG550">
        <v>2</v>
      </c>
      <c r="AH550">
        <v>2</v>
      </c>
      <c r="AI550">
        <v>2</v>
      </c>
      <c r="AJ550" s="2" t="str">
        <f>IF(A550 A550 &lt;= 25, "18-25", IF(A550 &lt;=35, "26-35", IF(A550 &lt;=45, "36-45", IF(Table3[[#This Row],[Age]] &lt;=55, "46-55", "56+"))))</f>
        <v>36-45</v>
      </c>
      <c r="AK550" t="str">
        <f t="shared" si="8"/>
        <v>Medium</v>
      </c>
      <c r="AL550" s="2" t="str">
        <f>IF(AF550 &lt; 3, "0-2 Years", IF(AF550 &lt;= 5, "3-5 Years", IF(AF550 &lt;= 10, "6-10 Years",IF(Table3[[#This Row],[Years At Company]]&lt;=20, "11-20 Years","20+ Years"))))</f>
        <v>0-2 Years</v>
      </c>
    </row>
    <row r="551" spans="1:38" x14ac:dyDescent="0.25">
      <c r="A551" s="2">
        <v>34</v>
      </c>
      <c r="B551" t="s">
        <v>43</v>
      </c>
      <c r="C551" t="s">
        <v>36</v>
      </c>
      <c r="D551" s="2">
        <v>970</v>
      </c>
      <c r="E551" t="s">
        <v>45</v>
      </c>
      <c r="F551" s="2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 s="2">
        <v>6142</v>
      </c>
      <c r="T551">
        <v>7360</v>
      </c>
      <c r="U551">
        <v>3</v>
      </c>
      <c r="V551" t="s">
        <v>42</v>
      </c>
      <c r="W551" t="s">
        <v>43</v>
      </c>
      <c r="X551" s="2">
        <v>11</v>
      </c>
      <c r="Y551">
        <v>3</v>
      </c>
      <c r="Z551">
        <v>4</v>
      </c>
      <c r="AA551">
        <v>80</v>
      </c>
      <c r="AB551">
        <v>0</v>
      </c>
      <c r="AC551" s="2">
        <v>10</v>
      </c>
      <c r="AD551">
        <v>2</v>
      </c>
      <c r="AE551">
        <v>3</v>
      </c>
      <c r="AF551" s="2">
        <v>5</v>
      </c>
      <c r="AG551">
        <v>1</v>
      </c>
      <c r="AH551">
        <v>4</v>
      </c>
      <c r="AI551">
        <v>3</v>
      </c>
      <c r="AJ551" s="2" t="str">
        <f>IF(A551 A551 &lt;= 25, "18-25", IF(A551 &lt;=35, "26-35", IF(A551 &lt;=45, "36-45", IF(Table3[[#This Row],[Age]] &lt;=55, "46-55", "56+"))))</f>
        <v>26-35</v>
      </c>
      <c r="AK551" t="str">
        <f t="shared" si="8"/>
        <v>Medium</v>
      </c>
      <c r="AL551" s="2" t="str">
        <f>IF(AF551 &lt; 3, "0-2 Years", IF(AF551 &lt;= 5, "3-5 Years", IF(AF551 &lt;= 10, "6-10 Years",IF(Table3[[#This Row],[Years At Company]]&lt;=20, "11-20 Years","20+ Years"))))</f>
        <v>3-5 Years</v>
      </c>
    </row>
    <row r="552" spans="1:38" x14ac:dyDescent="0.25">
      <c r="A552" s="2">
        <v>23</v>
      </c>
      <c r="B552" t="s">
        <v>43</v>
      </c>
      <c r="C552" t="s">
        <v>36</v>
      </c>
      <c r="D552" s="2">
        <v>650</v>
      </c>
      <c r="E552" t="s">
        <v>45</v>
      </c>
      <c r="F552" s="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 s="2">
        <v>2500</v>
      </c>
      <c r="T552">
        <v>4344</v>
      </c>
      <c r="U552">
        <v>1</v>
      </c>
      <c r="V552" t="s">
        <v>42</v>
      </c>
      <c r="W552" t="s">
        <v>43</v>
      </c>
      <c r="X552" s="2">
        <v>14</v>
      </c>
      <c r="Y552">
        <v>3</v>
      </c>
      <c r="Z552">
        <v>4</v>
      </c>
      <c r="AA552">
        <v>80</v>
      </c>
      <c r="AB552">
        <v>1</v>
      </c>
      <c r="AC552" s="2">
        <v>5</v>
      </c>
      <c r="AD552">
        <v>2</v>
      </c>
      <c r="AE552">
        <v>4</v>
      </c>
      <c r="AF552" s="2">
        <v>4</v>
      </c>
      <c r="AG552">
        <v>3</v>
      </c>
      <c r="AH552">
        <v>0</v>
      </c>
      <c r="AI552">
        <v>2</v>
      </c>
      <c r="AJ552" s="2" t="str">
        <f>IF(A552 A552 &lt;= 25, "18-25", IF(A552 &lt;=35, "26-35", IF(A552 &lt;=45, "36-45", IF(Table3[[#This Row],[Age]] &lt;=55, "46-55", "56+"))))</f>
        <v>18-25</v>
      </c>
      <c r="AK552" t="str">
        <f t="shared" si="8"/>
        <v>Low</v>
      </c>
      <c r="AL552" s="2" t="str">
        <f>IF(AF552 &lt; 3, "0-2 Years", IF(AF552 &lt;= 5, "3-5 Years", IF(AF552 &lt;= 10, "6-10 Years",IF(Table3[[#This Row],[Years At Company]]&lt;=20, "11-20 Years","20+ Years"))))</f>
        <v>3-5 Years</v>
      </c>
    </row>
    <row r="553" spans="1:38" x14ac:dyDescent="0.25">
      <c r="A553" s="2">
        <v>39</v>
      </c>
      <c r="B553" t="s">
        <v>43</v>
      </c>
      <c r="C553" t="s">
        <v>36</v>
      </c>
      <c r="D553" s="2">
        <v>141</v>
      </c>
      <c r="E553" t="s">
        <v>61</v>
      </c>
      <c r="F553" s="2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 s="2">
        <v>6389</v>
      </c>
      <c r="T553">
        <v>18767</v>
      </c>
      <c r="U553">
        <v>9</v>
      </c>
      <c r="V553" t="s">
        <v>42</v>
      </c>
      <c r="W553" t="s">
        <v>43</v>
      </c>
      <c r="X553" s="2">
        <v>15</v>
      </c>
      <c r="Y553">
        <v>3</v>
      </c>
      <c r="Z553">
        <v>3</v>
      </c>
      <c r="AA553">
        <v>80</v>
      </c>
      <c r="AB553">
        <v>1</v>
      </c>
      <c r="AC553" s="2">
        <v>12</v>
      </c>
      <c r="AD553">
        <v>3</v>
      </c>
      <c r="AE553">
        <v>1</v>
      </c>
      <c r="AF553" s="2">
        <v>8</v>
      </c>
      <c r="AG553">
        <v>3</v>
      </c>
      <c r="AH553">
        <v>3</v>
      </c>
      <c r="AI553">
        <v>6</v>
      </c>
      <c r="AJ553" s="2" t="str">
        <f>IF(A553 A553 &lt;= 25, "18-25", IF(A553 &lt;=35, "26-35", IF(A553 &lt;=45, "36-45", IF(Table3[[#This Row],[Age]] &lt;=55, "46-55", "56+"))))</f>
        <v>36-45</v>
      </c>
      <c r="AK553" t="str">
        <f t="shared" si="8"/>
        <v>Medium</v>
      </c>
      <c r="AL553" s="2" t="str">
        <f>IF(AF553 &lt; 3, "0-2 Years", IF(AF553 &lt;= 5, "3-5 Years", IF(AF553 &lt;= 10, "6-10 Years",IF(Table3[[#This Row],[Years At Company]]&lt;=20, "11-20 Years","20+ Years"))))</f>
        <v>6-10 Years</v>
      </c>
    </row>
    <row r="554" spans="1:38" x14ac:dyDescent="0.25">
      <c r="A554" s="2">
        <v>56</v>
      </c>
      <c r="B554" t="s">
        <v>43</v>
      </c>
      <c r="C554" t="s">
        <v>36</v>
      </c>
      <c r="D554" s="2">
        <v>832</v>
      </c>
      <c r="E554" t="s">
        <v>45</v>
      </c>
      <c r="F554" s="2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 s="2">
        <v>11103</v>
      </c>
      <c r="T554">
        <v>20420</v>
      </c>
      <c r="U554">
        <v>7</v>
      </c>
      <c r="V554" t="s">
        <v>42</v>
      </c>
      <c r="W554" t="s">
        <v>43</v>
      </c>
      <c r="X554" s="2">
        <v>11</v>
      </c>
      <c r="Y554">
        <v>3</v>
      </c>
      <c r="Z554">
        <v>3</v>
      </c>
      <c r="AA554">
        <v>80</v>
      </c>
      <c r="AB554">
        <v>0</v>
      </c>
      <c r="AC554" s="2">
        <v>30</v>
      </c>
      <c r="AD554">
        <v>1</v>
      </c>
      <c r="AE554">
        <v>2</v>
      </c>
      <c r="AF554" s="2">
        <v>10</v>
      </c>
      <c r="AG554">
        <v>7</v>
      </c>
      <c r="AH554">
        <v>1</v>
      </c>
      <c r="AI554">
        <v>1</v>
      </c>
      <c r="AJ554" s="2" t="str">
        <f>IF(A554 A554 &lt;= 25, "18-25", IF(A554 &lt;=35, "26-35", IF(A554 &lt;=45, "36-45", IF(Table3[[#This Row],[Age]] &lt;=55, "46-55", "56+"))))</f>
        <v>56+</v>
      </c>
      <c r="AK554" t="str">
        <f t="shared" si="8"/>
        <v>High</v>
      </c>
      <c r="AL554" s="2" t="str">
        <f>IF(AF554 &lt; 3, "0-2 Years", IF(AF554 &lt;= 5, "3-5 Years", IF(AF554 &lt;= 10, "6-10 Years",IF(Table3[[#This Row],[Years At Company]]&lt;=20, "11-20 Years","20+ Years"))))</f>
        <v>6-10 Years</v>
      </c>
    </row>
    <row r="555" spans="1:38" x14ac:dyDescent="0.25">
      <c r="A555" s="2">
        <v>40</v>
      </c>
      <c r="B555" t="s">
        <v>43</v>
      </c>
      <c r="C555" t="s">
        <v>36</v>
      </c>
      <c r="D555" s="2">
        <v>804</v>
      </c>
      <c r="E555" t="s">
        <v>45</v>
      </c>
      <c r="F555" s="2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 s="2">
        <v>2342</v>
      </c>
      <c r="T555">
        <v>22929</v>
      </c>
      <c r="U555">
        <v>0</v>
      </c>
      <c r="V555" t="s">
        <v>42</v>
      </c>
      <c r="W555" t="s">
        <v>35</v>
      </c>
      <c r="X555" s="2">
        <v>20</v>
      </c>
      <c r="Y555">
        <v>4</v>
      </c>
      <c r="Z555">
        <v>4</v>
      </c>
      <c r="AA555">
        <v>80</v>
      </c>
      <c r="AB555">
        <v>0</v>
      </c>
      <c r="AC555" s="2">
        <v>5</v>
      </c>
      <c r="AD555">
        <v>2</v>
      </c>
      <c r="AE555">
        <v>2</v>
      </c>
      <c r="AF555" s="2">
        <v>4</v>
      </c>
      <c r="AG555">
        <v>2</v>
      </c>
      <c r="AH555">
        <v>2</v>
      </c>
      <c r="AI555">
        <v>3</v>
      </c>
      <c r="AJ555" s="2" t="str">
        <f>IF(A555 A555 &lt;= 25, "18-25", IF(A555 &lt;=35, "26-35", IF(A555 &lt;=45, "36-45", IF(Table3[[#This Row],[Age]] &lt;=55, "46-55", "56+"))))</f>
        <v>36-45</v>
      </c>
      <c r="AK555" t="str">
        <f t="shared" si="8"/>
        <v>Low</v>
      </c>
      <c r="AL555" s="2" t="str">
        <f>IF(AF555 &lt; 3, "0-2 Years", IF(AF555 &lt;= 5, "3-5 Years", IF(AF555 &lt;= 10, "6-10 Years",IF(Table3[[#This Row],[Years At Company]]&lt;=20, "11-20 Years","20+ Years"))))</f>
        <v>3-5 Years</v>
      </c>
    </row>
    <row r="556" spans="1:38" x14ac:dyDescent="0.25">
      <c r="A556" s="2">
        <v>27</v>
      </c>
      <c r="B556" t="s">
        <v>43</v>
      </c>
      <c r="C556" t="s">
        <v>36</v>
      </c>
      <c r="D556" s="2">
        <v>975</v>
      </c>
      <c r="E556" t="s">
        <v>45</v>
      </c>
      <c r="F556" s="2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 s="2">
        <v>6811</v>
      </c>
      <c r="T556">
        <v>23398</v>
      </c>
      <c r="U556">
        <v>8</v>
      </c>
      <c r="V556" t="s">
        <v>42</v>
      </c>
      <c r="W556" t="s">
        <v>43</v>
      </c>
      <c r="X556" s="2">
        <v>19</v>
      </c>
      <c r="Y556">
        <v>3</v>
      </c>
      <c r="Z556">
        <v>1</v>
      </c>
      <c r="AA556">
        <v>80</v>
      </c>
      <c r="AB556">
        <v>0</v>
      </c>
      <c r="AC556" s="2">
        <v>9</v>
      </c>
      <c r="AD556">
        <v>2</v>
      </c>
      <c r="AE556">
        <v>1</v>
      </c>
      <c r="AF556" s="2">
        <v>7</v>
      </c>
      <c r="AG556">
        <v>6</v>
      </c>
      <c r="AH556">
        <v>0</v>
      </c>
      <c r="AI556">
        <v>7</v>
      </c>
      <c r="AJ556" s="2" t="str">
        <f>IF(A556 A556 &lt;= 25, "18-25", IF(A556 &lt;=35, "26-35", IF(A556 &lt;=45, "36-45", IF(Table3[[#This Row],[Age]] &lt;=55, "46-55", "56+"))))</f>
        <v>26-35</v>
      </c>
      <c r="AK556" t="str">
        <f t="shared" si="8"/>
        <v>Medium</v>
      </c>
      <c r="AL556" s="2" t="str">
        <f>IF(AF556 &lt; 3, "0-2 Years", IF(AF556 &lt;= 5, "3-5 Years", IF(AF556 &lt;= 10, "6-10 Years",IF(Table3[[#This Row],[Years At Company]]&lt;=20, "11-20 Years","20+ Years"))))</f>
        <v>6-10 Years</v>
      </c>
    </row>
    <row r="557" spans="1:38" x14ac:dyDescent="0.25">
      <c r="A557" s="2">
        <v>29</v>
      </c>
      <c r="B557" t="s">
        <v>43</v>
      </c>
      <c r="C557" t="s">
        <v>36</v>
      </c>
      <c r="D557" s="2">
        <v>1090</v>
      </c>
      <c r="E557" t="s">
        <v>37</v>
      </c>
      <c r="F557" s="2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 s="2">
        <v>2297</v>
      </c>
      <c r="T557">
        <v>17967</v>
      </c>
      <c r="U557">
        <v>1</v>
      </c>
      <c r="V557" t="s">
        <v>42</v>
      </c>
      <c r="W557" t="s">
        <v>43</v>
      </c>
      <c r="X557" s="2">
        <v>14</v>
      </c>
      <c r="Y557">
        <v>3</v>
      </c>
      <c r="Z557">
        <v>4</v>
      </c>
      <c r="AA557">
        <v>80</v>
      </c>
      <c r="AB557">
        <v>2</v>
      </c>
      <c r="AC557" s="2">
        <v>2</v>
      </c>
      <c r="AD557">
        <v>2</v>
      </c>
      <c r="AE557">
        <v>3</v>
      </c>
      <c r="AF557" s="2">
        <v>2</v>
      </c>
      <c r="AG557">
        <v>2</v>
      </c>
      <c r="AH557">
        <v>2</v>
      </c>
      <c r="AI557">
        <v>2</v>
      </c>
      <c r="AJ557" s="2" t="str">
        <f>IF(A557 A557 &lt;= 25, "18-25", IF(A557 &lt;=35, "26-35", IF(A557 &lt;=45, "36-45", IF(Table3[[#This Row],[Age]] &lt;=55, "46-55", "56+"))))</f>
        <v>26-35</v>
      </c>
      <c r="AK557" t="str">
        <f t="shared" si="8"/>
        <v>Low</v>
      </c>
      <c r="AL557" s="2" t="str">
        <f>IF(AF557 &lt; 3, "0-2 Years", IF(AF557 &lt;= 5, "3-5 Years", IF(AF557 &lt;= 10, "6-10 Years",IF(Table3[[#This Row],[Years At Company]]&lt;=20, "11-20 Years","20+ Years"))))</f>
        <v>0-2 Years</v>
      </c>
    </row>
    <row r="558" spans="1:38" x14ac:dyDescent="0.25">
      <c r="A558" s="2">
        <v>53</v>
      </c>
      <c r="B558" t="s">
        <v>43</v>
      </c>
      <c r="C558" t="s">
        <v>36</v>
      </c>
      <c r="D558" s="2">
        <v>346</v>
      </c>
      <c r="E558" t="s">
        <v>45</v>
      </c>
      <c r="F558" s="2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 s="2">
        <v>2450</v>
      </c>
      <c r="T558">
        <v>10919</v>
      </c>
      <c r="U558">
        <v>2</v>
      </c>
      <c r="V558" t="s">
        <v>42</v>
      </c>
      <c r="W558" t="s">
        <v>43</v>
      </c>
      <c r="X558" s="2">
        <v>17</v>
      </c>
      <c r="Y558">
        <v>3</v>
      </c>
      <c r="Z558">
        <v>4</v>
      </c>
      <c r="AA558">
        <v>80</v>
      </c>
      <c r="AB558">
        <v>0</v>
      </c>
      <c r="AC558" s="2">
        <v>19</v>
      </c>
      <c r="AD558">
        <v>4</v>
      </c>
      <c r="AE558">
        <v>3</v>
      </c>
      <c r="AF558" s="2">
        <v>2</v>
      </c>
      <c r="AG558">
        <v>2</v>
      </c>
      <c r="AH558">
        <v>2</v>
      </c>
      <c r="AI558">
        <v>2</v>
      </c>
      <c r="AJ558" s="2" t="str">
        <f>IF(A558 A558 &lt;= 25, "18-25", IF(A558 &lt;=35, "26-35", IF(A558 &lt;=45, "36-45", IF(Table3[[#This Row],[Age]] &lt;=55, "46-55", "56+"))))</f>
        <v>46-55</v>
      </c>
      <c r="AK558" t="str">
        <f t="shared" si="8"/>
        <v>Low</v>
      </c>
      <c r="AL558" s="2" t="str">
        <f>IF(AF558 &lt; 3, "0-2 Years", IF(AF558 &lt;= 5, "3-5 Years", IF(AF558 &lt;= 10, "6-10 Years",IF(Table3[[#This Row],[Years At Company]]&lt;=20, "11-20 Years","20+ Years"))))</f>
        <v>0-2 Years</v>
      </c>
    </row>
    <row r="559" spans="1:38" x14ac:dyDescent="0.25">
      <c r="A559" s="2">
        <v>35</v>
      </c>
      <c r="B559" t="s">
        <v>43</v>
      </c>
      <c r="C559" t="s">
        <v>55</v>
      </c>
      <c r="D559" s="2">
        <v>1225</v>
      </c>
      <c r="E559" t="s">
        <v>45</v>
      </c>
      <c r="F559" s="2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 s="2">
        <v>5093</v>
      </c>
      <c r="T559">
        <v>4761</v>
      </c>
      <c r="U559">
        <v>2</v>
      </c>
      <c r="V559" t="s">
        <v>42</v>
      </c>
      <c r="W559" t="s">
        <v>43</v>
      </c>
      <c r="X559" s="2">
        <v>11</v>
      </c>
      <c r="Y559">
        <v>3</v>
      </c>
      <c r="Z559">
        <v>1</v>
      </c>
      <c r="AA559">
        <v>80</v>
      </c>
      <c r="AB559">
        <v>1</v>
      </c>
      <c r="AC559" s="2">
        <v>16</v>
      </c>
      <c r="AD559">
        <v>2</v>
      </c>
      <c r="AE559">
        <v>4</v>
      </c>
      <c r="AF559" s="2">
        <v>1</v>
      </c>
      <c r="AG559">
        <v>0</v>
      </c>
      <c r="AH559">
        <v>0</v>
      </c>
      <c r="AI559">
        <v>0</v>
      </c>
      <c r="AJ559" s="2" t="str">
        <f>IF(A559 A559 &lt;= 25, "18-25", IF(A559 &lt;=35, "26-35", IF(A559 &lt;=45, "36-45", IF(Table3[[#This Row],[Age]] &lt;=55, "46-55", "56+"))))</f>
        <v>26-35</v>
      </c>
      <c r="AK559" t="str">
        <f t="shared" si="8"/>
        <v>Medium</v>
      </c>
      <c r="AL559" s="2" t="str">
        <f>IF(AF559 &lt; 3, "0-2 Years", IF(AF559 &lt;= 5, "3-5 Years", IF(AF559 &lt;= 10, "6-10 Years",IF(Table3[[#This Row],[Years At Company]]&lt;=20, "11-20 Years","20+ Years"))))</f>
        <v>0-2 Years</v>
      </c>
    </row>
    <row r="560" spans="1:38" x14ac:dyDescent="0.25">
      <c r="A560" s="2">
        <v>32</v>
      </c>
      <c r="B560" t="s">
        <v>43</v>
      </c>
      <c r="C560" t="s">
        <v>44</v>
      </c>
      <c r="D560" s="2">
        <v>430</v>
      </c>
      <c r="E560" t="s">
        <v>45</v>
      </c>
      <c r="F560" s="2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 s="2">
        <v>5309</v>
      </c>
      <c r="T560">
        <v>21146</v>
      </c>
      <c r="U560">
        <v>1</v>
      </c>
      <c r="V560" t="s">
        <v>42</v>
      </c>
      <c r="W560" t="s">
        <v>43</v>
      </c>
      <c r="X560" s="2">
        <v>15</v>
      </c>
      <c r="Y560">
        <v>3</v>
      </c>
      <c r="Z560">
        <v>4</v>
      </c>
      <c r="AA560">
        <v>80</v>
      </c>
      <c r="AB560">
        <v>2</v>
      </c>
      <c r="AC560" s="2">
        <v>10</v>
      </c>
      <c r="AD560">
        <v>2</v>
      </c>
      <c r="AE560">
        <v>3</v>
      </c>
      <c r="AF560" s="2">
        <v>10</v>
      </c>
      <c r="AG560">
        <v>8</v>
      </c>
      <c r="AH560">
        <v>4</v>
      </c>
      <c r="AI560">
        <v>7</v>
      </c>
      <c r="AJ560" s="2" t="str">
        <f>IF(A560 A560 &lt;= 25, "18-25", IF(A560 &lt;=35, "26-35", IF(A560 &lt;=45, "36-45", IF(Table3[[#This Row],[Age]] &lt;=55, "46-55", "56+"))))</f>
        <v>26-35</v>
      </c>
      <c r="AK560" t="str">
        <f t="shared" si="8"/>
        <v>Medium</v>
      </c>
      <c r="AL560" s="2" t="str">
        <f>IF(AF560 &lt; 3, "0-2 Years", IF(AF560 &lt;= 5, "3-5 Years", IF(AF560 &lt;= 10, "6-10 Years",IF(Table3[[#This Row],[Years At Company]]&lt;=20, "11-20 Years","20+ Years"))))</f>
        <v>6-10 Years</v>
      </c>
    </row>
    <row r="561" spans="1:38" x14ac:dyDescent="0.25">
      <c r="A561" s="2">
        <v>38</v>
      </c>
      <c r="B561" t="s">
        <v>43</v>
      </c>
      <c r="C561" t="s">
        <v>36</v>
      </c>
      <c r="D561" s="2">
        <v>268</v>
      </c>
      <c r="E561" t="s">
        <v>45</v>
      </c>
      <c r="F561" s="2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 s="2">
        <v>3057</v>
      </c>
      <c r="T561">
        <v>20471</v>
      </c>
      <c r="U561">
        <v>6</v>
      </c>
      <c r="V561" t="s">
        <v>42</v>
      </c>
      <c r="W561" t="s">
        <v>35</v>
      </c>
      <c r="X561" s="2">
        <v>13</v>
      </c>
      <c r="Y561">
        <v>3</v>
      </c>
      <c r="Z561">
        <v>2</v>
      </c>
      <c r="AA561">
        <v>80</v>
      </c>
      <c r="AB561">
        <v>1</v>
      </c>
      <c r="AC561" s="2">
        <v>6</v>
      </c>
      <c r="AD561">
        <v>0</v>
      </c>
      <c r="AE561">
        <v>1</v>
      </c>
      <c r="AF561" s="2">
        <v>1</v>
      </c>
      <c r="AG561">
        <v>0</v>
      </c>
      <c r="AH561">
        <v>0</v>
      </c>
      <c r="AI561">
        <v>1</v>
      </c>
      <c r="AJ561" s="2" t="str">
        <f>IF(A561 A561 &lt;= 25, "18-25", IF(A561 &lt;=35, "26-35", IF(A561 &lt;=45, "36-45", IF(Table3[[#This Row],[Age]] &lt;=55, "46-55", "56+"))))</f>
        <v>36-45</v>
      </c>
      <c r="AK561" t="str">
        <f t="shared" si="8"/>
        <v>Low</v>
      </c>
      <c r="AL561" s="2" t="str">
        <f>IF(AF561 &lt; 3, "0-2 Years", IF(AF561 &lt;= 5, "3-5 Years", IF(AF561 &lt;= 10, "6-10 Years",IF(Table3[[#This Row],[Years At Company]]&lt;=20, "11-20 Years","20+ Years"))))</f>
        <v>0-2 Years</v>
      </c>
    </row>
    <row r="562" spans="1:38" x14ac:dyDescent="0.25">
      <c r="A562" s="2">
        <v>34</v>
      </c>
      <c r="B562" t="s">
        <v>43</v>
      </c>
      <c r="C562" t="s">
        <v>36</v>
      </c>
      <c r="D562" s="2">
        <v>167</v>
      </c>
      <c r="E562" t="s">
        <v>45</v>
      </c>
      <c r="F562" s="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 s="2">
        <v>5121</v>
      </c>
      <c r="T562">
        <v>4187</v>
      </c>
      <c r="U562">
        <v>3</v>
      </c>
      <c r="V562" t="s">
        <v>42</v>
      </c>
      <c r="W562" t="s">
        <v>43</v>
      </c>
      <c r="X562" s="2">
        <v>14</v>
      </c>
      <c r="Y562">
        <v>3</v>
      </c>
      <c r="Z562">
        <v>3</v>
      </c>
      <c r="AA562">
        <v>80</v>
      </c>
      <c r="AB562">
        <v>1</v>
      </c>
      <c r="AC562" s="2">
        <v>7</v>
      </c>
      <c r="AD562">
        <v>3</v>
      </c>
      <c r="AE562">
        <v>3</v>
      </c>
      <c r="AF562" s="2">
        <v>0</v>
      </c>
      <c r="AG562">
        <v>0</v>
      </c>
      <c r="AH562">
        <v>0</v>
      </c>
      <c r="AI562">
        <v>0</v>
      </c>
      <c r="AJ562" s="2" t="str">
        <f>IF(A562 A562 &lt;= 25, "18-25", IF(A562 &lt;=35, "26-35", IF(A562 &lt;=45, "36-45", IF(Table3[[#This Row],[Age]] &lt;=55, "46-55", "56+"))))</f>
        <v>26-35</v>
      </c>
      <c r="AK562" t="str">
        <f t="shared" si="8"/>
        <v>Medium</v>
      </c>
      <c r="AL562" s="2" t="str">
        <f>IF(AF562 &lt; 3, "0-2 Years", IF(AF562 &lt;= 5, "3-5 Years", IF(AF562 &lt;= 10, "6-10 Years",IF(Table3[[#This Row],[Years At Company]]&lt;=20, "11-20 Years","20+ Years"))))</f>
        <v>0-2 Years</v>
      </c>
    </row>
    <row r="563" spans="1:38" x14ac:dyDescent="0.25">
      <c r="A563" s="2">
        <v>52</v>
      </c>
      <c r="B563" t="s">
        <v>43</v>
      </c>
      <c r="C563" t="s">
        <v>36</v>
      </c>
      <c r="D563" s="2">
        <v>621</v>
      </c>
      <c r="E563" t="s">
        <v>37</v>
      </c>
      <c r="F563" s="2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 s="2">
        <v>16856</v>
      </c>
      <c r="T563">
        <v>10084</v>
      </c>
      <c r="U563">
        <v>1</v>
      </c>
      <c r="V563" t="s">
        <v>42</v>
      </c>
      <c r="W563" t="s">
        <v>43</v>
      </c>
      <c r="X563" s="2">
        <v>11</v>
      </c>
      <c r="Y563">
        <v>3</v>
      </c>
      <c r="Z563">
        <v>1</v>
      </c>
      <c r="AA563">
        <v>80</v>
      </c>
      <c r="AB563">
        <v>0</v>
      </c>
      <c r="AC563" s="2">
        <v>34</v>
      </c>
      <c r="AD563">
        <v>3</v>
      </c>
      <c r="AE563">
        <v>4</v>
      </c>
      <c r="AF563" s="2">
        <v>34</v>
      </c>
      <c r="AG563">
        <v>6</v>
      </c>
      <c r="AH563">
        <v>1</v>
      </c>
      <c r="AI563">
        <v>16</v>
      </c>
      <c r="AJ563" s="2" t="str">
        <f>IF(A563 A563 &lt;= 25, "18-25", IF(A563 &lt;=35, "26-35", IF(A563 &lt;=45, "36-45", IF(Table3[[#This Row],[Age]] &lt;=55, "46-55", "56+"))))</f>
        <v>46-55</v>
      </c>
      <c r="AK563" t="str">
        <f t="shared" si="8"/>
        <v>High</v>
      </c>
      <c r="AL563" s="2" t="str">
        <f>IF(AF563 &lt; 3, "0-2 Years", IF(AF563 &lt;= 5, "3-5 Years", IF(AF563 &lt;= 10, "6-10 Years",IF(Table3[[#This Row],[Years At Company]]&lt;=20, "11-20 Years","20+ Years"))))</f>
        <v>20+ Years</v>
      </c>
    </row>
    <row r="564" spans="1:38" x14ac:dyDescent="0.25">
      <c r="A564" s="2">
        <v>33</v>
      </c>
      <c r="B564" t="s">
        <v>35</v>
      </c>
      <c r="C564" t="s">
        <v>36</v>
      </c>
      <c r="D564" s="2">
        <v>527</v>
      </c>
      <c r="E564" t="s">
        <v>45</v>
      </c>
      <c r="F564" s="2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 s="2">
        <v>2686</v>
      </c>
      <c r="T564">
        <v>5207</v>
      </c>
      <c r="U564">
        <v>1</v>
      </c>
      <c r="V564" t="s">
        <v>42</v>
      </c>
      <c r="W564" t="s">
        <v>35</v>
      </c>
      <c r="X564" s="2">
        <v>13</v>
      </c>
      <c r="Y564">
        <v>3</v>
      </c>
      <c r="Z564">
        <v>3</v>
      </c>
      <c r="AA564">
        <v>80</v>
      </c>
      <c r="AB564">
        <v>0</v>
      </c>
      <c r="AC564" s="2">
        <v>10</v>
      </c>
      <c r="AD564">
        <v>2</v>
      </c>
      <c r="AE564">
        <v>2</v>
      </c>
      <c r="AF564" s="2">
        <v>10</v>
      </c>
      <c r="AG564">
        <v>9</v>
      </c>
      <c r="AH564">
        <v>7</v>
      </c>
      <c r="AI564">
        <v>8</v>
      </c>
      <c r="AJ564" s="2" t="str">
        <f>IF(A564 A564 &lt;= 25, "18-25", IF(A564 &lt;=35, "26-35", IF(A564 &lt;=45, "36-45", IF(Table3[[#This Row],[Age]] &lt;=55, "46-55", "56+"))))</f>
        <v>26-35</v>
      </c>
      <c r="AK564" t="str">
        <f t="shared" si="8"/>
        <v>Low</v>
      </c>
      <c r="AL564" s="2" t="str">
        <f>IF(AF564 &lt; 3, "0-2 Years", IF(AF564 &lt;= 5, "3-5 Years", IF(AF564 &lt;= 10, "6-10 Years",IF(Table3[[#This Row],[Years At Company]]&lt;=20, "11-20 Years","20+ Years"))))</f>
        <v>6-10 Years</v>
      </c>
    </row>
    <row r="565" spans="1:38" x14ac:dyDescent="0.25">
      <c r="A565" s="2">
        <v>25</v>
      </c>
      <c r="B565" t="s">
        <v>43</v>
      </c>
      <c r="C565" t="s">
        <v>36</v>
      </c>
      <c r="D565" s="2">
        <v>883</v>
      </c>
      <c r="E565" t="s">
        <v>37</v>
      </c>
      <c r="F565" s="2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 s="2">
        <v>6180</v>
      </c>
      <c r="T565">
        <v>22807</v>
      </c>
      <c r="U565">
        <v>1</v>
      </c>
      <c r="V565" t="s">
        <v>42</v>
      </c>
      <c r="W565" t="s">
        <v>43</v>
      </c>
      <c r="X565" s="2">
        <v>23</v>
      </c>
      <c r="Y565">
        <v>4</v>
      </c>
      <c r="Z565">
        <v>2</v>
      </c>
      <c r="AA565">
        <v>80</v>
      </c>
      <c r="AB565">
        <v>0</v>
      </c>
      <c r="AC565" s="2">
        <v>6</v>
      </c>
      <c r="AD565">
        <v>5</v>
      </c>
      <c r="AE565">
        <v>2</v>
      </c>
      <c r="AF565" s="2">
        <v>6</v>
      </c>
      <c r="AG565">
        <v>5</v>
      </c>
      <c r="AH565">
        <v>1</v>
      </c>
      <c r="AI565">
        <v>4</v>
      </c>
      <c r="AJ565" s="2" t="str">
        <f>IF(A565 A565 &lt;= 25, "18-25", IF(A565 &lt;=35, "26-35", IF(A565 &lt;=45, "36-45", IF(Table3[[#This Row],[Age]] &lt;=55, "46-55", "56+"))))</f>
        <v>18-25</v>
      </c>
      <c r="AK565" t="str">
        <f t="shared" si="8"/>
        <v>Medium</v>
      </c>
      <c r="AL565" s="2" t="str">
        <f>IF(AF565 &lt; 3, "0-2 Years", IF(AF565 &lt;= 5, "3-5 Years", IF(AF565 &lt;= 10, "6-10 Years",IF(Table3[[#This Row],[Years At Company]]&lt;=20, "11-20 Years","20+ Years"))))</f>
        <v>6-10 Years</v>
      </c>
    </row>
    <row r="566" spans="1:38" x14ac:dyDescent="0.25">
      <c r="A566" s="2">
        <v>45</v>
      </c>
      <c r="B566" t="s">
        <v>43</v>
      </c>
      <c r="C566" t="s">
        <v>36</v>
      </c>
      <c r="D566" s="2">
        <v>954</v>
      </c>
      <c r="E566" t="s">
        <v>37</v>
      </c>
      <c r="F566" s="2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 s="2">
        <v>6632</v>
      </c>
      <c r="T566">
        <v>12388</v>
      </c>
      <c r="U566">
        <v>0</v>
      </c>
      <c r="V566" t="s">
        <v>42</v>
      </c>
      <c r="W566" t="s">
        <v>43</v>
      </c>
      <c r="X566" s="2">
        <v>13</v>
      </c>
      <c r="Y566">
        <v>3</v>
      </c>
      <c r="Z566">
        <v>1</v>
      </c>
      <c r="AA566">
        <v>80</v>
      </c>
      <c r="AB566">
        <v>0</v>
      </c>
      <c r="AC566" s="2">
        <v>9</v>
      </c>
      <c r="AD566">
        <v>3</v>
      </c>
      <c r="AE566">
        <v>3</v>
      </c>
      <c r="AF566" s="2">
        <v>8</v>
      </c>
      <c r="AG566">
        <v>7</v>
      </c>
      <c r="AH566">
        <v>3</v>
      </c>
      <c r="AI566">
        <v>1</v>
      </c>
      <c r="AJ566" s="2" t="str">
        <f>IF(A566 A566 &lt;= 25, "18-25", IF(A566 &lt;=35, "26-35", IF(A566 &lt;=45, "36-45", IF(Table3[[#This Row],[Age]] &lt;=55, "46-55", "56+"))))</f>
        <v>36-45</v>
      </c>
      <c r="AK566" t="str">
        <f t="shared" si="8"/>
        <v>Medium</v>
      </c>
      <c r="AL566" s="2" t="str">
        <f>IF(AF566 &lt; 3, "0-2 Years", IF(AF566 &lt;= 5, "3-5 Years", IF(AF566 &lt;= 10, "6-10 Years",IF(Table3[[#This Row],[Years At Company]]&lt;=20, "11-20 Years","20+ Years"))))</f>
        <v>6-10 Years</v>
      </c>
    </row>
    <row r="567" spans="1:38" x14ac:dyDescent="0.25">
      <c r="A567" s="2">
        <v>23</v>
      </c>
      <c r="B567" t="s">
        <v>43</v>
      </c>
      <c r="C567" t="s">
        <v>36</v>
      </c>
      <c r="D567" s="2">
        <v>310</v>
      </c>
      <c r="E567" t="s">
        <v>45</v>
      </c>
      <c r="F567" s="2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 s="2">
        <v>3505</v>
      </c>
      <c r="T567">
        <v>19630</v>
      </c>
      <c r="U567">
        <v>1</v>
      </c>
      <c r="V567" t="s">
        <v>42</v>
      </c>
      <c r="W567" t="s">
        <v>43</v>
      </c>
      <c r="X567" s="2">
        <v>18</v>
      </c>
      <c r="Y567">
        <v>3</v>
      </c>
      <c r="Z567">
        <v>4</v>
      </c>
      <c r="AA567">
        <v>80</v>
      </c>
      <c r="AB567">
        <v>0</v>
      </c>
      <c r="AC567" s="2">
        <v>2</v>
      </c>
      <c r="AD567">
        <v>3</v>
      </c>
      <c r="AE567">
        <v>3</v>
      </c>
      <c r="AF567" s="2">
        <v>2</v>
      </c>
      <c r="AG567">
        <v>2</v>
      </c>
      <c r="AH567">
        <v>0</v>
      </c>
      <c r="AI567">
        <v>2</v>
      </c>
      <c r="AJ567" s="2" t="str">
        <f>IF(A567 A567 &lt;= 25, "18-25", IF(A567 &lt;=35, "26-35", IF(A567 &lt;=45, "36-45", IF(Table3[[#This Row],[Age]] &lt;=55, "46-55", "56+"))))</f>
        <v>18-25</v>
      </c>
      <c r="AK567" t="str">
        <f t="shared" si="8"/>
        <v>Low</v>
      </c>
      <c r="AL567" s="2" t="str">
        <f>IF(AF567 &lt; 3, "0-2 Years", IF(AF567 &lt;= 5, "3-5 Years", IF(AF567 &lt;= 10, "6-10 Years",IF(Table3[[#This Row],[Years At Company]]&lt;=20, "11-20 Years","20+ Years"))))</f>
        <v>0-2 Years</v>
      </c>
    </row>
    <row r="568" spans="1:38" x14ac:dyDescent="0.25">
      <c r="A568" s="2">
        <v>47</v>
      </c>
      <c r="B568" t="s">
        <v>35</v>
      </c>
      <c r="C568" t="s">
        <v>44</v>
      </c>
      <c r="D568" s="2">
        <v>719</v>
      </c>
      <c r="E568" t="s">
        <v>37</v>
      </c>
      <c r="F568" s="2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 s="2">
        <v>6397</v>
      </c>
      <c r="T568">
        <v>10339</v>
      </c>
      <c r="U568">
        <v>4</v>
      </c>
      <c r="V568" t="s">
        <v>42</v>
      </c>
      <c r="W568" t="s">
        <v>35</v>
      </c>
      <c r="X568" s="2">
        <v>12</v>
      </c>
      <c r="Y568">
        <v>3</v>
      </c>
      <c r="Z568">
        <v>4</v>
      </c>
      <c r="AA568">
        <v>80</v>
      </c>
      <c r="AB568">
        <v>0</v>
      </c>
      <c r="AC568" s="2">
        <v>8</v>
      </c>
      <c r="AD568">
        <v>2</v>
      </c>
      <c r="AE568">
        <v>3</v>
      </c>
      <c r="AF568" s="2">
        <v>5</v>
      </c>
      <c r="AG568">
        <v>4</v>
      </c>
      <c r="AH568">
        <v>1</v>
      </c>
      <c r="AI568">
        <v>3</v>
      </c>
      <c r="AJ568" s="2" t="str">
        <f>IF(A568 A568 &lt;= 25, "18-25", IF(A568 &lt;=35, "26-35", IF(A568 &lt;=45, "36-45", IF(Table3[[#This Row],[Age]] &lt;=55, "46-55", "56+"))))</f>
        <v>46-55</v>
      </c>
      <c r="AK568" t="str">
        <f t="shared" si="8"/>
        <v>Medium</v>
      </c>
      <c r="AL568" s="2" t="str">
        <f>IF(AF568 &lt; 3, "0-2 Years", IF(AF568 &lt;= 5, "3-5 Years", IF(AF568 &lt;= 10, "6-10 Years",IF(Table3[[#This Row],[Years At Company]]&lt;=20, "11-20 Years","20+ Years"))))</f>
        <v>3-5 Years</v>
      </c>
    </row>
    <row r="569" spans="1:38" x14ac:dyDescent="0.25">
      <c r="A569" s="2">
        <v>34</v>
      </c>
      <c r="B569" t="s">
        <v>43</v>
      </c>
      <c r="C569" t="s">
        <v>36</v>
      </c>
      <c r="D569" s="2">
        <v>304</v>
      </c>
      <c r="E569" t="s">
        <v>37</v>
      </c>
      <c r="F569" s="2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 s="2">
        <v>6274</v>
      </c>
      <c r="T569">
        <v>18686</v>
      </c>
      <c r="U569">
        <v>1</v>
      </c>
      <c r="V569" t="s">
        <v>42</v>
      </c>
      <c r="W569" t="s">
        <v>43</v>
      </c>
      <c r="X569" s="2">
        <v>22</v>
      </c>
      <c r="Y569">
        <v>4</v>
      </c>
      <c r="Z569">
        <v>3</v>
      </c>
      <c r="AA569">
        <v>80</v>
      </c>
      <c r="AB569">
        <v>0</v>
      </c>
      <c r="AC569" s="2">
        <v>6</v>
      </c>
      <c r="AD569">
        <v>5</v>
      </c>
      <c r="AE569">
        <v>3</v>
      </c>
      <c r="AF569" s="2">
        <v>6</v>
      </c>
      <c r="AG569">
        <v>5</v>
      </c>
      <c r="AH569">
        <v>1</v>
      </c>
      <c r="AI569">
        <v>4</v>
      </c>
      <c r="AJ569" s="2" t="str">
        <f>IF(A569 A569 &lt;= 25, "18-25", IF(A569 &lt;=35, "26-35", IF(A569 &lt;=45, "36-45", IF(Table3[[#This Row],[Age]] &lt;=55, "46-55", "56+"))))</f>
        <v>26-35</v>
      </c>
      <c r="AK569" t="str">
        <f t="shared" si="8"/>
        <v>Medium</v>
      </c>
      <c r="AL569" s="2" t="str">
        <f>IF(AF569 &lt; 3, "0-2 Years", IF(AF569 &lt;= 5, "3-5 Years", IF(AF569 &lt;= 10, "6-10 Years",IF(Table3[[#This Row],[Years At Company]]&lt;=20, "11-20 Years","20+ Years"))))</f>
        <v>6-10 Years</v>
      </c>
    </row>
    <row r="570" spans="1:38" x14ac:dyDescent="0.25">
      <c r="A570" s="2">
        <v>55</v>
      </c>
      <c r="B570" t="s">
        <v>35</v>
      </c>
      <c r="C570" t="s">
        <v>36</v>
      </c>
      <c r="D570" s="2">
        <v>725</v>
      </c>
      <c r="E570" t="s">
        <v>45</v>
      </c>
      <c r="F570" s="2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 s="2">
        <v>19859</v>
      </c>
      <c r="T570">
        <v>21199</v>
      </c>
      <c r="U570">
        <v>5</v>
      </c>
      <c r="V570" t="s">
        <v>42</v>
      </c>
      <c r="W570" t="s">
        <v>35</v>
      </c>
      <c r="X570" s="2">
        <v>13</v>
      </c>
      <c r="Y570">
        <v>3</v>
      </c>
      <c r="Z570">
        <v>4</v>
      </c>
      <c r="AA570">
        <v>80</v>
      </c>
      <c r="AB570">
        <v>1</v>
      </c>
      <c r="AC570" s="2">
        <v>24</v>
      </c>
      <c r="AD570">
        <v>2</v>
      </c>
      <c r="AE570">
        <v>3</v>
      </c>
      <c r="AF570" s="2">
        <v>5</v>
      </c>
      <c r="AG570">
        <v>2</v>
      </c>
      <c r="AH570">
        <v>1</v>
      </c>
      <c r="AI570">
        <v>4</v>
      </c>
      <c r="AJ570" s="2" t="str">
        <f>IF(A570 A570 &lt;= 25, "18-25", IF(A570 &lt;=35, "26-35", IF(A570 &lt;=45, "36-45", IF(Table3[[#This Row],[Age]] &lt;=55, "46-55", "56+"))))</f>
        <v>46-55</v>
      </c>
      <c r="AK570" t="str">
        <f t="shared" si="8"/>
        <v>High</v>
      </c>
      <c r="AL570" s="2" t="str">
        <f>IF(AF570 &lt; 3, "0-2 Years", IF(AF570 &lt;= 5, "3-5 Years", IF(AF570 &lt;= 10, "6-10 Years",IF(Table3[[#This Row],[Years At Company]]&lt;=20, "11-20 Years","20+ Years"))))</f>
        <v>3-5 Years</v>
      </c>
    </row>
    <row r="571" spans="1:38" x14ac:dyDescent="0.25">
      <c r="A571" s="2">
        <v>36</v>
      </c>
      <c r="B571" t="s">
        <v>43</v>
      </c>
      <c r="C571" t="s">
        <v>55</v>
      </c>
      <c r="D571" s="2">
        <v>1434</v>
      </c>
      <c r="E571" t="s">
        <v>37</v>
      </c>
      <c r="F571" s="2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 s="2">
        <v>7587</v>
      </c>
      <c r="T571">
        <v>14229</v>
      </c>
      <c r="U571">
        <v>1</v>
      </c>
      <c r="V571" t="s">
        <v>42</v>
      </c>
      <c r="W571" t="s">
        <v>43</v>
      </c>
      <c r="X571" s="2">
        <v>15</v>
      </c>
      <c r="Y571">
        <v>3</v>
      </c>
      <c r="Z571">
        <v>2</v>
      </c>
      <c r="AA571">
        <v>80</v>
      </c>
      <c r="AB571">
        <v>0</v>
      </c>
      <c r="AC571" s="2">
        <v>10</v>
      </c>
      <c r="AD571">
        <v>1</v>
      </c>
      <c r="AE571">
        <v>3</v>
      </c>
      <c r="AF571" s="2">
        <v>10</v>
      </c>
      <c r="AG571">
        <v>7</v>
      </c>
      <c r="AH571">
        <v>0</v>
      </c>
      <c r="AI571">
        <v>9</v>
      </c>
      <c r="AJ571" s="2" t="str">
        <f>IF(A571 A571 &lt;= 25, "18-25", IF(A571 &lt;=35, "26-35", IF(A571 &lt;=45, "36-45", IF(Table3[[#This Row],[Age]] &lt;=55, "46-55", "56+"))))</f>
        <v>36-45</v>
      </c>
      <c r="AK571" t="str">
        <f t="shared" si="8"/>
        <v>Medium</v>
      </c>
      <c r="AL571" s="2" t="str">
        <f>IF(AF571 &lt; 3, "0-2 Years", IF(AF571 &lt;= 5, "3-5 Years", IF(AF571 &lt;= 10, "6-10 Years",IF(Table3[[#This Row],[Years At Company]]&lt;=20, "11-20 Years","20+ Years"))))</f>
        <v>6-10 Years</v>
      </c>
    </row>
    <row r="572" spans="1:38" x14ac:dyDescent="0.25">
      <c r="A572" s="2">
        <v>52</v>
      </c>
      <c r="B572" t="s">
        <v>43</v>
      </c>
      <c r="C572" t="s">
        <v>55</v>
      </c>
      <c r="D572" s="2">
        <v>715</v>
      </c>
      <c r="E572" t="s">
        <v>45</v>
      </c>
      <c r="F572" s="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 s="2">
        <v>4258</v>
      </c>
      <c r="T572">
        <v>26589</v>
      </c>
      <c r="U572">
        <v>0</v>
      </c>
      <c r="V572" t="s">
        <v>42</v>
      </c>
      <c r="W572" t="s">
        <v>43</v>
      </c>
      <c r="X572" s="2">
        <v>18</v>
      </c>
      <c r="Y572">
        <v>3</v>
      </c>
      <c r="Z572">
        <v>1</v>
      </c>
      <c r="AA572">
        <v>80</v>
      </c>
      <c r="AB572">
        <v>1</v>
      </c>
      <c r="AC572" s="2">
        <v>5</v>
      </c>
      <c r="AD572">
        <v>3</v>
      </c>
      <c r="AE572">
        <v>3</v>
      </c>
      <c r="AF572" s="2">
        <v>4</v>
      </c>
      <c r="AG572">
        <v>3</v>
      </c>
      <c r="AH572">
        <v>1</v>
      </c>
      <c r="AI572">
        <v>2</v>
      </c>
      <c r="AJ572" s="2" t="str">
        <f>IF(A572 A572 &lt;= 25, "18-25", IF(A572 &lt;=35, "26-35", IF(A572 &lt;=45, "36-45", IF(Table3[[#This Row],[Age]] &lt;=55, "46-55", "56+"))))</f>
        <v>46-55</v>
      </c>
      <c r="AK572" t="str">
        <f t="shared" si="8"/>
        <v>Low</v>
      </c>
      <c r="AL572" s="2" t="str">
        <f>IF(AF572 &lt; 3, "0-2 Years", IF(AF572 &lt;= 5, "3-5 Years", IF(AF572 &lt;= 10, "6-10 Years",IF(Table3[[#This Row],[Years At Company]]&lt;=20, "11-20 Years","20+ Years"))))</f>
        <v>3-5 Years</v>
      </c>
    </row>
    <row r="573" spans="1:38" x14ac:dyDescent="0.25">
      <c r="A573" s="2">
        <v>26</v>
      </c>
      <c r="B573" t="s">
        <v>43</v>
      </c>
      <c r="C573" t="s">
        <v>44</v>
      </c>
      <c r="D573" s="2">
        <v>575</v>
      </c>
      <c r="E573" t="s">
        <v>45</v>
      </c>
      <c r="F573" s="2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 s="2">
        <v>4364</v>
      </c>
      <c r="T573">
        <v>5288</v>
      </c>
      <c r="U573">
        <v>3</v>
      </c>
      <c r="V573" t="s">
        <v>42</v>
      </c>
      <c r="W573" t="s">
        <v>43</v>
      </c>
      <c r="X573" s="2">
        <v>14</v>
      </c>
      <c r="Y573">
        <v>3</v>
      </c>
      <c r="Z573">
        <v>1</v>
      </c>
      <c r="AA573">
        <v>80</v>
      </c>
      <c r="AB573">
        <v>1</v>
      </c>
      <c r="AC573" s="2">
        <v>5</v>
      </c>
      <c r="AD573">
        <v>2</v>
      </c>
      <c r="AE573">
        <v>3</v>
      </c>
      <c r="AF573" s="2">
        <v>2</v>
      </c>
      <c r="AG573">
        <v>2</v>
      </c>
      <c r="AH573">
        <v>2</v>
      </c>
      <c r="AI573">
        <v>0</v>
      </c>
      <c r="AJ573" s="2" t="str">
        <f>IF(A573 A573 &lt;= 25, "18-25", IF(A573 &lt;=35, "26-35", IF(A573 &lt;=45, "36-45", IF(Table3[[#This Row],[Age]] &lt;=55, "46-55", "56+"))))</f>
        <v>26-35</v>
      </c>
      <c r="AK573" t="str">
        <f t="shared" si="8"/>
        <v>Low</v>
      </c>
      <c r="AL573" s="2" t="str">
        <f>IF(AF573 &lt; 3, "0-2 Years", IF(AF573 &lt;= 5, "3-5 Years", IF(AF573 &lt;= 10, "6-10 Years",IF(Table3[[#This Row],[Years At Company]]&lt;=20, "11-20 Years","20+ Years"))))</f>
        <v>0-2 Years</v>
      </c>
    </row>
    <row r="574" spans="1:38" x14ac:dyDescent="0.25">
      <c r="A574" s="2">
        <v>29</v>
      </c>
      <c r="B574" t="s">
        <v>43</v>
      </c>
      <c r="C574" t="s">
        <v>36</v>
      </c>
      <c r="D574" s="2">
        <v>657</v>
      </c>
      <c r="E574" t="s">
        <v>45</v>
      </c>
      <c r="F574" s="2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 s="2">
        <v>4335</v>
      </c>
      <c r="T574">
        <v>25549</v>
      </c>
      <c r="U574">
        <v>4</v>
      </c>
      <c r="V574" t="s">
        <v>42</v>
      </c>
      <c r="W574" t="s">
        <v>43</v>
      </c>
      <c r="X574" s="2">
        <v>12</v>
      </c>
      <c r="Y574">
        <v>3</v>
      </c>
      <c r="Z574">
        <v>1</v>
      </c>
      <c r="AA574">
        <v>80</v>
      </c>
      <c r="AB574">
        <v>1</v>
      </c>
      <c r="AC574" s="2">
        <v>11</v>
      </c>
      <c r="AD574">
        <v>3</v>
      </c>
      <c r="AE574">
        <v>2</v>
      </c>
      <c r="AF574" s="2">
        <v>8</v>
      </c>
      <c r="AG574">
        <v>7</v>
      </c>
      <c r="AH574">
        <v>1</v>
      </c>
      <c r="AI574">
        <v>1</v>
      </c>
      <c r="AJ574" s="2" t="str">
        <f>IF(A574 A574 &lt;= 25, "18-25", IF(A574 &lt;=35, "26-35", IF(A574 &lt;=45, "36-45", IF(Table3[[#This Row],[Age]] &lt;=55, "46-55", "56+"))))</f>
        <v>26-35</v>
      </c>
      <c r="AK574" t="str">
        <f t="shared" si="8"/>
        <v>Low</v>
      </c>
      <c r="AL574" s="2" t="str">
        <f>IF(AF574 &lt; 3, "0-2 Years", IF(AF574 &lt;= 5, "3-5 Years", IF(AF574 &lt;= 10, "6-10 Years",IF(Table3[[#This Row],[Years At Company]]&lt;=20, "11-20 Years","20+ Years"))))</f>
        <v>6-10 Years</v>
      </c>
    </row>
    <row r="575" spans="1:38" x14ac:dyDescent="0.25">
      <c r="A575" s="2">
        <v>26</v>
      </c>
      <c r="B575" t="s">
        <v>35</v>
      </c>
      <c r="C575" t="s">
        <v>36</v>
      </c>
      <c r="D575" s="2">
        <v>1146</v>
      </c>
      <c r="E575" t="s">
        <v>37</v>
      </c>
      <c r="F575" s="2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 s="2">
        <v>5326</v>
      </c>
      <c r="T575">
        <v>3064</v>
      </c>
      <c r="U575">
        <v>6</v>
      </c>
      <c r="V575" t="s">
        <v>42</v>
      </c>
      <c r="W575" t="s">
        <v>43</v>
      </c>
      <c r="X575" s="2">
        <v>17</v>
      </c>
      <c r="Y575">
        <v>3</v>
      </c>
      <c r="Z575">
        <v>3</v>
      </c>
      <c r="AA575">
        <v>80</v>
      </c>
      <c r="AB575">
        <v>0</v>
      </c>
      <c r="AC575" s="2">
        <v>6</v>
      </c>
      <c r="AD575">
        <v>2</v>
      </c>
      <c r="AE575">
        <v>2</v>
      </c>
      <c r="AF575" s="2">
        <v>4</v>
      </c>
      <c r="AG575">
        <v>3</v>
      </c>
      <c r="AH575">
        <v>1</v>
      </c>
      <c r="AI575">
        <v>2</v>
      </c>
      <c r="AJ575" s="2" t="str">
        <f>IF(A575 A575 &lt;= 25, "18-25", IF(A575 &lt;=35, "26-35", IF(A575 &lt;=45, "36-45", IF(Table3[[#This Row],[Age]] &lt;=55, "46-55", "56+"))))</f>
        <v>26-35</v>
      </c>
      <c r="AK575" t="str">
        <f t="shared" si="8"/>
        <v>Medium</v>
      </c>
      <c r="AL575" s="2" t="str">
        <f>IF(AF575 &lt; 3, "0-2 Years", IF(AF575 &lt;= 5, "3-5 Years", IF(AF575 &lt;= 10, "6-10 Years",IF(Table3[[#This Row],[Years At Company]]&lt;=20, "11-20 Years","20+ Years"))))</f>
        <v>3-5 Years</v>
      </c>
    </row>
    <row r="576" spans="1:38" x14ac:dyDescent="0.25">
      <c r="A576" s="2">
        <v>34</v>
      </c>
      <c r="B576" t="s">
        <v>43</v>
      </c>
      <c r="C576" t="s">
        <v>36</v>
      </c>
      <c r="D576" s="2">
        <v>182</v>
      </c>
      <c r="E576" t="s">
        <v>45</v>
      </c>
      <c r="F576" s="2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 s="2">
        <v>3280</v>
      </c>
      <c r="T576">
        <v>13551</v>
      </c>
      <c r="U576">
        <v>2</v>
      </c>
      <c r="V576" t="s">
        <v>42</v>
      </c>
      <c r="W576" t="s">
        <v>43</v>
      </c>
      <c r="X576" s="2">
        <v>16</v>
      </c>
      <c r="Y576">
        <v>3</v>
      </c>
      <c r="Z576">
        <v>3</v>
      </c>
      <c r="AA576">
        <v>80</v>
      </c>
      <c r="AB576">
        <v>0</v>
      </c>
      <c r="AC576" s="2">
        <v>10</v>
      </c>
      <c r="AD576">
        <v>2</v>
      </c>
      <c r="AE576">
        <v>3</v>
      </c>
      <c r="AF576" s="2">
        <v>4</v>
      </c>
      <c r="AG576">
        <v>2</v>
      </c>
      <c r="AH576">
        <v>1</v>
      </c>
      <c r="AI576">
        <v>3</v>
      </c>
      <c r="AJ576" s="2" t="str">
        <f>IF(A576 A576 &lt;= 25, "18-25", IF(A576 &lt;=35, "26-35", IF(A576 &lt;=45, "36-45", IF(Table3[[#This Row],[Age]] &lt;=55, "46-55", "56+"))))</f>
        <v>26-35</v>
      </c>
      <c r="AK576" t="str">
        <f t="shared" si="8"/>
        <v>Low</v>
      </c>
      <c r="AL576" s="2" t="str">
        <f>IF(AF576 &lt; 3, "0-2 Years", IF(AF576 &lt;= 5, "3-5 Years", IF(AF576 &lt;= 10, "6-10 Years",IF(Table3[[#This Row],[Years At Company]]&lt;=20, "11-20 Years","20+ Years"))))</f>
        <v>3-5 Years</v>
      </c>
    </row>
    <row r="577" spans="1:38" x14ac:dyDescent="0.25">
      <c r="A577" s="2">
        <v>54</v>
      </c>
      <c r="B577" t="s">
        <v>43</v>
      </c>
      <c r="C577" t="s">
        <v>36</v>
      </c>
      <c r="D577" s="2">
        <v>376</v>
      </c>
      <c r="E577" t="s">
        <v>45</v>
      </c>
      <c r="F577" s="2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 s="2">
        <v>5485</v>
      </c>
      <c r="T577">
        <v>22670</v>
      </c>
      <c r="U577">
        <v>9</v>
      </c>
      <c r="V577" t="s">
        <v>42</v>
      </c>
      <c r="W577" t="s">
        <v>35</v>
      </c>
      <c r="X577" s="2">
        <v>11</v>
      </c>
      <c r="Y577">
        <v>3</v>
      </c>
      <c r="Z577">
        <v>2</v>
      </c>
      <c r="AA577">
        <v>80</v>
      </c>
      <c r="AB577">
        <v>2</v>
      </c>
      <c r="AC577" s="2">
        <v>9</v>
      </c>
      <c r="AD577">
        <v>4</v>
      </c>
      <c r="AE577">
        <v>3</v>
      </c>
      <c r="AF577" s="2">
        <v>5</v>
      </c>
      <c r="AG577">
        <v>3</v>
      </c>
      <c r="AH577">
        <v>1</v>
      </c>
      <c r="AI577">
        <v>4</v>
      </c>
      <c r="AJ577" s="2" t="str">
        <f>IF(A577 A577 &lt;= 25, "18-25", IF(A577 &lt;=35, "26-35", IF(A577 &lt;=45, "36-45", IF(Table3[[#This Row],[Age]] &lt;=55, "46-55", "56+"))))</f>
        <v>46-55</v>
      </c>
      <c r="AK577" t="str">
        <f t="shared" si="8"/>
        <v>Medium</v>
      </c>
      <c r="AL577" s="2" t="str">
        <f>IF(AF577 &lt; 3, "0-2 Years", IF(AF577 &lt;= 5, "3-5 Years", IF(AF577 &lt;= 10, "6-10 Years",IF(Table3[[#This Row],[Years At Company]]&lt;=20, "11-20 Years","20+ Years"))))</f>
        <v>3-5 Years</v>
      </c>
    </row>
    <row r="578" spans="1:38" x14ac:dyDescent="0.25">
      <c r="A578" s="2">
        <v>27</v>
      </c>
      <c r="B578" t="s">
        <v>43</v>
      </c>
      <c r="C578" t="s">
        <v>44</v>
      </c>
      <c r="D578" s="2">
        <v>829</v>
      </c>
      <c r="E578" t="s">
        <v>37</v>
      </c>
      <c r="F578" s="2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 s="2">
        <v>4342</v>
      </c>
      <c r="T578">
        <v>24008</v>
      </c>
      <c r="U578">
        <v>0</v>
      </c>
      <c r="V578" t="s">
        <v>42</v>
      </c>
      <c r="W578" t="s">
        <v>43</v>
      </c>
      <c r="X578" s="2">
        <v>19</v>
      </c>
      <c r="Y578">
        <v>3</v>
      </c>
      <c r="Z578">
        <v>2</v>
      </c>
      <c r="AA578">
        <v>80</v>
      </c>
      <c r="AB578">
        <v>1</v>
      </c>
      <c r="AC578" s="2">
        <v>5</v>
      </c>
      <c r="AD578">
        <v>3</v>
      </c>
      <c r="AE578">
        <v>3</v>
      </c>
      <c r="AF578" s="2">
        <v>4</v>
      </c>
      <c r="AG578">
        <v>2</v>
      </c>
      <c r="AH578">
        <v>1</v>
      </c>
      <c r="AI578">
        <v>1</v>
      </c>
      <c r="AJ578" s="2" t="str">
        <f>IF(A578 A578 &lt;= 25, "18-25", IF(A578 &lt;=35, "26-35", IF(A578 &lt;=45, "36-45", IF(Table3[[#This Row],[Age]] &lt;=55, "46-55", "56+"))))</f>
        <v>26-35</v>
      </c>
      <c r="AK578" t="str">
        <f t="shared" ref="AK578:AK641" si="9">IF(S578 &lt; 5000, "Low",IF(S578 &lt;=9999, "Medium", "High"))</f>
        <v>Low</v>
      </c>
      <c r="AL578" s="2" t="str">
        <f>IF(AF578 &lt; 3, "0-2 Years", IF(AF578 &lt;= 5, "3-5 Years", IF(AF578 &lt;= 10, "6-10 Years",IF(Table3[[#This Row],[Years At Company]]&lt;=20, "11-20 Years","20+ Years"))))</f>
        <v>3-5 Years</v>
      </c>
    </row>
    <row r="579" spans="1:38" x14ac:dyDescent="0.25">
      <c r="A579" s="2">
        <v>37</v>
      </c>
      <c r="B579" t="s">
        <v>43</v>
      </c>
      <c r="C579" t="s">
        <v>36</v>
      </c>
      <c r="D579" s="2">
        <v>571</v>
      </c>
      <c r="E579" t="s">
        <v>45</v>
      </c>
      <c r="F579" s="2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 s="2">
        <v>2782</v>
      </c>
      <c r="T579">
        <v>19905</v>
      </c>
      <c r="U579">
        <v>0</v>
      </c>
      <c r="V579" t="s">
        <v>42</v>
      </c>
      <c r="W579" t="s">
        <v>35</v>
      </c>
      <c r="X579" s="2">
        <v>13</v>
      </c>
      <c r="Y579">
        <v>3</v>
      </c>
      <c r="Z579">
        <v>2</v>
      </c>
      <c r="AA579">
        <v>80</v>
      </c>
      <c r="AB579">
        <v>2</v>
      </c>
      <c r="AC579" s="2">
        <v>6</v>
      </c>
      <c r="AD579">
        <v>3</v>
      </c>
      <c r="AE579">
        <v>2</v>
      </c>
      <c r="AF579" s="2">
        <v>5</v>
      </c>
      <c r="AG579">
        <v>3</v>
      </c>
      <c r="AH579">
        <v>4</v>
      </c>
      <c r="AI579">
        <v>3</v>
      </c>
      <c r="AJ579" s="2" t="str">
        <f>IF(A579 A579 &lt;= 25, "18-25", IF(A579 &lt;=35, "26-35", IF(A579 &lt;=45, "36-45", IF(Table3[[#This Row],[Age]] &lt;=55, "46-55", "56+"))))</f>
        <v>36-45</v>
      </c>
      <c r="AK579" t="str">
        <f t="shared" si="9"/>
        <v>Low</v>
      </c>
      <c r="AL579" s="2" t="str">
        <f>IF(AF579 &lt; 3, "0-2 Years", IF(AF579 &lt;= 5, "3-5 Years", IF(AF579 &lt;= 10, "6-10 Years",IF(Table3[[#This Row],[Years At Company]]&lt;=20, "11-20 Years","20+ Years"))))</f>
        <v>3-5 Years</v>
      </c>
    </row>
    <row r="580" spans="1:38" x14ac:dyDescent="0.25">
      <c r="A580" s="2">
        <v>38</v>
      </c>
      <c r="B580" t="s">
        <v>43</v>
      </c>
      <c r="C580" t="s">
        <v>44</v>
      </c>
      <c r="D580" s="2">
        <v>240</v>
      </c>
      <c r="E580" t="s">
        <v>45</v>
      </c>
      <c r="F580" s="2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 s="2">
        <v>5980</v>
      </c>
      <c r="T580">
        <v>26085</v>
      </c>
      <c r="U580">
        <v>6</v>
      </c>
      <c r="V580" t="s">
        <v>42</v>
      </c>
      <c r="W580" t="s">
        <v>35</v>
      </c>
      <c r="X580" s="2">
        <v>12</v>
      </c>
      <c r="Y580">
        <v>3</v>
      </c>
      <c r="Z580">
        <v>4</v>
      </c>
      <c r="AA580">
        <v>80</v>
      </c>
      <c r="AB580">
        <v>0</v>
      </c>
      <c r="AC580" s="2">
        <v>17</v>
      </c>
      <c r="AD580">
        <v>2</v>
      </c>
      <c r="AE580">
        <v>3</v>
      </c>
      <c r="AF580" s="2">
        <v>15</v>
      </c>
      <c r="AG580">
        <v>7</v>
      </c>
      <c r="AH580">
        <v>4</v>
      </c>
      <c r="AI580">
        <v>12</v>
      </c>
      <c r="AJ580" s="2" t="str">
        <f>IF(A580 A580 &lt;= 25, "18-25", IF(A580 &lt;=35, "26-35", IF(A580 &lt;=45, "36-45", IF(Table3[[#This Row],[Age]] &lt;=55, "46-55", "56+"))))</f>
        <v>36-45</v>
      </c>
      <c r="AK580" t="str">
        <f t="shared" si="9"/>
        <v>Medium</v>
      </c>
      <c r="AL580" s="2" t="str">
        <f>IF(AF580 &lt; 3, "0-2 Years", IF(AF580 &lt;= 5, "3-5 Years", IF(AF580 &lt;= 10, "6-10 Years",IF(Table3[[#This Row],[Years At Company]]&lt;=20, "11-20 Years","20+ Years"))))</f>
        <v>11-20 Years</v>
      </c>
    </row>
    <row r="581" spans="1:38" x14ac:dyDescent="0.25">
      <c r="A581" s="2">
        <v>34</v>
      </c>
      <c r="B581" t="s">
        <v>43</v>
      </c>
      <c r="C581" t="s">
        <v>36</v>
      </c>
      <c r="D581" s="2">
        <v>121</v>
      </c>
      <c r="E581" t="s">
        <v>45</v>
      </c>
      <c r="F581" s="2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 s="2">
        <v>4381</v>
      </c>
      <c r="T581">
        <v>7530</v>
      </c>
      <c r="U581">
        <v>1</v>
      </c>
      <c r="V581" t="s">
        <v>42</v>
      </c>
      <c r="W581" t="s">
        <v>43</v>
      </c>
      <c r="X581" s="2">
        <v>11</v>
      </c>
      <c r="Y581">
        <v>3</v>
      </c>
      <c r="Z581">
        <v>3</v>
      </c>
      <c r="AA581">
        <v>80</v>
      </c>
      <c r="AB581">
        <v>0</v>
      </c>
      <c r="AC581" s="2">
        <v>6</v>
      </c>
      <c r="AD581">
        <v>3</v>
      </c>
      <c r="AE581">
        <v>3</v>
      </c>
      <c r="AF581" s="2">
        <v>6</v>
      </c>
      <c r="AG581">
        <v>5</v>
      </c>
      <c r="AH581">
        <v>1</v>
      </c>
      <c r="AI581">
        <v>3</v>
      </c>
      <c r="AJ581" s="2" t="str">
        <f>IF(A581 A581 &lt;= 25, "18-25", IF(A581 &lt;=35, "26-35", IF(A581 &lt;=45, "36-45", IF(Table3[[#This Row],[Age]] &lt;=55, "46-55", "56+"))))</f>
        <v>26-35</v>
      </c>
      <c r="AK581" t="str">
        <f t="shared" si="9"/>
        <v>Low</v>
      </c>
      <c r="AL581" s="2" t="str">
        <f>IF(AF581 &lt; 3, "0-2 Years", IF(AF581 &lt;= 5, "3-5 Years", IF(AF581 &lt;= 10, "6-10 Years",IF(Table3[[#This Row],[Years At Company]]&lt;=20, "11-20 Years","20+ Years"))))</f>
        <v>6-10 Years</v>
      </c>
    </row>
    <row r="582" spans="1:38" x14ac:dyDescent="0.25">
      <c r="A582" s="2">
        <v>35</v>
      </c>
      <c r="B582" t="s">
        <v>43</v>
      </c>
      <c r="C582" t="s">
        <v>36</v>
      </c>
      <c r="D582" s="2">
        <v>384</v>
      </c>
      <c r="E582" t="s">
        <v>37</v>
      </c>
      <c r="F582" s="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 s="2">
        <v>2572</v>
      </c>
      <c r="T582">
        <v>20317</v>
      </c>
      <c r="U582">
        <v>1</v>
      </c>
      <c r="V582" t="s">
        <v>42</v>
      </c>
      <c r="W582" t="s">
        <v>43</v>
      </c>
      <c r="X582" s="2">
        <v>16</v>
      </c>
      <c r="Y582">
        <v>3</v>
      </c>
      <c r="Z582">
        <v>2</v>
      </c>
      <c r="AA582">
        <v>80</v>
      </c>
      <c r="AB582">
        <v>1</v>
      </c>
      <c r="AC582" s="2">
        <v>3</v>
      </c>
      <c r="AD582">
        <v>1</v>
      </c>
      <c r="AE582">
        <v>2</v>
      </c>
      <c r="AF582" s="2">
        <v>3</v>
      </c>
      <c r="AG582">
        <v>2</v>
      </c>
      <c r="AH582">
        <v>0</v>
      </c>
      <c r="AI582">
        <v>2</v>
      </c>
      <c r="AJ582" s="2" t="str">
        <f>IF(A582 A582 &lt;= 25, "18-25", IF(A582 &lt;=35, "26-35", IF(A582 &lt;=45, "36-45", IF(Table3[[#This Row],[Age]] &lt;=55, "46-55", "56+"))))</f>
        <v>26-35</v>
      </c>
      <c r="AK582" t="str">
        <f t="shared" si="9"/>
        <v>Low</v>
      </c>
      <c r="AL582" s="2" t="str">
        <f>IF(AF582 &lt; 3, "0-2 Years", IF(AF582 &lt;= 5, "3-5 Years", IF(AF582 &lt;= 10, "6-10 Years",IF(Table3[[#This Row],[Years At Company]]&lt;=20, "11-20 Years","20+ Years"))))</f>
        <v>3-5 Years</v>
      </c>
    </row>
    <row r="583" spans="1:38" x14ac:dyDescent="0.25">
      <c r="A583" s="2">
        <v>30</v>
      </c>
      <c r="B583" t="s">
        <v>43</v>
      </c>
      <c r="C583" t="s">
        <v>36</v>
      </c>
      <c r="D583" s="2">
        <v>921</v>
      </c>
      <c r="E583" t="s">
        <v>45</v>
      </c>
      <c r="F583" s="2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 s="2">
        <v>3833</v>
      </c>
      <c r="T583">
        <v>24375</v>
      </c>
      <c r="U583">
        <v>3</v>
      </c>
      <c r="V583" t="s">
        <v>42</v>
      </c>
      <c r="W583" t="s">
        <v>43</v>
      </c>
      <c r="X583" s="2">
        <v>21</v>
      </c>
      <c r="Y583">
        <v>4</v>
      </c>
      <c r="Z583">
        <v>3</v>
      </c>
      <c r="AA583">
        <v>80</v>
      </c>
      <c r="AB583">
        <v>2</v>
      </c>
      <c r="AC583" s="2">
        <v>7</v>
      </c>
      <c r="AD583">
        <v>2</v>
      </c>
      <c r="AE583">
        <v>3</v>
      </c>
      <c r="AF583" s="2">
        <v>2</v>
      </c>
      <c r="AG583">
        <v>2</v>
      </c>
      <c r="AH583">
        <v>0</v>
      </c>
      <c r="AI583">
        <v>2</v>
      </c>
      <c r="AJ583" s="2" t="str">
        <f>IF(A583 A583 &lt;= 25, "18-25", IF(A583 &lt;=35, "26-35", IF(A583 &lt;=45, "36-45", IF(Table3[[#This Row],[Age]] &lt;=55, "46-55", "56+"))))</f>
        <v>26-35</v>
      </c>
      <c r="AK583" t="str">
        <f t="shared" si="9"/>
        <v>Low</v>
      </c>
      <c r="AL583" s="2" t="str">
        <f>IF(AF583 &lt; 3, "0-2 Years", IF(AF583 &lt;= 5, "3-5 Years", IF(AF583 &lt;= 10, "6-10 Years",IF(Table3[[#This Row],[Years At Company]]&lt;=20, "11-20 Years","20+ Years"))))</f>
        <v>0-2 Years</v>
      </c>
    </row>
    <row r="584" spans="1:38" x14ac:dyDescent="0.25">
      <c r="A584" s="2">
        <v>40</v>
      </c>
      <c r="B584" t="s">
        <v>43</v>
      </c>
      <c r="C584" t="s">
        <v>44</v>
      </c>
      <c r="D584" s="2">
        <v>791</v>
      </c>
      <c r="E584" t="s">
        <v>45</v>
      </c>
      <c r="F584" s="2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 s="2">
        <v>4244</v>
      </c>
      <c r="T584">
        <v>9931</v>
      </c>
      <c r="U584">
        <v>1</v>
      </c>
      <c r="V584" t="s">
        <v>42</v>
      </c>
      <c r="W584" t="s">
        <v>43</v>
      </c>
      <c r="X584" s="2">
        <v>24</v>
      </c>
      <c r="Y584">
        <v>4</v>
      </c>
      <c r="Z584">
        <v>4</v>
      </c>
      <c r="AA584">
        <v>80</v>
      </c>
      <c r="AB584">
        <v>1</v>
      </c>
      <c r="AC584" s="2">
        <v>8</v>
      </c>
      <c r="AD584">
        <v>2</v>
      </c>
      <c r="AE584">
        <v>3</v>
      </c>
      <c r="AF584" s="2">
        <v>8</v>
      </c>
      <c r="AG584">
        <v>7</v>
      </c>
      <c r="AH584">
        <v>3</v>
      </c>
      <c r="AI584">
        <v>7</v>
      </c>
      <c r="AJ584" s="2" t="str">
        <f>IF(A584 A584 &lt;= 25, "18-25", IF(A584 &lt;=35, "26-35", IF(A584 &lt;=45, "36-45", IF(Table3[[#This Row],[Age]] &lt;=55, "46-55", "56+"))))</f>
        <v>36-45</v>
      </c>
      <c r="AK584" t="str">
        <f t="shared" si="9"/>
        <v>Low</v>
      </c>
      <c r="AL584" s="2" t="str">
        <f>IF(AF584 &lt; 3, "0-2 Years", IF(AF584 &lt;= 5, "3-5 Years", IF(AF584 &lt;= 10, "6-10 Years",IF(Table3[[#This Row],[Years At Company]]&lt;=20, "11-20 Years","20+ Years"))))</f>
        <v>6-10 Years</v>
      </c>
    </row>
    <row r="585" spans="1:38" x14ac:dyDescent="0.25">
      <c r="A585" s="2">
        <v>34</v>
      </c>
      <c r="B585" t="s">
        <v>43</v>
      </c>
      <c r="C585" t="s">
        <v>36</v>
      </c>
      <c r="D585" s="2">
        <v>1111</v>
      </c>
      <c r="E585" t="s">
        <v>37</v>
      </c>
      <c r="F585" s="2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 s="2">
        <v>6500</v>
      </c>
      <c r="T585">
        <v>13305</v>
      </c>
      <c r="U585">
        <v>5</v>
      </c>
      <c r="V585" t="s">
        <v>42</v>
      </c>
      <c r="W585" t="s">
        <v>43</v>
      </c>
      <c r="X585" s="2">
        <v>17</v>
      </c>
      <c r="Y585">
        <v>3</v>
      </c>
      <c r="Z585">
        <v>2</v>
      </c>
      <c r="AA585">
        <v>80</v>
      </c>
      <c r="AB585">
        <v>1</v>
      </c>
      <c r="AC585" s="2">
        <v>6</v>
      </c>
      <c r="AD585">
        <v>1</v>
      </c>
      <c r="AE585">
        <v>3</v>
      </c>
      <c r="AF585" s="2">
        <v>3</v>
      </c>
      <c r="AG585">
        <v>2</v>
      </c>
      <c r="AH585">
        <v>1</v>
      </c>
      <c r="AI585">
        <v>2</v>
      </c>
      <c r="AJ585" s="2" t="str">
        <f>IF(A585 A585 &lt;= 25, "18-25", IF(A585 &lt;=35, "26-35", IF(A585 &lt;=45, "36-45", IF(Table3[[#This Row],[Age]] &lt;=55, "46-55", "56+"))))</f>
        <v>26-35</v>
      </c>
      <c r="AK585" t="str">
        <f t="shared" si="9"/>
        <v>Medium</v>
      </c>
      <c r="AL585" s="2" t="str">
        <f>IF(AF585 &lt; 3, "0-2 Years", IF(AF585 &lt;= 5, "3-5 Years", IF(AF585 &lt;= 10, "6-10 Years",IF(Table3[[#This Row],[Years At Company]]&lt;=20, "11-20 Years","20+ Years"))))</f>
        <v>3-5 Years</v>
      </c>
    </row>
    <row r="586" spans="1:38" x14ac:dyDescent="0.25">
      <c r="A586" s="2">
        <v>42</v>
      </c>
      <c r="B586" t="s">
        <v>43</v>
      </c>
      <c r="C586" t="s">
        <v>44</v>
      </c>
      <c r="D586" s="2">
        <v>570</v>
      </c>
      <c r="E586" t="s">
        <v>45</v>
      </c>
      <c r="F586" s="2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 s="2">
        <v>18430</v>
      </c>
      <c r="T586">
        <v>16225</v>
      </c>
      <c r="U586">
        <v>1</v>
      </c>
      <c r="V586" t="s">
        <v>42</v>
      </c>
      <c r="W586" t="s">
        <v>43</v>
      </c>
      <c r="X586" s="2">
        <v>13</v>
      </c>
      <c r="Y586">
        <v>3</v>
      </c>
      <c r="Z586">
        <v>2</v>
      </c>
      <c r="AA586">
        <v>80</v>
      </c>
      <c r="AB586">
        <v>1</v>
      </c>
      <c r="AC586" s="2">
        <v>24</v>
      </c>
      <c r="AD586">
        <v>4</v>
      </c>
      <c r="AE586">
        <v>2</v>
      </c>
      <c r="AF586" s="2">
        <v>24</v>
      </c>
      <c r="AG586">
        <v>7</v>
      </c>
      <c r="AH586">
        <v>14</v>
      </c>
      <c r="AI586">
        <v>9</v>
      </c>
      <c r="AJ586" s="2" t="str">
        <f>IF(A586 A586 &lt;= 25, "18-25", IF(A586 &lt;=35, "26-35", IF(A586 &lt;=45, "36-45", IF(Table3[[#This Row],[Age]] &lt;=55, "46-55", "56+"))))</f>
        <v>36-45</v>
      </c>
      <c r="AK586" t="str">
        <f t="shared" si="9"/>
        <v>High</v>
      </c>
      <c r="AL586" s="2" t="str">
        <f>IF(AF586 &lt; 3, "0-2 Years", IF(AF586 &lt;= 5, "3-5 Years", IF(AF586 &lt;= 10, "6-10 Years",IF(Table3[[#This Row],[Years At Company]]&lt;=20, "11-20 Years","20+ Years"))))</f>
        <v>20+ Years</v>
      </c>
    </row>
    <row r="587" spans="1:38" x14ac:dyDescent="0.25">
      <c r="A587" s="2">
        <v>23</v>
      </c>
      <c r="B587" t="s">
        <v>35</v>
      </c>
      <c r="C587" t="s">
        <v>36</v>
      </c>
      <c r="D587" s="2">
        <v>1243</v>
      </c>
      <c r="E587" t="s">
        <v>45</v>
      </c>
      <c r="F587" s="2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 s="2">
        <v>1601</v>
      </c>
      <c r="T587">
        <v>3445</v>
      </c>
      <c r="U587">
        <v>1</v>
      </c>
      <c r="V587" t="s">
        <v>42</v>
      </c>
      <c r="W587" t="s">
        <v>35</v>
      </c>
      <c r="X587" s="2">
        <v>21</v>
      </c>
      <c r="Y587">
        <v>4</v>
      </c>
      <c r="Z587">
        <v>3</v>
      </c>
      <c r="AA587">
        <v>80</v>
      </c>
      <c r="AB587">
        <v>2</v>
      </c>
      <c r="AC587" s="2">
        <v>1</v>
      </c>
      <c r="AD587">
        <v>2</v>
      </c>
      <c r="AE587">
        <v>3</v>
      </c>
      <c r="AF587" s="2">
        <v>0</v>
      </c>
      <c r="AG587">
        <v>0</v>
      </c>
      <c r="AH587">
        <v>0</v>
      </c>
      <c r="AI587">
        <v>0</v>
      </c>
      <c r="AJ587" s="2" t="str">
        <f>IF(A587 A587 &lt;= 25, "18-25", IF(A587 &lt;=35, "26-35", IF(A587 &lt;=45, "36-45", IF(Table3[[#This Row],[Age]] &lt;=55, "46-55", "56+"))))</f>
        <v>18-25</v>
      </c>
      <c r="AK587" t="str">
        <f t="shared" si="9"/>
        <v>Low</v>
      </c>
      <c r="AL587" s="2" t="str">
        <f>IF(AF587 &lt; 3, "0-2 Years", IF(AF587 &lt;= 5, "3-5 Years", IF(AF587 &lt;= 10, "6-10 Years",IF(Table3[[#This Row],[Years At Company]]&lt;=20, "11-20 Years","20+ Years"))))</f>
        <v>0-2 Years</v>
      </c>
    </row>
    <row r="588" spans="1:38" x14ac:dyDescent="0.25">
      <c r="A588" s="2">
        <v>24</v>
      </c>
      <c r="B588" t="s">
        <v>43</v>
      </c>
      <c r="C588" t="s">
        <v>55</v>
      </c>
      <c r="D588" s="2">
        <v>1092</v>
      </c>
      <c r="E588" t="s">
        <v>45</v>
      </c>
      <c r="F588" s="2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 s="2">
        <v>2694</v>
      </c>
      <c r="T588">
        <v>26551</v>
      </c>
      <c r="U588">
        <v>1</v>
      </c>
      <c r="V588" t="s">
        <v>42</v>
      </c>
      <c r="W588" t="s">
        <v>43</v>
      </c>
      <c r="X588" s="2">
        <v>11</v>
      </c>
      <c r="Y588">
        <v>3</v>
      </c>
      <c r="Z588">
        <v>3</v>
      </c>
      <c r="AA588">
        <v>80</v>
      </c>
      <c r="AB588">
        <v>3</v>
      </c>
      <c r="AC588" s="2">
        <v>1</v>
      </c>
      <c r="AD588">
        <v>4</v>
      </c>
      <c r="AE588">
        <v>3</v>
      </c>
      <c r="AF588" s="2">
        <v>1</v>
      </c>
      <c r="AG588">
        <v>0</v>
      </c>
      <c r="AH588">
        <v>0</v>
      </c>
      <c r="AI588">
        <v>0</v>
      </c>
      <c r="AJ588" s="2" t="str">
        <f>IF(A588 A588 &lt;= 25, "18-25", IF(A588 &lt;=35, "26-35", IF(A588 &lt;=45, "36-45", IF(Table3[[#This Row],[Age]] &lt;=55, "46-55", "56+"))))</f>
        <v>18-25</v>
      </c>
      <c r="AK588" t="str">
        <f t="shared" si="9"/>
        <v>Low</v>
      </c>
      <c r="AL588" s="2" t="str">
        <f>IF(AF588 &lt; 3, "0-2 Years", IF(AF588 &lt;= 5, "3-5 Years", IF(AF588 &lt;= 10, "6-10 Years",IF(Table3[[#This Row],[Years At Company]]&lt;=20, "11-20 Years","20+ Years"))))</f>
        <v>0-2 Years</v>
      </c>
    </row>
    <row r="589" spans="1:38" x14ac:dyDescent="0.25">
      <c r="A589" s="2">
        <v>52</v>
      </c>
      <c r="B589" t="s">
        <v>43</v>
      </c>
      <c r="C589" t="s">
        <v>36</v>
      </c>
      <c r="D589" s="2">
        <v>1325</v>
      </c>
      <c r="E589" t="s">
        <v>45</v>
      </c>
      <c r="F589" s="2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 s="2">
        <v>3149</v>
      </c>
      <c r="T589">
        <v>21821</v>
      </c>
      <c r="U589">
        <v>8</v>
      </c>
      <c r="V589" t="s">
        <v>42</v>
      </c>
      <c r="W589" t="s">
        <v>43</v>
      </c>
      <c r="X589" s="2">
        <v>20</v>
      </c>
      <c r="Y589">
        <v>4</v>
      </c>
      <c r="Z589">
        <v>2</v>
      </c>
      <c r="AA589">
        <v>80</v>
      </c>
      <c r="AB589">
        <v>1</v>
      </c>
      <c r="AC589" s="2">
        <v>9</v>
      </c>
      <c r="AD589">
        <v>3</v>
      </c>
      <c r="AE589">
        <v>3</v>
      </c>
      <c r="AF589" s="2">
        <v>5</v>
      </c>
      <c r="AG589">
        <v>2</v>
      </c>
      <c r="AH589">
        <v>1</v>
      </c>
      <c r="AI589">
        <v>4</v>
      </c>
      <c r="AJ589" s="2" t="str">
        <f>IF(A589 A589 &lt;= 25, "18-25", IF(A589 &lt;=35, "26-35", IF(A589 &lt;=45, "36-45", IF(Table3[[#This Row],[Age]] &lt;=55, "46-55", "56+"))))</f>
        <v>46-55</v>
      </c>
      <c r="AK589" t="str">
        <f t="shared" si="9"/>
        <v>Low</v>
      </c>
      <c r="AL589" s="2" t="str">
        <f>IF(AF589 &lt; 3, "0-2 Years", IF(AF589 &lt;= 5, "3-5 Years", IF(AF589 &lt;= 10, "6-10 Years",IF(Table3[[#This Row],[Years At Company]]&lt;=20, "11-20 Years","20+ Years"))))</f>
        <v>3-5 Years</v>
      </c>
    </row>
    <row r="590" spans="1:38" x14ac:dyDescent="0.25">
      <c r="A590" s="2">
        <v>50</v>
      </c>
      <c r="B590" t="s">
        <v>43</v>
      </c>
      <c r="C590" t="s">
        <v>36</v>
      </c>
      <c r="D590" s="2">
        <v>691</v>
      </c>
      <c r="E590" t="s">
        <v>45</v>
      </c>
      <c r="F590" s="2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 s="2">
        <v>17639</v>
      </c>
      <c r="T590">
        <v>6881</v>
      </c>
      <c r="U590">
        <v>5</v>
      </c>
      <c r="V590" t="s">
        <v>42</v>
      </c>
      <c r="W590" t="s">
        <v>43</v>
      </c>
      <c r="X590" s="2">
        <v>16</v>
      </c>
      <c r="Y590">
        <v>3</v>
      </c>
      <c r="Z590">
        <v>4</v>
      </c>
      <c r="AA590">
        <v>80</v>
      </c>
      <c r="AB590">
        <v>0</v>
      </c>
      <c r="AC590" s="2">
        <v>30</v>
      </c>
      <c r="AD590">
        <v>3</v>
      </c>
      <c r="AE590">
        <v>3</v>
      </c>
      <c r="AF590" s="2">
        <v>4</v>
      </c>
      <c r="AG590">
        <v>3</v>
      </c>
      <c r="AH590">
        <v>0</v>
      </c>
      <c r="AI590">
        <v>3</v>
      </c>
      <c r="AJ590" s="2" t="str">
        <f>IF(A590 A590 &lt;= 25, "18-25", IF(A590 &lt;=35, "26-35", IF(A590 &lt;=45, "36-45", IF(Table3[[#This Row],[Age]] &lt;=55, "46-55", "56+"))))</f>
        <v>46-55</v>
      </c>
      <c r="AK590" t="str">
        <f t="shared" si="9"/>
        <v>High</v>
      </c>
      <c r="AL590" s="2" t="str">
        <f>IF(AF590 &lt; 3, "0-2 Years", IF(AF590 &lt;= 5, "3-5 Years", IF(AF590 &lt;= 10, "6-10 Years",IF(Table3[[#This Row],[Years At Company]]&lt;=20, "11-20 Years","20+ Years"))))</f>
        <v>3-5 Years</v>
      </c>
    </row>
    <row r="591" spans="1:38" x14ac:dyDescent="0.25">
      <c r="A591" s="2">
        <v>29</v>
      </c>
      <c r="B591" t="s">
        <v>35</v>
      </c>
      <c r="C591" t="s">
        <v>36</v>
      </c>
      <c r="D591" s="2">
        <v>805</v>
      </c>
      <c r="E591" t="s">
        <v>45</v>
      </c>
      <c r="F591" s="2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 s="2">
        <v>2319</v>
      </c>
      <c r="T591">
        <v>6689</v>
      </c>
      <c r="U591">
        <v>1</v>
      </c>
      <c r="V591" t="s">
        <v>42</v>
      </c>
      <c r="W591" t="s">
        <v>35</v>
      </c>
      <c r="X591" s="2">
        <v>11</v>
      </c>
      <c r="Y591">
        <v>3</v>
      </c>
      <c r="Z591">
        <v>4</v>
      </c>
      <c r="AA591">
        <v>80</v>
      </c>
      <c r="AB591">
        <v>1</v>
      </c>
      <c r="AC591" s="2">
        <v>1</v>
      </c>
      <c r="AD591">
        <v>1</v>
      </c>
      <c r="AE591">
        <v>3</v>
      </c>
      <c r="AF591" s="2">
        <v>1</v>
      </c>
      <c r="AG591">
        <v>0</v>
      </c>
      <c r="AH591">
        <v>0</v>
      </c>
      <c r="AI591">
        <v>0</v>
      </c>
      <c r="AJ591" s="2" t="str">
        <f>IF(A591 A591 &lt;= 25, "18-25", IF(A591 &lt;=35, "26-35", IF(A591 &lt;=45, "36-45", IF(Table3[[#This Row],[Age]] &lt;=55, "46-55", "56+"))))</f>
        <v>26-35</v>
      </c>
      <c r="AK591" t="str">
        <f t="shared" si="9"/>
        <v>Low</v>
      </c>
      <c r="AL591" s="2" t="str">
        <f>IF(AF591 &lt; 3, "0-2 Years", IF(AF591 &lt;= 5, "3-5 Years", IF(AF591 &lt;= 10, "6-10 Years",IF(Table3[[#This Row],[Years At Company]]&lt;=20, "11-20 Years","20+ Years"))))</f>
        <v>0-2 Years</v>
      </c>
    </row>
    <row r="592" spans="1:38" x14ac:dyDescent="0.25">
      <c r="A592" s="2">
        <v>33</v>
      </c>
      <c r="B592" t="s">
        <v>43</v>
      </c>
      <c r="C592" t="s">
        <v>36</v>
      </c>
      <c r="D592" s="2">
        <v>213</v>
      </c>
      <c r="E592" t="s">
        <v>45</v>
      </c>
      <c r="F592" s="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 s="2">
        <v>11691</v>
      </c>
      <c r="T592">
        <v>25995</v>
      </c>
      <c r="U592">
        <v>0</v>
      </c>
      <c r="V592" t="s">
        <v>42</v>
      </c>
      <c r="W592" t="s">
        <v>43</v>
      </c>
      <c r="X592" s="2">
        <v>11</v>
      </c>
      <c r="Y592">
        <v>3</v>
      </c>
      <c r="Z592">
        <v>4</v>
      </c>
      <c r="AA592">
        <v>80</v>
      </c>
      <c r="AB592">
        <v>0</v>
      </c>
      <c r="AC592" s="2">
        <v>14</v>
      </c>
      <c r="AD592">
        <v>3</v>
      </c>
      <c r="AE592">
        <v>4</v>
      </c>
      <c r="AF592" s="2">
        <v>13</v>
      </c>
      <c r="AG592">
        <v>9</v>
      </c>
      <c r="AH592">
        <v>3</v>
      </c>
      <c r="AI592">
        <v>7</v>
      </c>
      <c r="AJ592" s="2" t="str">
        <f>IF(A592 A592 &lt;= 25, "18-25", IF(A592 &lt;=35, "26-35", IF(A592 &lt;=45, "36-45", IF(Table3[[#This Row],[Age]] &lt;=55, "46-55", "56+"))))</f>
        <v>26-35</v>
      </c>
      <c r="AK592" t="str">
        <f t="shared" si="9"/>
        <v>High</v>
      </c>
      <c r="AL592" s="2" t="str">
        <f>IF(AF592 &lt; 3, "0-2 Years", IF(AF592 &lt;= 5, "3-5 Years", IF(AF592 &lt;= 10, "6-10 Years",IF(Table3[[#This Row],[Years At Company]]&lt;=20, "11-20 Years","20+ Years"))))</f>
        <v>11-20 Years</v>
      </c>
    </row>
    <row r="593" spans="1:38" x14ac:dyDescent="0.25">
      <c r="A593" s="2">
        <v>33</v>
      </c>
      <c r="B593" t="s">
        <v>35</v>
      </c>
      <c r="C593" t="s">
        <v>36</v>
      </c>
      <c r="D593" s="2">
        <v>118</v>
      </c>
      <c r="E593" t="s">
        <v>37</v>
      </c>
      <c r="F593" s="2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 s="2">
        <v>5324</v>
      </c>
      <c r="T593">
        <v>26507</v>
      </c>
      <c r="U593">
        <v>5</v>
      </c>
      <c r="V593" t="s">
        <v>42</v>
      </c>
      <c r="W593" t="s">
        <v>43</v>
      </c>
      <c r="X593" s="2">
        <v>15</v>
      </c>
      <c r="Y593">
        <v>3</v>
      </c>
      <c r="Z593">
        <v>3</v>
      </c>
      <c r="AA593">
        <v>80</v>
      </c>
      <c r="AB593">
        <v>0</v>
      </c>
      <c r="AC593" s="2">
        <v>6</v>
      </c>
      <c r="AD593">
        <v>3</v>
      </c>
      <c r="AE593">
        <v>3</v>
      </c>
      <c r="AF593" s="2">
        <v>3</v>
      </c>
      <c r="AG593">
        <v>2</v>
      </c>
      <c r="AH593">
        <v>0</v>
      </c>
      <c r="AI593">
        <v>2</v>
      </c>
      <c r="AJ593" s="2" t="str">
        <f>IF(A593 A593 &lt;= 25, "18-25", IF(A593 &lt;=35, "26-35", IF(A593 &lt;=45, "36-45", IF(Table3[[#This Row],[Age]] &lt;=55, "46-55", "56+"))))</f>
        <v>26-35</v>
      </c>
      <c r="AK593" t="str">
        <f t="shared" si="9"/>
        <v>Medium</v>
      </c>
      <c r="AL593" s="2" t="str">
        <f>IF(AF593 &lt; 3, "0-2 Years", IF(AF593 &lt;= 5, "3-5 Years", IF(AF593 &lt;= 10, "6-10 Years",IF(Table3[[#This Row],[Years At Company]]&lt;=20, "11-20 Years","20+ Years"))))</f>
        <v>3-5 Years</v>
      </c>
    </row>
    <row r="594" spans="1:38" x14ac:dyDescent="0.25">
      <c r="A594" s="2">
        <v>47</v>
      </c>
      <c r="B594" t="s">
        <v>43</v>
      </c>
      <c r="C594" t="s">
        <v>36</v>
      </c>
      <c r="D594" s="2">
        <v>202</v>
      </c>
      <c r="E594" t="s">
        <v>45</v>
      </c>
      <c r="F594" s="2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 s="2">
        <v>16752</v>
      </c>
      <c r="T594">
        <v>12982</v>
      </c>
      <c r="U594">
        <v>1</v>
      </c>
      <c r="V594" t="s">
        <v>42</v>
      </c>
      <c r="W594" t="s">
        <v>35</v>
      </c>
      <c r="X594" s="2">
        <v>11</v>
      </c>
      <c r="Y594">
        <v>3</v>
      </c>
      <c r="Z594">
        <v>3</v>
      </c>
      <c r="AA594">
        <v>80</v>
      </c>
      <c r="AB594">
        <v>1</v>
      </c>
      <c r="AC594" s="2">
        <v>26</v>
      </c>
      <c r="AD594">
        <v>3</v>
      </c>
      <c r="AE594">
        <v>2</v>
      </c>
      <c r="AF594" s="2">
        <v>26</v>
      </c>
      <c r="AG594">
        <v>14</v>
      </c>
      <c r="AH594">
        <v>3</v>
      </c>
      <c r="AI594">
        <v>0</v>
      </c>
      <c r="AJ594" s="2" t="str">
        <f>IF(A594 A594 &lt;= 25, "18-25", IF(A594 &lt;=35, "26-35", IF(A594 &lt;=45, "36-45", IF(Table3[[#This Row],[Age]] &lt;=55, "46-55", "56+"))))</f>
        <v>46-55</v>
      </c>
      <c r="AK594" t="str">
        <f t="shared" si="9"/>
        <v>High</v>
      </c>
      <c r="AL594" s="2" t="str">
        <f>IF(AF594 &lt; 3, "0-2 Years", IF(AF594 &lt;= 5, "3-5 Years", IF(AF594 &lt;= 10, "6-10 Years",IF(Table3[[#This Row],[Years At Company]]&lt;=20, "11-20 Years","20+ Years"))))</f>
        <v>20+ Years</v>
      </c>
    </row>
    <row r="595" spans="1:38" x14ac:dyDescent="0.25">
      <c r="A595" s="2">
        <v>36</v>
      </c>
      <c r="B595" t="s">
        <v>43</v>
      </c>
      <c r="C595" t="s">
        <v>36</v>
      </c>
      <c r="D595" s="2">
        <v>676</v>
      </c>
      <c r="E595" t="s">
        <v>45</v>
      </c>
      <c r="F595" s="2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 s="2">
        <v>5228</v>
      </c>
      <c r="T595">
        <v>23361</v>
      </c>
      <c r="U595">
        <v>0</v>
      </c>
      <c r="V595" t="s">
        <v>42</v>
      </c>
      <c r="W595" t="s">
        <v>43</v>
      </c>
      <c r="X595" s="2">
        <v>15</v>
      </c>
      <c r="Y595">
        <v>3</v>
      </c>
      <c r="Z595">
        <v>1</v>
      </c>
      <c r="AA595">
        <v>80</v>
      </c>
      <c r="AB595">
        <v>1</v>
      </c>
      <c r="AC595" s="2">
        <v>10</v>
      </c>
      <c r="AD595">
        <v>2</v>
      </c>
      <c r="AE595">
        <v>3</v>
      </c>
      <c r="AF595" s="2">
        <v>9</v>
      </c>
      <c r="AG595">
        <v>7</v>
      </c>
      <c r="AH595">
        <v>0</v>
      </c>
      <c r="AI595">
        <v>5</v>
      </c>
      <c r="AJ595" s="2" t="str">
        <f>IF(A595 A595 &lt;= 25, "18-25", IF(A595 &lt;=35, "26-35", IF(A595 &lt;=45, "36-45", IF(Table3[[#This Row],[Age]] &lt;=55, "46-55", "56+"))))</f>
        <v>36-45</v>
      </c>
      <c r="AK595" t="str">
        <f t="shared" si="9"/>
        <v>Medium</v>
      </c>
      <c r="AL595" s="2" t="str">
        <f>IF(AF595 &lt; 3, "0-2 Years", IF(AF595 &lt;= 5, "3-5 Years", IF(AF595 &lt;= 10, "6-10 Years",IF(Table3[[#This Row],[Years At Company]]&lt;=20, "11-20 Years","20+ Years"))))</f>
        <v>6-10 Years</v>
      </c>
    </row>
    <row r="596" spans="1:38" x14ac:dyDescent="0.25">
      <c r="A596" s="2">
        <v>29</v>
      </c>
      <c r="B596" t="s">
        <v>43</v>
      </c>
      <c r="C596" t="s">
        <v>36</v>
      </c>
      <c r="D596" s="2">
        <v>1252</v>
      </c>
      <c r="E596" t="s">
        <v>45</v>
      </c>
      <c r="F596" s="2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 s="2">
        <v>2700</v>
      </c>
      <c r="T596">
        <v>23779</v>
      </c>
      <c r="U596">
        <v>1</v>
      </c>
      <c r="V596" t="s">
        <v>42</v>
      </c>
      <c r="W596" t="s">
        <v>43</v>
      </c>
      <c r="X596" s="2">
        <v>24</v>
      </c>
      <c r="Y596">
        <v>4</v>
      </c>
      <c r="Z596">
        <v>3</v>
      </c>
      <c r="AA596">
        <v>80</v>
      </c>
      <c r="AB596">
        <v>1</v>
      </c>
      <c r="AC596" s="2">
        <v>10</v>
      </c>
      <c r="AD596">
        <v>3</v>
      </c>
      <c r="AE596">
        <v>3</v>
      </c>
      <c r="AF596" s="2">
        <v>10</v>
      </c>
      <c r="AG596">
        <v>7</v>
      </c>
      <c r="AH596">
        <v>0</v>
      </c>
      <c r="AI596">
        <v>7</v>
      </c>
      <c r="AJ596" s="2" t="str">
        <f>IF(A596 A596 &lt;= 25, "18-25", IF(A596 &lt;=35, "26-35", IF(A596 &lt;=45, "36-45", IF(Table3[[#This Row],[Age]] &lt;=55, "46-55", "56+"))))</f>
        <v>26-35</v>
      </c>
      <c r="AK596" t="str">
        <f t="shared" si="9"/>
        <v>Low</v>
      </c>
      <c r="AL596" s="2" t="str">
        <f>IF(AF596 &lt; 3, "0-2 Years", IF(AF596 &lt;= 5, "3-5 Years", IF(AF596 &lt;= 10, "6-10 Years",IF(Table3[[#This Row],[Years At Company]]&lt;=20, "11-20 Years","20+ Years"))))</f>
        <v>6-10 Years</v>
      </c>
    </row>
    <row r="597" spans="1:38" x14ac:dyDescent="0.25">
      <c r="A597" s="2">
        <v>58</v>
      </c>
      <c r="B597" t="s">
        <v>35</v>
      </c>
      <c r="C597" t="s">
        <v>36</v>
      </c>
      <c r="D597" s="2">
        <v>286</v>
      </c>
      <c r="E597" t="s">
        <v>45</v>
      </c>
      <c r="F597" s="2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 s="2">
        <v>19246</v>
      </c>
      <c r="T597">
        <v>25761</v>
      </c>
      <c r="U597">
        <v>7</v>
      </c>
      <c r="V597" t="s">
        <v>42</v>
      </c>
      <c r="W597" t="s">
        <v>35</v>
      </c>
      <c r="X597" s="2">
        <v>12</v>
      </c>
      <c r="Y597">
        <v>3</v>
      </c>
      <c r="Z597">
        <v>4</v>
      </c>
      <c r="AA597">
        <v>80</v>
      </c>
      <c r="AB597">
        <v>0</v>
      </c>
      <c r="AC597" s="2">
        <v>40</v>
      </c>
      <c r="AD597">
        <v>2</v>
      </c>
      <c r="AE597">
        <v>3</v>
      </c>
      <c r="AF597" s="2">
        <v>31</v>
      </c>
      <c r="AG597">
        <v>15</v>
      </c>
      <c r="AH597">
        <v>13</v>
      </c>
      <c r="AI597">
        <v>8</v>
      </c>
      <c r="AJ597" s="2" t="str">
        <f>IF(A597 A597 &lt;= 25, "18-25", IF(A597 &lt;=35, "26-35", IF(A597 &lt;=45, "36-45", IF(Table3[[#This Row],[Age]] &lt;=55, "46-55", "56+"))))</f>
        <v>56+</v>
      </c>
      <c r="AK597" t="str">
        <f t="shared" si="9"/>
        <v>High</v>
      </c>
      <c r="AL597" s="2" t="str">
        <f>IF(AF597 &lt; 3, "0-2 Years", IF(AF597 &lt;= 5, "3-5 Years", IF(AF597 &lt;= 10, "6-10 Years",IF(Table3[[#This Row],[Years At Company]]&lt;=20, "11-20 Years","20+ Years"))))</f>
        <v>20+ Years</v>
      </c>
    </row>
    <row r="598" spans="1:38" x14ac:dyDescent="0.25">
      <c r="A598" s="2">
        <v>35</v>
      </c>
      <c r="B598" t="s">
        <v>43</v>
      </c>
      <c r="C598" t="s">
        <v>36</v>
      </c>
      <c r="D598" s="2">
        <v>1258</v>
      </c>
      <c r="E598" t="s">
        <v>45</v>
      </c>
      <c r="F598" s="2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 s="2">
        <v>2506</v>
      </c>
      <c r="T598">
        <v>13301</v>
      </c>
      <c r="U598">
        <v>3</v>
      </c>
      <c r="V598" t="s">
        <v>42</v>
      </c>
      <c r="W598" t="s">
        <v>43</v>
      </c>
      <c r="X598" s="2">
        <v>13</v>
      </c>
      <c r="Y598">
        <v>3</v>
      </c>
      <c r="Z598">
        <v>3</v>
      </c>
      <c r="AA598">
        <v>80</v>
      </c>
      <c r="AB598">
        <v>0</v>
      </c>
      <c r="AC598" s="2">
        <v>7</v>
      </c>
      <c r="AD598">
        <v>0</v>
      </c>
      <c r="AE598">
        <v>3</v>
      </c>
      <c r="AF598" s="2">
        <v>2</v>
      </c>
      <c r="AG598">
        <v>2</v>
      </c>
      <c r="AH598">
        <v>2</v>
      </c>
      <c r="AI598">
        <v>2</v>
      </c>
      <c r="AJ598" s="2" t="str">
        <f>IF(A598 A598 &lt;= 25, "18-25", IF(A598 &lt;=35, "26-35", IF(A598 &lt;=45, "36-45", IF(Table3[[#This Row],[Age]] &lt;=55, "46-55", "56+"))))</f>
        <v>26-35</v>
      </c>
      <c r="AK598" t="str">
        <f t="shared" si="9"/>
        <v>Low</v>
      </c>
      <c r="AL598" s="2" t="str">
        <f>IF(AF598 &lt; 3, "0-2 Years", IF(AF598 &lt;= 5, "3-5 Years", IF(AF598 &lt;= 10, "6-10 Years",IF(Table3[[#This Row],[Years At Company]]&lt;=20, "11-20 Years","20+ Years"))))</f>
        <v>0-2 Years</v>
      </c>
    </row>
    <row r="599" spans="1:38" x14ac:dyDescent="0.25">
      <c r="A599" s="2">
        <v>42</v>
      </c>
      <c r="B599" t="s">
        <v>43</v>
      </c>
      <c r="C599" t="s">
        <v>36</v>
      </c>
      <c r="D599" s="2">
        <v>932</v>
      </c>
      <c r="E599" t="s">
        <v>45</v>
      </c>
      <c r="F599" s="2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 s="2">
        <v>6062</v>
      </c>
      <c r="T599">
        <v>4051</v>
      </c>
      <c r="U599">
        <v>9</v>
      </c>
      <c r="V599" t="s">
        <v>42</v>
      </c>
      <c r="W599" t="s">
        <v>35</v>
      </c>
      <c r="X599" s="2">
        <v>13</v>
      </c>
      <c r="Y599">
        <v>3</v>
      </c>
      <c r="Z599">
        <v>4</v>
      </c>
      <c r="AA599">
        <v>80</v>
      </c>
      <c r="AB599">
        <v>1</v>
      </c>
      <c r="AC599" s="2">
        <v>8</v>
      </c>
      <c r="AD599">
        <v>4</v>
      </c>
      <c r="AE599">
        <v>3</v>
      </c>
      <c r="AF599" s="2">
        <v>4</v>
      </c>
      <c r="AG599">
        <v>3</v>
      </c>
      <c r="AH599">
        <v>0</v>
      </c>
      <c r="AI599">
        <v>2</v>
      </c>
      <c r="AJ599" s="2" t="str">
        <f>IF(A599 A599 &lt;= 25, "18-25", IF(A599 &lt;=35, "26-35", IF(A599 &lt;=45, "36-45", IF(Table3[[#This Row],[Age]] &lt;=55, "46-55", "56+"))))</f>
        <v>36-45</v>
      </c>
      <c r="AK599" t="str">
        <f t="shared" si="9"/>
        <v>Medium</v>
      </c>
      <c r="AL599" s="2" t="str">
        <f>IF(AF599 &lt; 3, "0-2 Years", IF(AF599 &lt;= 5, "3-5 Years", IF(AF599 &lt;= 10, "6-10 Years",IF(Table3[[#This Row],[Years At Company]]&lt;=20, "11-20 Years","20+ Years"))))</f>
        <v>3-5 Years</v>
      </c>
    </row>
    <row r="600" spans="1:38" x14ac:dyDescent="0.25">
      <c r="A600" s="2">
        <v>28</v>
      </c>
      <c r="B600" t="s">
        <v>35</v>
      </c>
      <c r="C600" t="s">
        <v>36</v>
      </c>
      <c r="D600" s="2">
        <v>890</v>
      </c>
      <c r="E600" t="s">
        <v>45</v>
      </c>
      <c r="F600" s="2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 s="2">
        <v>4382</v>
      </c>
      <c r="T600">
        <v>16374</v>
      </c>
      <c r="U600">
        <v>6</v>
      </c>
      <c r="V600" t="s">
        <v>42</v>
      </c>
      <c r="W600" t="s">
        <v>43</v>
      </c>
      <c r="X600" s="2">
        <v>17</v>
      </c>
      <c r="Y600">
        <v>3</v>
      </c>
      <c r="Z600">
        <v>4</v>
      </c>
      <c r="AA600">
        <v>80</v>
      </c>
      <c r="AB600">
        <v>0</v>
      </c>
      <c r="AC600" s="2">
        <v>5</v>
      </c>
      <c r="AD600">
        <v>3</v>
      </c>
      <c r="AE600">
        <v>2</v>
      </c>
      <c r="AF600" s="2">
        <v>2</v>
      </c>
      <c r="AG600">
        <v>2</v>
      </c>
      <c r="AH600">
        <v>2</v>
      </c>
      <c r="AI600">
        <v>1</v>
      </c>
      <c r="AJ600" s="2" t="str">
        <f>IF(A600 A600 &lt;= 25, "18-25", IF(A600 &lt;=35, "26-35", IF(A600 &lt;=45, "36-45", IF(Table3[[#This Row],[Age]] &lt;=55, "46-55", "56+"))))</f>
        <v>26-35</v>
      </c>
      <c r="AK600" t="str">
        <f t="shared" si="9"/>
        <v>Low</v>
      </c>
      <c r="AL600" s="2" t="str">
        <f>IF(AF600 &lt; 3, "0-2 Years", IF(AF600 &lt;= 5, "3-5 Years", IF(AF600 &lt;= 10, "6-10 Years",IF(Table3[[#This Row],[Years At Company]]&lt;=20, "11-20 Years","20+ Years"))))</f>
        <v>0-2 Years</v>
      </c>
    </row>
    <row r="601" spans="1:38" x14ac:dyDescent="0.25">
      <c r="A601" s="2">
        <v>36</v>
      </c>
      <c r="B601" t="s">
        <v>43</v>
      </c>
      <c r="C601" t="s">
        <v>36</v>
      </c>
      <c r="D601" s="2">
        <v>1041</v>
      </c>
      <c r="E601" t="s">
        <v>61</v>
      </c>
      <c r="F601" s="2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 s="2">
        <v>2143</v>
      </c>
      <c r="T601">
        <v>25527</v>
      </c>
      <c r="U601">
        <v>4</v>
      </c>
      <c r="V601" t="s">
        <v>42</v>
      </c>
      <c r="W601" t="s">
        <v>43</v>
      </c>
      <c r="X601" s="2">
        <v>13</v>
      </c>
      <c r="Y601">
        <v>3</v>
      </c>
      <c r="Z601">
        <v>2</v>
      </c>
      <c r="AA601">
        <v>80</v>
      </c>
      <c r="AB601">
        <v>1</v>
      </c>
      <c r="AC601" s="2">
        <v>8</v>
      </c>
      <c r="AD601">
        <v>2</v>
      </c>
      <c r="AE601">
        <v>3</v>
      </c>
      <c r="AF601" s="2">
        <v>5</v>
      </c>
      <c r="AG601">
        <v>2</v>
      </c>
      <c r="AH601">
        <v>0</v>
      </c>
      <c r="AI601">
        <v>4</v>
      </c>
      <c r="AJ601" s="2" t="str">
        <f>IF(A601 A601 &lt;= 25, "18-25", IF(A601 &lt;=35, "26-35", IF(A601 &lt;=45, "36-45", IF(Table3[[#This Row],[Age]] &lt;=55, "46-55", "56+"))))</f>
        <v>36-45</v>
      </c>
      <c r="AK601" t="str">
        <f t="shared" si="9"/>
        <v>Low</v>
      </c>
      <c r="AL601" s="2" t="str">
        <f>IF(AF601 &lt; 3, "0-2 Years", IF(AF601 &lt;= 5, "3-5 Years", IF(AF601 &lt;= 10, "6-10 Years",IF(Table3[[#This Row],[Years At Company]]&lt;=20, "11-20 Years","20+ Years"))))</f>
        <v>3-5 Years</v>
      </c>
    </row>
    <row r="602" spans="1:38" x14ac:dyDescent="0.25">
      <c r="A602" s="2">
        <v>32</v>
      </c>
      <c r="B602" t="s">
        <v>43</v>
      </c>
      <c r="C602" t="s">
        <v>36</v>
      </c>
      <c r="D602" s="2">
        <v>859</v>
      </c>
      <c r="E602" t="s">
        <v>45</v>
      </c>
      <c r="F602" s="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 s="2">
        <v>6162</v>
      </c>
      <c r="T602">
        <v>19124</v>
      </c>
      <c r="U602">
        <v>1</v>
      </c>
      <c r="V602" t="s">
        <v>42</v>
      </c>
      <c r="W602" t="s">
        <v>43</v>
      </c>
      <c r="X602" s="2">
        <v>12</v>
      </c>
      <c r="Y602">
        <v>3</v>
      </c>
      <c r="Z602">
        <v>3</v>
      </c>
      <c r="AA602">
        <v>80</v>
      </c>
      <c r="AB602">
        <v>1</v>
      </c>
      <c r="AC602" s="2">
        <v>14</v>
      </c>
      <c r="AD602">
        <v>3</v>
      </c>
      <c r="AE602">
        <v>3</v>
      </c>
      <c r="AF602" s="2">
        <v>14</v>
      </c>
      <c r="AG602">
        <v>13</v>
      </c>
      <c r="AH602">
        <v>6</v>
      </c>
      <c r="AI602">
        <v>8</v>
      </c>
      <c r="AJ602" s="2" t="str">
        <f>IF(A602 A602 &lt;= 25, "18-25", IF(A602 &lt;=35, "26-35", IF(A602 &lt;=45, "36-45", IF(Table3[[#This Row],[Age]] &lt;=55, "46-55", "56+"))))</f>
        <v>26-35</v>
      </c>
      <c r="AK602" t="str">
        <f t="shared" si="9"/>
        <v>Medium</v>
      </c>
      <c r="AL602" s="2" t="str">
        <f>IF(AF602 &lt; 3, "0-2 Years", IF(AF602 &lt;= 5, "3-5 Years", IF(AF602 &lt;= 10, "6-10 Years",IF(Table3[[#This Row],[Years At Company]]&lt;=20, "11-20 Years","20+ Years"))))</f>
        <v>11-20 Years</v>
      </c>
    </row>
    <row r="603" spans="1:38" x14ac:dyDescent="0.25">
      <c r="A603" s="2">
        <v>40</v>
      </c>
      <c r="B603" t="s">
        <v>43</v>
      </c>
      <c r="C603" t="s">
        <v>44</v>
      </c>
      <c r="D603" s="2">
        <v>720</v>
      </c>
      <c r="E603" t="s">
        <v>45</v>
      </c>
      <c r="F603" s="2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 s="2">
        <v>5094</v>
      </c>
      <c r="T603">
        <v>11983</v>
      </c>
      <c r="U603">
        <v>6</v>
      </c>
      <c r="V603" t="s">
        <v>42</v>
      </c>
      <c r="W603" t="s">
        <v>43</v>
      </c>
      <c r="X603" s="2">
        <v>14</v>
      </c>
      <c r="Y603">
        <v>3</v>
      </c>
      <c r="Z603">
        <v>4</v>
      </c>
      <c r="AA603">
        <v>80</v>
      </c>
      <c r="AB603">
        <v>0</v>
      </c>
      <c r="AC603" s="2">
        <v>10</v>
      </c>
      <c r="AD603">
        <v>6</v>
      </c>
      <c r="AE603">
        <v>3</v>
      </c>
      <c r="AF603" s="2">
        <v>1</v>
      </c>
      <c r="AG603">
        <v>0</v>
      </c>
      <c r="AH603">
        <v>0</v>
      </c>
      <c r="AI603">
        <v>0</v>
      </c>
      <c r="AJ603" s="2" t="str">
        <f>IF(A603 A603 &lt;= 25, "18-25", IF(A603 &lt;=35, "26-35", IF(A603 &lt;=45, "36-45", IF(Table3[[#This Row],[Age]] &lt;=55, "46-55", "56+"))))</f>
        <v>36-45</v>
      </c>
      <c r="AK603" t="str">
        <f t="shared" si="9"/>
        <v>Medium</v>
      </c>
      <c r="AL603" s="2" t="str">
        <f>IF(AF603 &lt; 3, "0-2 Years", IF(AF603 &lt;= 5, "3-5 Years", IF(AF603 &lt;= 10, "6-10 Years",IF(Table3[[#This Row],[Years At Company]]&lt;=20, "11-20 Years","20+ Years"))))</f>
        <v>0-2 Years</v>
      </c>
    </row>
    <row r="604" spans="1:38" x14ac:dyDescent="0.25">
      <c r="A604" s="2">
        <v>30</v>
      </c>
      <c r="B604" t="s">
        <v>43</v>
      </c>
      <c r="C604" t="s">
        <v>36</v>
      </c>
      <c r="D604" s="2">
        <v>946</v>
      </c>
      <c r="E604" t="s">
        <v>45</v>
      </c>
      <c r="F604" s="2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 s="2">
        <v>6877</v>
      </c>
      <c r="T604">
        <v>20234</v>
      </c>
      <c r="U604">
        <v>5</v>
      </c>
      <c r="V604" t="s">
        <v>42</v>
      </c>
      <c r="W604" t="s">
        <v>35</v>
      </c>
      <c r="X604" s="2">
        <v>24</v>
      </c>
      <c r="Y604">
        <v>4</v>
      </c>
      <c r="Z604">
        <v>2</v>
      </c>
      <c r="AA604">
        <v>80</v>
      </c>
      <c r="AB604">
        <v>0</v>
      </c>
      <c r="AC604" s="2">
        <v>12</v>
      </c>
      <c r="AD604">
        <v>4</v>
      </c>
      <c r="AE604">
        <v>2</v>
      </c>
      <c r="AF604" s="2">
        <v>0</v>
      </c>
      <c r="AG604">
        <v>0</v>
      </c>
      <c r="AH604">
        <v>0</v>
      </c>
      <c r="AI604">
        <v>0</v>
      </c>
      <c r="AJ604" s="2" t="str">
        <f>IF(A604 A604 &lt;= 25, "18-25", IF(A604 &lt;=35, "26-35", IF(A604 &lt;=45, "36-45", IF(Table3[[#This Row],[Age]] &lt;=55, "46-55", "56+"))))</f>
        <v>26-35</v>
      </c>
      <c r="AK604" t="str">
        <f t="shared" si="9"/>
        <v>Medium</v>
      </c>
      <c r="AL604" s="2" t="str">
        <f>IF(AF604 &lt; 3, "0-2 Years", IF(AF604 &lt;= 5, "3-5 Years", IF(AF604 &lt;= 10, "6-10 Years",IF(Table3[[#This Row],[Years At Company]]&lt;=20, "11-20 Years","20+ Years"))))</f>
        <v>0-2 Years</v>
      </c>
    </row>
    <row r="605" spans="1:38" x14ac:dyDescent="0.25">
      <c r="A605" s="2">
        <v>45</v>
      </c>
      <c r="B605" t="s">
        <v>43</v>
      </c>
      <c r="C605" t="s">
        <v>36</v>
      </c>
      <c r="D605" s="2">
        <v>252</v>
      </c>
      <c r="E605" t="s">
        <v>45</v>
      </c>
      <c r="F605" s="2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 s="2">
        <v>2274</v>
      </c>
      <c r="T605">
        <v>6153</v>
      </c>
      <c r="U605">
        <v>1</v>
      </c>
      <c r="V605" t="s">
        <v>42</v>
      </c>
      <c r="W605" t="s">
        <v>43</v>
      </c>
      <c r="X605" s="2">
        <v>14</v>
      </c>
      <c r="Y605">
        <v>3</v>
      </c>
      <c r="Z605">
        <v>4</v>
      </c>
      <c r="AA605">
        <v>80</v>
      </c>
      <c r="AB605">
        <v>0</v>
      </c>
      <c r="AC605" s="2">
        <v>1</v>
      </c>
      <c r="AD605">
        <v>3</v>
      </c>
      <c r="AE605">
        <v>3</v>
      </c>
      <c r="AF605" s="2">
        <v>1</v>
      </c>
      <c r="AG605">
        <v>0</v>
      </c>
      <c r="AH605">
        <v>0</v>
      </c>
      <c r="AI605">
        <v>0</v>
      </c>
      <c r="AJ605" s="2" t="str">
        <f>IF(A605 A605 &lt;= 25, "18-25", IF(A605 &lt;=35, "26-35", IF(A605 &lt;=45, "36-45", IF(Table3[[#This Row],[Age]] &lt;=55, "46-55", "56+"))))</f>
        <v>36-45</v>
      </c>
      <c r="AK605" t="str">
        <f t="shared" si="9"/>
        <v>Low</v>
      </c>
      <c r="AL605" s="2" t="str">
        <f>IF(AF605 &lt; 3, "0-2 Years", IF(AF605 &lt;= 5, "3-5 Years", IF(AF605 &lt;= 10, "6-10 Years",IF(Table3[[#This Row],[Years At Company]]&lt;=20, "11-20 Years","20+ Years"))))</f>
        <v>0-2 Years</v>
      </c>
    </row>
    <row r="606" spans="1:38" x14ac:dyDescent="0.25">
      <c r="A606" s="2">
        <v>42</v>
      </c>
      <c r="B606" t="s">
        <v>43</v>
      </c>
      <c r="C606" t="s">
        <v>36</v>
      </c>
      <c r="D606" s="2">
        <v>933</v>
      </c>
      <c r="E606" t="s">
        <v>45</v>
      </c>
      <c r="F606" s="2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 s="2">
        <v>4434</v>
      </c>
      <c r="T606">
        <v>11806</v>
      </c>
      <c r="U606">
        <v>1</v>
      </c>
      <c r="V606" t="s">
        <v>42</v>
      </c>
      <c r="W606" t="s">
        <v>43</v>
      </c>
      <c r="X606" s="2">
        <v>13</v>
      </c>
      <c r="Y606">
        <v>3</v>
      </c>
      <c r="Z606">
        <v>4</v>
      </c>
      <c r="AA606">
        <v>80</v>
      </c>
      <c r="AB606">
        <v>1</v>
      </c>
      <c r="AC606" s="2">
        <v>10</v>
      </c>
      <c r="AD606">
        <v>3</v>
      </c>
      <c r="AE606">
        <v>2</v>
      </c>
      <c r="AF606" s="2">
        <v>9</v>
      </c>
      <c r="AG606">
        <v>8</v>
      </c>
      <c r="AH606">
        <v>7</v>
      </c>
      <c r="AI606">
        <v>8</v>
      </c>
      <c r="AJ606" s="2" t="str">
        <f>IF(A606 A606 &lt;= 25, "18-25", IF(A606 &lt;=35, "26-35", IF(A606 &lt;=45, "36-45", IF(Table3[[#This Row],[Age]] &lt;=55, "46-55", "56+"))))</f>
        <v>36-45</v>
      </c>
      <c r="AK606" t="str">
        <f t="shared" si="9"/>
        <v>Low</v>
      </c>
      <c r="AL606" s="2" t="str">
        <f>IF(AF606 &lt; 3, "0-2 Years", IF(AF606 &lt;= 5, "3-5 Years", IF(AF606 &lt;= 10, "6-10 Years",IF(Table3[[#This Row],[Years At Company]]&lt;=20, "11-20 Years","20+ Years"))))</f>
        <v>6-10 Years</v>
      </c>
    </row>
    <row r="607" spans="1:38" x14ac:dyDescent="0.25">
      <c r="A607" s="2">
        <v>38</v>
      </c>
      <c r="B607" t="s">
        <v>43</v>
      </c>
      <c r="C607" t="s">
        <v>44</v>
      </c>
      <c r="D607" s="2">
        <v>471</v>
      </c>
      <c r="E607" t="s">
        <v>45</v>
      </c>
      <c r="F607" s="2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 s="2">
        <v>6288</v>
      </c>
      <c r="T607">
        <v>4284</v>
      </c>
      <c r="U607">
        <v>2</v>
      </c>
      <c r="V607" t="s">
        <v>42</v>
      </c>
      <c r="W607" t="s">
        <v>43</v>
      </c>
      <c r="X607" s="2">
        <v>15</v>
      </c>
      <c r="Y607">
        <v>3</v>
      </c>
      <c r="Z607">
        <v>3</v>
      </c>
      <c r="AA607">
        <v>80</v>
      </c>
      <c r="AB607">
        <v>1</v>
      </c>
      <c r="AC607" s="2">
        <v>13</v>
      </c>
      <c r="AD607">
        <v>3</v>
      </c>
      <c r="AE607">
        <v>2</v>
      </c>
      <c r="AF607" s="2">
        <v>4</v>
      </c>
      <c r="AG607">
        <v>3</v>
      </c>
      <c r="AH607">
        <v>1</v>
      </c>
      <c r="AI607">
        <v>2</v>
      </c>
      <c r="AJ607" s="2" t="str">
        <f>IF(A607 A607 &lt;= 25, "18-25", IF(A607 &lt;=35, "26-35", IF(A607 &lt;=45, "36-45", IF(Table3[[#This Row],[Age]] &lt;=55, "46-55", "56+"))))</f>
        <v>36-45</v>
      </c>
      <c r="AK607" t="str">
        <f t="shared" si="9"/>
        <v>Medium</v>
      </c>
      <c r="AL607" s="2" t="str">
        <f>IF(AF607 &lt; 3, "0-2 Years", IF(AF607 &lt;= 5, "3-5 Years", IF(AF607 &lt;= 10, "6-10 Years",IF(Table3[[#This Row],[Years At Company]]&lt;=20, "11-20 Years","20+ Years"))))</f>
        <v>3-5 Years</v>
      </c>
    </row>
    <row r="608" spans="1:38" x14ac:dyDescent="0.25">
      <c r="A608" s="2">
        <v>34</v>
      </c>
      <c r="B608" t="s">
        <v>43</v>
      </c>
      <c r="C608" t="s">
        <v>44</v>
      </c>
      <c r="D608" s="2">
        <v>702</v>
      </c>
      <c r="E608" t="s">
        <v>45</v>
      </c>
      <c r="F608" s="2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 s="2">
        <v>2553</v>
      </c>
      <c r="T608">
        <v>8306</v>
      </c>
      <c r="U608">
        <v>1</v>
      </c>
      <c r="V608" t="s">
        <v>42</v>
      </c>
      <c r="W608" t="s">
        <v>43</v>
      </c>
      <c r="X608" s="2">
        <v>16</v>
      </c>
      <c r="Y608">
        <v>3</v>
      </c>
      <c r="Z608">
        <v>3</v>
      </c>
      <c r="AA608">
        <v>80</v>
      </c>
      <c r="AB608">
        <v>0</v>
      </c>
      <c r="AC608" s="2">
        <v>6</v>
      </c>
      <c r="AD608">
        <v>3</v>
      </c>
      <c r="AE608">
        <v>3</v>
      </c>
      <c r="AF608" s="2">
        <v>5</v>
      </c>
      <c r="AG608">
        <v>2</v>
      </c>
      <c r="AH608">
        <v>1</v>
      </c>
      <c r="AI608">
        <v>3</v>
      </c>
      <c r="AJ608" s="2" t="str">
        <f>IF(A608 A608 &lt;= 25, "18-25", IF(A608 &lt;=35, "26-35", IF(A608 &lt;=45, "36-45", IF(Table3[[#This Row],[Age]] &lt;=55, "46-55", "56+"))))</f>
        <v>26-35</v>
      </c>
      <c r="AK608" t="str">
        <f t="shared" si="9"/>
        <v>Low</v>
      </c>
      <c r="AL608" s="2" t="str">
        <f>IF(AF608 &lt; 3, "0-2 Years", IF(AF608 &lt;= 5, "3-5 Years", IF(AF608 &lt;= 10, "6-10 Years",IF(Table3[[#This Row],[Years At Company]]&lt;=20, "11-20 Years","20+ Years"))))</f>
        <v>3-5 Years</v>
      </c>
    </row>
    <row r="609" spans="1:38" x14ac:dyDescent="0.25">
      <c r="A609" s="2">
        <v>49</v>
      </c>
      <c r="B609" t="s">
        <v>35</v>
      </c>
      <c r="C609" t="s">
        <v>36</v>
      </c>
      <c r="D609" s="2">
        <v>1184</v>
      </c>
      <c r="E609" t="s">
        <v>37</v>
      </c>
      <c r="F609" s="2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 s="2">
        <v>7654</v>
      </c>
      <c r="T609">
        <v>5860</v>
      </c>
      <c r="U609">
        <v>1</v>
      </c>
      <c r="V609" t="s">
        <v>42</v>
      </c>
      <c r="W609" t="s">
        <v>43</v>
      </c>
      <c r="X609" s="2">
        <v>18</v>
      </c>
      <c r="Y609">
        <v>3</v>
      </c>
      <c r="Z609">
        <v>1</v>
      </c>
      <c r="AA609">
        <v>80</v>
      </c>
      <c r="AB609">
        <v>2</v>
      </c>
      <c r="AC609" s="2">
        <v>9</v>
      </c>
      <c r="AD609">
        <v>3</v>
      </c>
      <c r="AE609">
        <v>4</v>
      </c>
      <c r="AF609" s="2">
        <v>9</v>
      </c>
      <c r="AG609">
        <v>8</v>
      </c>
      <c r="AH609">
        <v>7</v>
      </c>
      <c r="AI609">
        <v>7</v>
      </c>
      <c r="AJ609" s="2" t="str">
        <f>IF(A609 A609 &lt;= 25, "18-25", IF(A609 &lt;=35, "26-35", IF(A609 &lt;=45, "36-45", IF(Table3[[#This Row],[Age]] &lt;=55, "46-55", "56+"))))</f>
        <v>46-55</v>
      </c>
      <c r="AK609" t="str">
        <f t="shared" si="9"/>
        <v>Medium</v>
      </c>
      <c r="AL609" s="2" t="str">
        <f>IF(AF609 &lt; 3, "0-2 Years", IF(AF609 &lt;= 5, "3-5 Years", IF(AF609 &lt;= 10, "6-10 Years",IF(Table3[[#This Row],[Years At Company]]&lt;=20, "11-20 Years","20+ Years"))))</f>
        <v>6-10 Years</v>
      </c>
    </row>
    <row r="610" spans="1:38" x14ac:dyDescent="0.25">
      <c r="A610" s="2">
        <v>55</v>
      </c>
      <c r="B610" t="s">
        <v>35</v>
      </c>
      <c r="C610" t="s">
        <v>36</v>
      </c>
      <c r="D610" s="2">
        <v>436</v>
      </c>
      <c r="E610" t="s">
        <v>37</v>
      </c>
      <c r="F610" s="2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 s="2">
        <v>5160</v>
      </c>
      <c r="T610">
        <v>21519</v>
      </c>
      <c r="U610">
        <v>4</v>
      </c>
      <c r="V610" t="s">
        <v>42</v>
      </c>
      <c r="W610" t="s">
        <v>43</v>
      </c>
      <c r="X610" s="2">
        <v>16</v>
      </c>
      <c r="Y610">
        <v>3</v>
      </c>
      <c r="Z610">
        <v>3</v>
      </c>
      <c r="AA610">
        <v>80</v>
      </c>
      <c r="AB610">
        <v>0</v>
      </c>
      <c r="AC610" s="2">
        <v>12</v>
      </c>
      <c r="AD610">
        <v>3</v>
      </c>
      <c r="AE610">
        <v>2</v>
      </c>
      <c r="AF610" s="2">
        <v>9</v>
      </c>
      <c r="AG610">
        <v>7</v>
      </c>
      <c r="AH610">
        <v>7</v>
      </c>
      <c r="AI610">
        <v>3</v>
      </c>
      <c r="AJ610" s="2" t="str">
        <f>IF(A610 A610 &lt;= 25, "18-25", IF(A610 &lt;=35, "26-35", IF(A610 &lt;=45, "36-45", IF(Table3[[#This Row],[Age]] &lt;=55, "46-55", "56+"))))</f>
        <v>46-55</v>
      </c>
      <c r="AK610" t="str">
        <f t="shared" si="9"/>
        <v>Medium</v>
      </c>
      <c r="AL610" s="2" t="str">
        <f>IF(AF610 &lt; 3, "0-2 Years", IF(AF610 &lt;= 5, "3-5 Years", IF(AF610 &lt;= 10, "6-10 Years",IF(Table3[[#This Row],[Years At Company]]&lt;=20, "11-20 Years","20+ Years"))))</f>
        <v>6-10 Years</v>
      </c>
    </row>
    <row r="611" spans="1:38" x14ac:dyDescent="0.25">
      <c r="A611" s="2">
        <v>43</v>
      </c>
      <c r="B611" t="s">
        <v>43</v>
      </c>
      <c r="C611" t="s">
        <v>36</v>
      </c>
      <c r="D611" s="2">
        <v>589</v>
      </c>
      <c r="E611" t="s">
        <v>45</v>
      </c>
      <c r="F611" s="2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 s="2">
        <v>17159</v>
      </c>
      <c r="T611">
        <v>5200</v>
      </c>
      <c r="U611">
        <v>6</v>
      </c>
      <c r="V611" t="s">
        <v>42</v>
      </c>
      <c r="W611" t="s">
        <v>43</v>
      </c>
      <c r="X611" s="2">
        <v>24</v>
      </c>
      <c r="Y611">
        <v>4</v>
      </c>
      <c r="Z611">
        <v>3</v>
      </c>
      <c r="AA611">
        <v>80</v>
      </c>
      <c r="AB611">
        <v>1</v>
      </c>
      <c r="AC611" s="2">
        <v>22</v>
      </c>
      <c r="AD611">
        <v>3</v>
      </c>
      <c r="AE611">
        <v>3</v>
      </c>
      <c r="AF611" s="2">
        <v>4</v>
      </c>
      <c r="AG611">
        <v>1</v>
      </c>
      <c r="AH611">
        <v>1</v>
      </c>
      <c r="AI611">
        <v>0</v>
      </c>
      <c r="AJ611" s="2" t="str">
        <f>IF(A611 A611 &lt;= 25, "18-25", IF(A611 &lt;=35, "26-35", IF(A611 &lt;=45, "36-45", IF(Table3[[#This Row],[Age]] &lt;=55, "46-55", "56+"))))</f>
        <v>36-45</v>
      </c>
      <c r="AK611" t="str">
        <f t="shared" si="9"/>
        <v>High</v>
      </c>
      <c r="AL611" s="2" t="str">
        <f>IF(AF611 &lt; 3, "0-2 Years", IF(AF611 &lt;= 5, "3-5 Years", IF(AF611 &lt;= 10, "6-10 Years",IF(Table3[[#This Row],[Years At Company]]&lt;=20, "11-20 Years","20+ Years"))))</f>
        <v>3-5 Years</v>
      </c>
    </row>
    <row r="612" spans="1:38" x14ac:dyDescent="0.25">
      <c r="A612" s="2">
        <v>27</v>
      </c>
      <c r="B612" t="s">
        <v>43</v>
      </c>
      <c r="C612" t="s">
        <v>36</v>
      </c>
      <c r="D612" s="2">
        <v>269</v>
      </c>
      <c r="E612" t="s">
        <v>45</v>
      </c>
      <c r="F612" s="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 s="2">
        <v>12808</v>
      </c>
      <c r="T612">
        <v>8842</v>
      </c>
      <c r="U612">
        <v>1</v>
      </c>
      <c r="V612" t="s">
        <v>42</v>
      </c>
      <c r="W612" t="s">
        <v>35</v>
      </c>
      <c r="X612" s="2">
        <v>16</v>
      </c>
      <c r="Y612">
        <v>3</v>
      </c>
      <c r="Z612">
        <v>2</v>
      </c>
      <c r="AA612">
        <v>80</v>
      </c>
      <c r="AB612">
        <v>1</v>
      </c>
      <c r="AC612" s="2">
        <v>9</v>
      </c>
      <c r="AD612">
        <v>3</v>
      </c>
      <c r="AE612">
        <v>3</v>
      </c>
      <c r="AF612" s="2">
        <v>9</v>
      </c>
      <c r="AG612">
        <v>8</v>
      </c>
      <c r="AH612">
        <v>0</v>
      </c>
      <c r="AI612">
        <v>8</v>
      </c>
      <c r="AJ612" s="2" t="str">
        <f>IF(A612 A612 &lt;= 25, "18-25", IF(A612 &lt;=35, "26-35", IF(A612 &lt;=45, "36-45", IF(Table3[[#This Row],[Age]] &lt;=55, "46-55", "56+"))))</f>
        <v>26-35</v>
      </c>
      <c r="AK612" t="str">
        <f t="shared" si="9"/>
        <v>High</v>
      </c>
      <c r="AL612" s="2" t="str">
        <f>IF(AF612 &lt; 3, "0-2 Years", IF(AF612 &lt;= 5, "3-5 Years", IF(AF612 &lt;= 10, "6-10 Years",IF(Table3[[#This Row],[Years At Company]]&lt;=20, "11-20 Years","20+ Years"))))</f>
        <v>6-10 Years</v>
      </c>
    </row>
    <row r="613" spans="1:38" x14ac:dyDescent="0.25">
      <c r="A613" s="2">
        <v>35</v>
      </c>
      <c r="B613" t="s">
        <v>43</v>
      </c>
      <c r="C613" t="s">
        <v>36</v>
      </c>
      <c r="D613" s="2">
        <v>950</v>
      </c>
      <c r="E613" t="s">
        <v>45</v>
      </c>
      <c r="F613" s="2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 s="2">
        <v>10221</v>
      </c>
      <c r="T613">
        <v>18869</v>
      </c>
      <c r="U613">
        <v>3</v>
      </c>
      <c r="V613" t="s">
        <v>42</v>
      </c>
      <c r="W613" t="s">
        <v>43</v>
      </c>
      <c r="X613" s="2">
        <v>21</v>
      </c>
      <c r="Y613">
        <v>4</v>
      </c>
      <c r="Z613">
        <v>2</v>
      </c>
      <c r="AA613">
        <v>80</v>
      </c>
      <c r="AB613">
        <v>0</v>
      </c>
      <c r="AC613" s="2">
        <v>17</v>
      </c>
      <c r="AD613">
        <v>3</v>
      </c>
      <c r="AE613">
        <v>4</v>
      </c>
      <c r="AF613" s="2">
        <v>8</v>
      </c>
      <c r="AG613">
        <v>5</v>
      </c>
      <c r="AH613">
        <v>1</v>
      </c>
      <c r="AI613">
        <v>6</v>
      </c>
      <c r="AJ613" s="2" t="str">
        <f>IF(A613 A613 &lt;= 25, "18-25", IF(A613 &lt;=35, "26-35", IF(A613 &lt;=45, "36-45", IF(Table3[[#This Row],[Age]] &lt;=55, "46-55", "56+"))))</f>
        <v>26-35</v>
      </c>
      <c r="AK613" t="str">
        <f t="shared" si="9"/>
        <v>High</v>
      </c>
      <c r="AL613" s="2" t="str">
        <f>IF(AF613 &lt; 3, "0-2 Years", IF(AF613 &lt;= 5, "3-5 Years", IF(AF613 &lt;= 10, "6-10 Years",IF(Table3[[#This Row],[Years At Company]]&lt;=20, "11-20 Years","20+ Years"))))</f>
        <v>6-10 Years</v>
      </c>
    </row>
    <row r="614" spans="1:38" x14ac:dyDescent="0.25">
      <c r="A614" s="2">
        <v>28</v>
      </c>
      <c r="B614" t="s">
        <v>43</v>
      </c>
      <c r="C614" t="s">
        <v>36</v>
      </c>
      <c r="D614" s="2">
        <v>760</v>
      </c>
      <c r="E614" t="s">
        <v>37</v>
      </c>
      <c r="F614" s="2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 s="2">
        <v>4779</v>
      </c>
      <c r="T614">
        <v>3698</v>
      </c>
      <c r="U614">
        <v>1</v>
      </c>
      <c r="V614" t="s">
        <v>42</v>
      </c>
      <c r="W614" t="s">
        <v>35</v>
      </c>
      <c r="X614" s="2">
        <v>20</v>
      </c>
      <c r="Y614">
        <v>4</v>
      </c>
      <c r="Z614">
        <v>1</v>
      </c>
      <c r="AA614">
        <v>80</v>
      </c>
      <c r="AB614">
        <v>0</v>
      </c>
      <c r="AC614" s="2">
        <v>8</v>
      </c>
      <c r="AD614">
        <v>2</v>
      </c>
      <c r="AE614">
        <v>3</v>
      </c>
      <c r="AF614" s="2">
        <v>8</v>
      </c>
      <c r="AG614">
        <v>7</v>
      </c>
      <c r="AH614">
        <v>7</v>
      </c>
      <c r="AI614">
        <v>5</v>
      </c>
      <c r="AJ614" s="2" t="str">
        <f>IF(A614 A614 &lt;= 25, "18-25", IF(A614 &lt;=35, "26-35", IF(A614 &lt;=45, "36-45", IF(Table3[[#This Row],[Age]] &lt;=55, "46-55", "56+"))))</f>
        <v>26-35</v>
      </c>
      <c r="AK614" t="str">
        <f t="shared" si="9"/>
        <v>Low</v>
      </c>
      <c r="AL614" s="2" t="str">
        <f>IF(AF614 &lt; 3, "0-2 Years", IF(AF614 &lt;= 5, "3-5 Years", IF(AF614 &lt;= 10, "6-10 Years",IF(Table3[[#This Row],[Years At Company]]&lt;=20, "11-20 Years","20+ Years"))))</f>
        <v>6-10 Years</v>
      </c>
    </row>
    <row r="615" spans="1:38" x14ac:dyDescent="0.25">
      <c r="A615" s="2">
        <v>34</v>
      </c>
      <c r="B615" t="s">
        <v>43</v>
      </c>
      <c r="C615" t="s">
        <v>36</v>
      </c>
      <c r="D615" s="2">
        <v>829</v>
      </c>
      <c r="E615" t="s">
        <v>61</v>
      </c>
      <c r="F615" s="2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 s="2">
        <v>3737</v>
      </c>
      <c r="T615">
        <v>2243</v>
      </c>
      <c r="U615">
        <v>0</v>
      </c>
      <c r="V615" t="s">
        <v>42</v>
      </c>
      <c r="W615" t="s">
        <v>43</v>
      </c>
      <c r="X615" s="2">
        <v>19</v>
      </c>
      <c r="Y615">
        <v>3</v>
      </c>
      <c r="Z615">
        <v>3</v>
      </c>
      <c r="AA615">
        <v>80</v>
      </c>
      <c r="AB615">
        <v>1</v>
      </c>
      <c r="AC615" s="2">
        <v>4</v>
      </c>
      <c r="AD615">
        <v>1</v>
      </c>
      <c r="AE615">
        <v>1</v>
      </c>
      <c r="AF615" s="2">
        <v>3</v>
      </c>
      <c r="AG615">
        <v>2</v>
      </c>
      <c r="AH615">
        <v>0</v>
      </c>
      <c r="AI615">
        <v>2</v>
      </c>
      <c r="AJ615" s="2" t="str">
        <f>IF(A615 A615 &lt;= 25, "18-25", IF(A615 &lt;=35, "26-35", IF(A615 &lt;=45, "36-45", IF(Table3[[#This Row],[Age]] &lt;=55, "46-55", "56+"))))</f>
        <v>26-35</v>
      </c>
      <c r="AK615" t="str">
        <f t="shared" si="9"/>
        <v>Low</v>
      </c>
      <c r="AL615" s="2" t="str">
        <f>IF(AF615 &lt; 3, "0-2 Years", IF(AF615 &lt;= 5, "3-5 Years", IF(AF615 &lt;= 10, "6-10 Years",IF(Table3[[#This Row],[Years At Company]]&lt;=20, "11-20 Years","20+ Years"))))</f>
        <v>3-5 Years</v>
      </c>
    </row>
    <row r="616" spans="1:38" x14ac:dyDescent="0.25">
      <c r="A616" s="2">
        <v>26</v>
      </c>
      <c r="B616" t="s">
        <v>35</v>
      </c>
      <c r="C616" t="s">
        <v>44</v>
      </c>
      <c r="D616" s="2">
        <v>887</v>
      </c>
      <c r="E616" t="s">
        <v>45</v>
      </c>
      <c r="F616" s="2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 s="2">
        <v>2366</v>
      </c>
      <c r="T616">
        <v>20898</v>
      </c>
      <c r="U616">
        <v>1</v>
      </c>
      <c r="V616" t="s">
        <v>42</v>
      </c>
      <c r="W616" t="s">
        <v>35</v>
      </c>
      <c r="X616" s="2">
        <v>14</v>
      </c>
      <c r="Y616">
        <v>3</v>
      </c>
      <c r="Z616">
        <v>1</v>
      </c>
      <c r="AA616">
        <v>80</v>
      </c>
      <c r="AB616">
        <v>1</v>
      </c>
      <c r="AC616" s="2">
        <v>8</v>
      </c>
      <c r="AD616">
        <v>2</v>
      </c>
      <c r="AE616">
        <v>3</v>
      </c>
      <c r="AF616" s="2">
        <v>8</v>
      </c>
      <c r="AG616">
        <v>7</v>
      </c>
      <c r="AH616">
        <v>1</v>
      </c>
      <c r="AI616">
        <v>7</v>
      </c>
      <c r="AJ616" s="2" t="str">
        <f>IF(A616 A616 &lt;= 25, "18-25", IF(A616 &lt;=35, "26-35", IF(A616 &lt;=45, "36-45", IF(Table3[[#This Row],[Age]] &lt;=55, "46-55", "56+"))))</f>
        <v>26-35</v>
      </c>
      <c r="AK616" t="str">
        <f t="shared" si="9"/>
        <v>Low</v>
      </c>
      <c r="AL616" s="2" t="str">
        <f>IF(AF616 &lt; 3, "0-2 Years", IF(AF616 &lt;= 5, "3-5 Years", IF(AF616 &lt;= 10, "6-10 Years",IF(Table3[[#This Row],[Years At Company]]&lt;=20, "11-20 Years","20+ Years"))))</f>
        <v>6-10 Years</v>
      </c>
    </row>
    <row r="617" spans="1:38" x14ac:dyDescent="0.25">
      <c r="A617" s="2">
        <v>27</v>
      </c>
      <c r="B617" t="s">
        <v>43</v>
      </c>
      <c r="C617" t="s">
        <v>55</v>
      </c>
      <c r="D617" s="2">
        <v>443</v>
      </c>
      <c r="E617" t="s">
        <v>45</v>
      </c>
      <c r="F617" s="2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 s="2">
        <v>1706</v>
      </c>
      <c r="T617">
        <v>16571</v>
      </c>
      <c r="U617">
        <v>1</v>
      </c>
      <c r="V617" t="s">
        <v>42</v>
      </c>
      <c r="W617" t="s">
        <v>43</v>
      </c>
      <c r="X617" s="2">
        <v>11</v>
      </c>
      <c r="Y617">
        <v>3</v>
      </c>
      <c r="Z617">
        <v>3</v>
      </c>
      <c r="AA617">
        <v>80</v>
      </c>
      <c r="AB617">
        <v>3</v>
      </c>
      <c r="AC617" s="2">
        <v>0</v>
      </c>
      <c r="AD617">
        <v>6</v>
      </c>
      <c r="AE617">
        <v>2</v>
      </c>
      <c r="AF617" s="2">
        <v>0</v>
      </c>
      <c r="AG617">
        <v>0</v>
      </c>
      <c r="AH617">
        <v>0</v>
      </c>
      <c r="AI617">
        <v>0</v>
      </c>
      <c r="AJ617" s="2" t="str">
        <f>IF(A617 A617 &lt;= 25, "18-25", IF(A617 &lt;=35, "26-35", IF(A617 &lt;=45, "36-45", IF(Table3[[#This Row],[Age]] &lt;=55, "46-55", "56+"))))</f>
        <v>26-35</v>
      </c>
      <c r="AK617" t="str">
        <f t="shared" si="9"/>
        <v>Low</v>
      </c>
      <c r="AL617" s="2" t="str">
        <f>IF(AF617 &lt; 3, "0-2 Years", IF(AF617 &lt;= 5, "3-5 Years", IF(AF617 &lt;= 10, "6-10 Years",IF(Table3[[#This Row],[Years At Company]]&lt;=20, "11-20 Years","20+ Years"))))</f>
        <v>0-2 Years</v>
      </c>
    </row>
    <row r="618" spans="1:38" x14ac:dyDescent="0.25">
      <c r="A618" s="2">
        <v>51</v>
      </c>
      <c r="B618" t="s">
        <v>43</v>
      </c>
      <c r="C618" t="s">
        <v>36</v>
      </c>
      <c r="D618" s="2">
        <v>1318</v>
      </c>
      <c r="E618" t="s">
        <v>37</v>
      </c>
      <c r="F618" s="2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 s="2">
        <v>16307</v>
      </c>
      <c r="T618">
        <v>5594</v>
      </c>
      <c r="U618">
        <v>2</v>
      </c>
      <c r="V618" t="s">
        <v>42</v>
      </c>
      <c r="W618" t="s">
        <v>43</v>
      </c>
      <c r="X618" s="2">
        <v>14</v>
      </c>
      <c r="Y618">
        <v>3</v>
      </c>
      <c r="Z618">
        <v>3</v>
      </c>
      <c r="AA618">
        <v>80</v>
      </c>
      <c r="AB618">
        <v>1</v>
      </c>
      <c r="AC618" s="2">
        <v>29</v>
      </c>
      <c r="AD618">
        <v>2</v>
      </c>
      <c r="AE618">
        <v>2</v>
      </c>
      <c r="AF618" s="2">
        <v>20</v>
      </c>
      <c r="AG618">
        <v>6</v>
      </c>
      <c r="AH618">
        <v>4</v>
      </c>
      <c r="AI618">
        <v>17</v>
      </c>
      <c r="AJ618" s="2" t="str">
        <f>IF(A618 A618 &lt;= 25, "18-25", IF(A618 &lt;=35, "26-35", IF(A618 &lt;=45, "36-45", IF(Table3[[#This Row],[Age]] &lt;=55, "46-55", "56+"))))</f>
        <v>46-55</v>
      </c>
      <c r="AK618" t="str">
        <f t="shared" si="9"/>
        <v>High</v>
      </c>
      <c r="AL618" s="2" t="str">
        <f>IF(AF618 &lt; 3, "0-2 Years", IF(AF618 &lt;= 5, "3-5 Years", IF(AF618 &lt;= 10, "6-10 Years",IF(Table3[[#This Row],[Years At Company]]&lt;=20, "11-20 Years","20+ Years"))))</f>
        <v>11-20 Years</v>
      </c>
    </row>
    <row r="619" spans="1:38" x14ac:dyDescent="0.25">
      <c r="A619" s="2">
        <v>44</v>
      </c>
      <c r="B619" t="s">
        <v>43</v>
      </c>
      <c r="C619" t="s">
        <v>36</v>
      </c>
      <c r="D619" s="2">
        <v>625</v>
      </c>
      <c r="E619" t="s">
        <v>45</v>
      </c>
      <c r="F619" s="2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 s="2">
        <v>5933</v>
      </c>
      <c r="T619">
        <v>5197</v>
      </c>
      <c r="U619">
        <v>9</v>
      </c>
      <c r="V619" t="s">
        <v>42</v>
      </c>
      <c r="W619" t="s">
        <v>43</v>
      </c>
      <c r="X619" s="2">
        <v>12</v>
      </c>
      <c r="Y619">
        <v>3</v>
      </c>
      <c r="Z619">
        <v>4</v>
      </c>
      <c r="AA619">
        <v>80</v>
      </c>
      <c r="AB619">
        <v>0</v>
      </c>
      <c r="AC619" s="2">
        <v>10</v>
      </c>
      <c r="AD619">
        <v>2</v>
      </c>
      <c r="AE619">
        <v>2</v>
      </c>
      <c r="AF619" s="2">
        <v>5</v>
      </c>
      <c r="AG619">
        <v>2</v>
      </c>
      <c r="AH619">
        <v>2</v>
      </c>
      <c r="AI619">
        <v>3</v>
      </c>
      <c r="AJ619" s="2" t="str">
        <f>IF(A619 A619 &lt;= 25, "18-25", IF(A619 &lt;=35, "26-35", IF(A619 &lt;=45, "36-45", IF(Table3[[#This Row],[Age]] &lt;=55, "46-55", "56+"))))</f>
        <v>36-45</v>
      </c>
      <c r="AK619" t="str">
        <f t="shared" si="9"/>
        <v>Medium</v>
      </c>
      <c r="AL619" s="2" t="str">
        <f>IF(AF619 &lt; 3, "0-2 Years", IF(AF619 &lt;= 5, "3-5 Years", IF(AF619 &lt;= 10, "6-10 Years",IF(Table3[[#This Row],[Years At Company]]&lt;=20, "11-20 Years","20+ Years"))))</f>
        <v>3-5 Years</v>
      </c>
    </row>
    <row r="620" spans="1:38" x14ac:dyDescent="0.25">
      <c r="A620" s="2">
        <v>25</v>
      </c>
      <c r="B620" t="s">
        <v>43</v>
      </c>
      <c r="C620" t="s">
        <v>36</v>
      </c>
      <c r="D620" s="2">
        <v>180</v>
      </c>
      <c r="E620" t="s">
        <v>45</v>
      </c>
      <c r="F620" s="2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 s="2">
        <v>3424</v>
      </c>
      <c r="T620">
        <v>21632</v>
      </c>
      <c r="U620">
        <v>7</v>
      </c>
      <c r="V620" t="s">
        <v>42</v>
      </c>
      <c r="W620" t="s">
        <v>43</v>
      </c>
      <c r="X620" s="2">
        <v>13</v>
      </c>
      <c r="Y620">
        <v>3</v>
      </c>
      <c r="Z620">
        <v>3</v>
      </c>
      <c r="AA620">
        <v>80</v>
      </c>
      <c r="AB620">
        <v>0</v>
      </c>
      <c r="AC620" s="2">
        <v>6</v>
      </c>
      <c r="AD620">
        <v>3</v>
      </c>
      <c r="AE620">
        <v>2</v>
      </c>
      <c r="AF620" s="2">
        <v>4</v>
      </c>
      <c r="AG620">
        <v>3</v>
      </c>
      <c r="AH620">
        <v>0</v>
      </c>
      <c r="AI620">
        <v>1</v>
      </c>
      <c r="AJ620" s="2" t="str">
        <f>IF(A620 A620 &lt;= 25, "18-25", IF(A620 &lt;=35, "26-35", IF(A620 &lt;=45, "36-45", IF(Table3[[#This Row],[Age]] &lt;=55, "46-55", "56+"))))</f>
        <v>18-25</v>
      </c>
      <c r="AK620" t="str">
        <f t="shared" si="9"/>
        <v>Low</v>
      </c>
      <c r="AL620" s="2" t="str">
        <f>IF(AF620 &lt; 3, "0-2 Years", IF(AF620 &lt;= 5, "3-5 Years", IF(AF620 &lt;= 10, "6-10 Years",IF(Table3[[#This Row],[Years At Company]]&lt;=20, "11-20 Years","20+ Years"))))</f>
        <v>3-5 Years</v>
      </c>
    </row>
    <row r="621" spans="1:38" x14ac:dyDescent="0.25">
      <c r="A621" s="2">
        <v>33</v>
      </c>
      <c r="B621" t="s">
        <v>43</v>
      </c>
      <c r="C621" t="s">
        <v>36</v>
      </c>
      <c r="D621" s="2">
        <v>586</v>
      </c>
      <c r="E621" t="s">
        <v>37</v>
      </c>
      <c r="F621" s="2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 s="2">
        <v>4037</v>
      </c>
      <c r="T621">
        <v>21816</v>
      </c>
      <c r="U621">
        <v>1</v>
      </c>
      <c r="V621" t="s">
        <v>42</v>
      </c>
      <c r="W621" t="s">
        <v>43</v>
      </c>
      <c r="X621" s="2">
        <v>22</v>
      </c>
      <c r="Y621">
        <v>4</v>
      </c>
      <c r="Z621">
        <v>1</v>
      </c>
      <c r="AA621">
        <v>80</v>
      </c>
      <c r="AB621">
        <v>1</v>
      </c>
      <c r="AC621" s="2">
        <v>9</v>
      </c>
      <c r="AD621">
        <v>5</v>
      </c>
      <c r="AE621">
        <v>3</v>
      </c>
      <c r="AF621" s="2">
        <v>9</v>
      </c>
      <c r="AG621">
        <v>8</v>
      </c>
      <c r="AH621">
        <v>0</v>
      </c>
      <c r="AI621">
        <v>8</v>
      </c>
      <c r="AJ621" s="2" t="str">
        <f>IF(A621 A621 &lt;= 25, "18-25", IF(A621 &lt;=35, "26-35", IF(A621 &lt;=45, "36-45", IF(Table3[[#This Row],[Age]] &lt;=55, "46-55", "56+"))))</f>
        <v>26-35</v>
      </c>
      <c r="AK621" t="str">
        <f t="shared" si="9"/>
        <v>Low</v>
      </c>
      <c r="AL621" s="2" t="str">
        <f>IF(AF621 &lt; 3, "0-2 Years", IF(AF621 &lt;= 5, "3-5 Years", IF(AF621 &lt;= 10, "6-10 Years",IF(Table3[[#This Row],[Years At Company]]&lt;=20, "11-20 Years","20+ Years"))))</f>
        <v>6-10 Years</v>
      </c>
    </row>
    <row r="622" spans="1:38" x14ac:dyDescent="0.25">
      <c r="A622" s="2">
        <v>35</v>
      </c>
      <c r="B622" t="s">
        <v>43</v>
      </c>
      <c r="C622" t="s">
        <v>36</v>
      </c>
      <c r="D622" s="2">
        <v>1343</v>
      </c>
      <c r="E622" t="s">
        <v>45</v>
      </c>
      <c r="F622" s="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 s="2">
        <v>2559</v>
      </c>
      <c r="T622">
        <v>17852</v>
      </c>
      <c r="U622">
        <v>1</v>
      </c>
      <c r="V622" t="s">
        <v>42</v>
      </c>
      <c r="W622" t="s">
        <v>43</v>
      </c>
      <c r="X622" s="2">
        <v>11</v>
      </c>
      <c r="Y622">
        <v>3</v>
      </c>
      <c r="Z622">
        <v>4</v>
      </c>
      <c r="AA622">
        <v>80</v>
      </c>
      <c r="AB622">
        <v>0</v>
      </c>
      <c r="AC622" s="2">
        <v>6</v>
      </c>
      <c r="AD622">
        <v>3</v>
      </c>
      <c r="AE622">
        <v>2</v>
      </c>
      <c r="AF622" s="2">
        <v>6</v>
      </c>
      <c r="AG622">
        <v>5</v>
      </c>
      <c r="AH622">
        <v>1</v>
      </c>
      <c r="AI622">
        <v>1</v>
      </c>
      <c r="AJ622" s="2" t="str">
        <f>IF(A622 A622 &lt;= 25, "18-25", IF(A622 &lt;=35, "26-35", IF(A622 &lt;=45, "36-45", IF(Table3[[#This Row],[Age]] &lt;=55, "46-55", "56+"))))</f>
        <v>26-35</v>
      </c>
      <c r="AK622" t="str">
        <f t="shared" si="9"/>
        <v>Low</v>
      </c>
      <c r="AL622" s="2" t="str">
        <f>IF(AF622 &lt; 3, "0-2 Years", IF(AF622 &lt;= 5, "3-5 Years", IF(AF622 &lt;= 10, "6-10 Years",IF(Table3[[#This Row],[Years At Company]]&lt;=20, "11-20 Years","20+ Years"))))</f>
        <v>6-10 Years</v>
      </c>
    </row>
    <row r="623" spans="1:38" x14ac:dyDescent="0.25">
      <c r="A623" s="2">
        <v>36</v>
      </c>
      <c r="B623" t="s">
        <v>43</v>
      </c>
      <c r="C623" t="s">
        <v>36</v>
      </c>
      <c r="D623" s="2">
        <v>928</v>
      </c>
      <c r="E623" t="s">
        <v>37</v>
      </c>
      <c r="F623" s="2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 s="2">
        <v>6201</v>
      </c>
      <c r="T623">
        <v>2823</v>
      </c>
      <c r="U623">
        <v>1</v>
      </c>
      <c r="V623" t="s">
        <v>42</v>
      </c>
      <c r="W623" t="s">
        <v>35</v>
      </c>
      <c r="X623" s="2">
        <v>14</v>
      </c>
      <c r="Y623">
        <v>3</v>
      </c>
      <c r="Z623">
        <v>4</v>
      </c>
      <c r="AA623">
        <v>80</v>
      </c>
      <c r="AB623">
        <v>1</v>
      </c>
      <c r="AC623" s="2">
        <v>18</v>
      </c>
      <c r="AD623">
        <v>1</v>
      </c>
      <c r="AE623">
        <v>2</v>
      </c>
      <c r="AF623" s="2">
        <v>18</v>
      </c>
      <c r="AG623">
        <v>14</v>
      </c>
      <c r="AH623">
        <v>4</v>
      </c>
      <c r="AI623">
        <v>11</v>
      </c>
      <c r="AJ623" s="2" t="str">
        <f>IF(A623 A623 &lt;= 25, "18-25", IF(A623 &lt;=35, "26-35", IF(A623 &lt;=45, "36-45", IF(Table3[[#This Row],[Age]] &lt;=55, "46-55", "56+"))))</f>
        <v>36-45</v>
      </c>
      <c r="AK623" t="str">
        <f t="shared" si="9"/>
        <v>Medium</v>
      </c>
      <c r="AL623" s="2" t="str">
        <f>IF(AF623 &lt; 3, "0-2 Years", IF(AF623 &lt;= 5, "3-5 Years", IF(AF623 &lt;= 10, "6-10 Years",IF(Table3[[#This Row],[Years At Company]]&lt;=20, "11-20 Years","20+ Years"))))</f>
        <v>11-20 Years</v>
      </c>
    </row>
    <row r="624" spans="1:38" x14ac:dyDescent="0.25">
      <c r="A624" s="2">
        <v>32</v>
      </c>
      <c r="B624" t="s">
        <v>43</v>
      </c>
      <c r="C624" t="s">
        <v>36</v>
      </c>
      <c r="D624" s="2">
        <v>117</v>
      </c>
      <c r="E624" t="s">
        <v>37</v>
      </c>
      <c r="F624" s="2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 s="2">
        <v>4403</v>
      </c>
      <c r="T624">
        <v>9250</v>
      </c>
      <c r="U624">
        <v>2</v>
      </c>
      <c r="V624" t="s">
        <v>42</v>
      </c>
      <c r="W624" t="s">
        <v>43</v>
      </c>
      <c r="X624" s="2">
        <v>11</v>
      </c>
      <c r="Y624">
        <v>3</v>
      </c>
      <c r="Z624">
        <v>3</v>
      </c>
      <c r="AA624">
        <v>80</v>
      </c>
      <c r="AB624">
        <v>1</v>
      </c>
      <c r="AC624" s="2">
        <v>8</v>
      </c>
      <c r="AD624">
        <v>3</v>
      </c>
      <c r="AE624">
        <v>2</v>
      </c>
      <c r="AF624" s="2">
        <v>5</v>
      </c>
      <c r="AG624">
        <v>2</v>
      </c>
      <c r="AH624">
        <v>0</v>
      </c>
      <c r="AI624">
        <v>3</v>
      </c>
      <c r="AJ624" s="2" t="str">
        <f>IF(A624 A624 &lt;= 25, "18-25", IF(A624 &lt;=35, "26-35", IF(A624 &lt;=45, "36-45", IF(Table3[[#This Row],[Age]] &lt;=55, "46-55", "56+"))))</f>
        <v>26-35</v>
      </c>
      <c r="AK624" t="str">
        <f t="shared" si="9"/>
        <v>Low</v>
      </c>
      <c r="AL624" s="2" t="str">
        <f>IF(AF624 &lt; 3, "0-2 Years", IF(AF624 &lt;= 5, "3-5 Years", IF(AF624 &lt;= 10, "6-10 Years",IF(Table3[[#This Row],[Years At Company]]&lt;=20, "11-20 Years","20+ Years"))))</f>
        <v>3-5 Years</v>
      </c>
    </row>
    <row r="625" spans="1:38" x14ac:dyDescent="0.25">
      <c r="A625" s="2">
        <v>30</v>
      </c>
      <c r="B625" t="s">
        <v>43</v>
      </c>
      <c r="C625" t="s">
        <v>44</v>
      </c>
      <c r="D625" s="2">
        <v>1012</v>
      </c>
      <c r="E625" t="s">
        <v>45</v>
      </c>
      <c r="F625" s="2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 s="2">
        <v>3761</v>
      </c>
      <c r="T625">
        <v>2373</v>
      </c>
      <c r="U625">
        <v>9</v>
      </c>
      <c r="V625" t="s">
        <v>42</v>
      </c>
      <c r="W625" t="s">
        <v>43</v>
      </c>
      <c r="X625" s="2">
        <v>12</v>
      </c>
      <c r="Y625">
        <v>3</v>
      </c>
      <c r="Z625">
        <v>2</v>
      </c>
      <c r="AA625">
        <v>80</v>
      </c>
      <c r="AB625">
        <v>1</v>
      </c>
      <c r="AC625" s="2">
        <v>10</v>
      </c>
      <c r="AD625">
        <v>3</v>
      </c>
      <c r="AE625">
        <v>2</v>
      </c>
      <c r="AF625" s="2">
        <v>5</v>
      </c>
      <c r="AG625">
        <v>4</v>
      </c>
      <c r="AH625">
        <v>0</v>
      </c>
      <c r="AI625">
        <v>3</v>
      </c>
      <c r="AJ625" s="2" t="str">
        <f>IF(A625 A625 &lt;= 25, "18-25", IF(A625 &lt;=35, "26-35", IF(A625 &lt;=45, "36-45", IF(Table3[[#This Row],[Age]] &lt;=55, "46-55", "56+"))))</f>
        <v>26-35</v>
      </c>
      <c r="AK625" t="str">
        <f t="shared" si="9"/>
        <v>Low</v>
      </c>
      <c r="AL625" s="2" t="str">
        <f>IF(AF625 &lt; 3, "0-2 Years", IF(AF625 &lt;= 5, "3-5 Years", IF(AF625 &lt;= 10, "6-10 Years",IF(Table3[[#This Row],[Years At Company]]&lt;=20, "11-20 Years","20+ Years"))))</f>
        <v>3-5 Years</v>
      </c>
    </row>
    <row r="626" spans="1:38" x14ac:dyDescent="0.25">
      <c r="A626" s="2">
        <v>53</v>
      </c>
      <c r="B626" t="s">
        <v>43</v>
      </c>
      <c r="C626" t="s">
        <v>36</v>
      </c>
      <c r="D626" s="2">
        <v>661</v>
      </c>
      <c r="E626" t="s">
        <v>37</v>
      </c>
      <c r="F626" s="2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 s="2">
        <v>10934</v>
      </c>
      <c r="T626">
        <v>20715</v>
      </c>
      <c r="U626">
        <v>7</v>
      </c>
      <c r="V626" t="s">
        <v>42</v>
      </c>
      <c r="W626" t="s">
        <v>35</v>
      </c>
      <c r="X626" s="2">
        <v>18</v>
      </c>
      <c r="Y626">
        <v>3</v>
      </c>
      <c r="Z626">
        <v>4</v>
      </c>
      <c r="AA626">
        <v>80</v>
      </c>
      <c r="AB626">
        <v>1</v>
      </c>
      <c r="AC626" s="2">
        <v>35</v>
      </c>
      <c r="AD626">
        <v>3</v>
      </c>
      <c r="AE626">
        <v>3</v>
      </c>
      <c r="AF626" s="2">
        <v>5</v>
      </c>
      <c r="AG626">
        <v>2</v>
      </c>
      <c r="AH626">
        <v>0</v>
      </c>
      <c r="AI626">
        <v>4</v>
      </c>
      <c r="AJ626" s="2" t="str">
        <f>IF(A626 A626 &lt;= 25, "18-25", IF(A626 &lt;=35, "26-35", IF(A626 &lt;=45, "36-45", IF(Table3[[#This Row],[Age]] &lt;=55, "46-55", "56+"))))</f>
        <v>46-55</v>
      </c>
      <c r="AK626" t="str">
        <f t="shared" si="9"/>
        <v>High</v>
      </c>
      <c r="AL626" s="2" t="str">
        <f>IF(AF626 &lt; 3, "0-2 Years", IF(AF626 &lt;= 5, "3-5 Years", IF(AF626 &lt;= 10, "6-10 Years",IF(Table3[[#This Row],[Years At Company]]&lt;=20, "11-20 Years","20+ Years"))))</f>
        <v>3-5 Years</v>
      </c>
    </row>
    <row r="627" spans="1:38" x14ac:dyDescent="0.25">
      <c r="A627" s="2">
        <v>45</v>
      </c>
      <c r="B627" t="s">
        <v>43</v>
      </c>
      <c r="C627" t="s">
        <v>36</v>
      </c>
      <c r="D627" s="2">
        <v>930</v>
      </c>
      <c r="E627" t="s">
        <v>37</v>
      </c>
      <c r="F627" s="2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 s="2">
        <v>10761</v>
      </c>
      <c r="T627">
        <v>19239</v>
      </c>
      <c r="U627">
        <v>4</v>
      </c>
      <c r="V627" t="s">
        <v>42</v>
      </c>
      <c r="W627" t="s">
        <v>35</v>
      </c>
      <c r="X627" s="2">
        <v>12</v>
      </c>
      <c r="Y627">
        <v>3</v>
      </c>
      <c r="Z627">
        <v>3</v>
      </c>
      <c r="AA627">
        <v>80</v>
      </c>
      <c r="AB627">
        <v>1</v>
      </c>
      <c r="AC627" s="2">
        <v>18</v>
      </c>
      <c r="AD627">
        <v>2</v>
      </c>
      <c r="AE627">
        <v>3</v>
      </c>
      <c r="AF627" s="2">
        <v>5</v>
      </c>
      <c r="AG627">
        <v>4</v>
      </c>
      <c r="AH627">
        <v>0</v>
      </c>
      <c r="AI627">
        <v>2</v>
      </c>
      <c r="AJ627" s="2" t="str">
        <f>IF(A627 A627 &lt;= 25, "18-25", IF(A627 &lt;=35, "26-35", IF(A627 &lt;=45, "36-45", IF(Table3[[#This Row],[Age]] &lt;=55, "46-55", "56+"))))</f>
        <v>36-45</v>
      </c>
      <c r="AK627" t="str">
        <f t="shared" si="9"/>
        <v>High</v>
      </c>
      <c r="AL627" s="2" t="str">
        <f>IF(AF627 &lt; 3, "0-2 Years", IF(AF627 &lt;= 5, "3-5 Years", IF(AF627 &lt;= 10, "6-10 Years",IF(Table3[[#This Row],[Years At Company]]&lt;=20, "11-20 Years","20+ Years"))))</f>
        <v>3-5 Years</v>
      </c>
    </row>
    <row r="628" spans="1:38" x14ac:dyDescent="0.25">
      <c r="A628" s="2">
        <v>32</v>
      </c>
      <c r="B628" t="s">
        <v>43</v>
      </c>
      <c r="C628" t="s">
        <v>36</v>
      </c>
      <c r="D628" s="2">
        <v>638</v>
      </c>
      <c r="E628" t="s">
        <v>45</v>
      </c>
      <c r="F628" s="2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 s="2">
        <v>5175</v>
      </c>
      <c r="T628">
        <v>22162</v>
      </c>
      <c r="U628">
        <v>5</v>
      </c>
      <c r="V628" t="s">
        <v>42</v>
      </c>
      <c r="W628" t="s">
        <v>43</v>
      </c>
      <c r="X628" s="2">
        <v>12</v>
      </c>
      <c r="Y628">
        <v>3</v>
      </c>
      <c r="Z628">
        <v>3</v>
      </c>
      <c r="AA628">
        <v>80</v>
      </c>
      <c r="AB628">
        <v>1</v>
      </c>
      <c r="AC628" s="2">
        <v>9</v>
      </c>
      <c r="AD628">
        <v>3</v>
      </c>
      <c r="AE628">
        <v>2</v>
      </c>
      <c r="AF628" s="2">
        <v>5</v>
      </c>
      <c r="AG628">
        <v>3</v>
      </c>
      <c r="AH628">
        <v>1</v>
      </c>
      <c r="AI628">
        <v>3</v>
      </c>
      <c r="AJ628" s="2" t="str">
        <f>IF(A628 A628 &lt;= 25, "18-25", IF(A628 &lt;=35, "26-35", IF(A628 &lt;=45, "36-45", IF(Table3[[#This Row],[Age]] &lt;=55, "46-55", "56+"))))</f>
        <v>26-35</v>
      </c>
      <c r="AK628" t="str">
        <f t="shared" si="9"/>
        <v>Medium</v>
      </c>
      <c r="AL628" s="2" t="str">
        <f>IF(AF628 &lt; 3, "0-2 Years", IF(AF628 &lt;= 5, "3-5 Years", IF(AF628 &lt;= 10, "6-10 Years",IF(Table3[[#This Row],[Years At Company]]&lt;=20, "11-20 Years","20+ Years"))))</f>
        <v>3-5 Years</v>
      </c>
    </row>
    <row r="629" spans="1:38" x14ac:dyDescent="0.25">
      <c r="A629" s="2">
        <v>52</v>
      </c>
      <c r="B629" t="s">
        <v>43</v>
      </c>
      <c r="C629" t="s">
        <v>44</v>
      </c>
      <c r="D629" s="2">
        <v>890</v>
      </c>
      <c r="E629" t="s">
        <v>45</v>
      </c>
      <c r="F629" s="2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 s="2">
        <v>13826</v>
      </c>
      <c r="T629">
        <v>19028</v>
      </c>
      <c r="U629">
        <v>3</v>
      </c>
      <c r="V629" t="s">
        <v>42</v>
      </c>
      <c r="W629" t="s">
        <v>43</v>
      </c>
      <c r="X629" s="2">
        <v>22</v>
      </c>
      <c r="Y629">
        <v>4</v>
      </c>
      <c r="Z629">
        <v>3</v>
      </c>
      <c r="AA629">
        <v>80</v>
      </c>
      <c r="AB629">
        <v>0</v>
      </c>
      <c r="AC629" s="2">
        <v>31</v>
      </c>
      <c r="AD629">
        <v>3</v>
      </c>
      <c r="AE629">
        <v>3</v>
      </c>
      <c r="AF629" s="2">
        <v>9</v>
      </c>
      <c r="AG629">
        <v>8</v>
      </c>
      <c r="AH629">
        <v>0</v>
      </c>
      <c r="AI629">
        <v>0</v>
      </c>
      <c r="AJ629" s="2" t="str">
        <f>IF(A629 A629 &lt;= 25, "18-25", IF(A629 &lt;=35, "26-35", IF(A629 &lt;=45, "36-45", IF(Table3[[#This Row],[Age]] &lt;=55, "46-55", "56+"))))</f>
        <v>46-55</v>
      </c>
      <c r="AK629" t="str">
        <f t="shared" si="9"/>
        <v>High</v>
      </c>
      <c r="AL629" s="2" t="str">
        <f>IF(AF629 &lt; 3, "0-2 Years", IF(AF629 &lt;= 5, "3-5 Years", IF(AF629 &lt;= 10, "6-10 Years",IF(Table3[[#This Row],[Years At Company]]&lt;=20, "11-20 Years","20+ Years"))))</f>
        <v>6-10 Years</v>
      </c>
    </row>
    <row r="630" spans="1:38" x14ac:dyDescent="0.25">
      <c r="A630" s="2">
        <v>37</v>
      </c>
      <c r="B630" t="s">
        <v>43</v>
      </c>
      <c r="C630" t="s">
        <v>36</v>
      </c>
      <c r="D630" s="2">
        <v>342</v>
      </c>
      <c r="E630" t="s">
        <v>37</v>
      </c>
      <c r="F630" s="2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 s="2">
        <v>6334</v>
      </c>
      <c r="T630">
        <v>24558</v>
      </c>
      <c r="U630">
        <v>4</v>
      </c>
      <c r="V630" t="s">
        <v>42</v>
      </c>
      <c r="W630" t="s">
        <v>43</v>
      </c>
      <c r="X630" s="2">
        <v>19</v>
      </c>
      <c r="Y630">
        <v>3</v>
      </c>
      <c r="Z630">
        <v>4</v>
      </c>
      <c r="AA630">
        <v>80</v>
      </c>
      <c r="AB630">
        <v>2</v>
      </c>
      <c r="AC630" s="2">
        <v>9</v>
      </c>
      <c r="AD630">
        <v>2</v>
      </c>
      <c r="AE630">
        <v>3</v>
      </c>
      <c r="AF630" s="2">
        <v>1</v>
      </c>
      <c r="AG630">
        <v>0</v>
      </c>
      <c r="AH630">
        <v>0</v>
      </c>
      <c r="AI630">
        <v>0</v>
      </c>
      <c r="AJ630" s="2" t="str">
        <f>IF(A630 A630 &lt;= 25, "18-25", IF(A630 &lt;=35, "26-35", IF(A630 &lt;=45, "36-45", IF(Table3[[#This Row],[Age]] &lt;=55, "46-55", "56+"))))</f>
        <v>36-45</v>
      </c>
      <c r="AK630" t="str">
        <f t="shared" si="9"/>
        <v>Medium</v>
      </c>
      <c r="AL630" s="2" t="str">
        <f>IF(AF630 &lt; 3, "0-2 Years", IF(AF630 &lt;= 5, "3-5 Years", IF(AF630 &lt;= 10, "6-10 Years",IF(Table3[[#This Row],[Years At Company]]&lt;=20, "11-20 Years","20+ Years"))))</f>
        <v>0-2 Years</v>
      </c>
    </row>
    <row r="631" spans="1:38" x14ac:dyDescent="0.25">
      <c r="A631" s="2">
        <v>28</v>
      </c>
      <c r="B631" t="s">
        <v>43</v>
      </c>
      <c r="C631" t="s">
        <v>36</v>
      </c>
      <c r="D631" s="2">
        <v>1169</v>
      </c>
      <c r="E631" t="s">
        <v>61</v>
      </c>
      <c r="F631" s="2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 s="2">
        <v>4936</v>
      </c>
      <c r="T631">
        <v>23965</v>
      </c>
      <c r="U631">
        <v>1</v>
      </c>
      <c r="V631" t="s">
        <v>42</v>
      </c>
      <c r="W631" t="s">
        <v>43</v>
      </c>
      <c r="X631" s="2">
        <v>13</v>
      </c>
      <c r="Y631">
        <v>3</v>
      </c>
      <c r="Z631">
        <v>4</v>
      </c>
      <c r="AA631">
        <v>80</v>
      </c>
      <c r="AB631">
        <v>1</v>
      </c>
      <c r="AC631" s="2">
        <v>6</v>
      </c>
      <c r="AD631">
        <v>6</v>
      </c>
      <c r="AE631">
        <v>3</v>
      </c>
      <c r="AF631" s="2">
        <v>5</v>
      </c>
      <c r="AG631">
        <v>1</v>
      </c>
      <c r="AH631">
        <v>0</v>
      </c>
      <c r="AI631">
        <v>4</v>
      </c>
      <c r="AJ631" s="2" t="str">
        <f>IF(A631 A631 &lt;= 25, "18-25", IF(A631 &lt;=35, "26-35", IF(A631 &lt;=45, "36-45", IF(Table3[[#This Row],[Age]] &lt;=55, "46-55", "56+"))))</f>
        <v>26-35</v>
      </c>
      <c r="AK631" t="str">
        <f t="shared" si="9"/>
        <v>Low</v>
      </c>
      <c r="AL631" s="2" t="str">
        <f>IF(AF631 &lt; 3, "0-2 Years", IF(AF631 &lt;= 5, "3-5 Years", IF(AF631 &lt;= 10, "6-10 Years",IF(Table3[[#This Row],[Years At Company]]&lt;=20, "11-20 Years","20+ Years"))))</f>
        <v>3-5 Years</v>
      </c>
    </row>
    <row r="632" spans="1:38" x14ac:dyDescent="0.25">
      <c r="A632" s="2">
        <v>22</v>
      </c>
      <c r="B632" t="s">
        <v>43</v>
      </c>
      <c r="C632" t="s">
        <v>36</v>
      </c>
      <c r="D632" s="2">
        <v>1230</v>
      </c>
      <c r="E632" t="s">
        <v>45</v>
      </c>
      <c r="F632" s="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 s="2">
        <v>4775</v>
      </c>
      <c r="T632">
        <v>19146</v>
      </c>
      <c r="U632">
        <v>6</v>
      </c>
      <c r="V632" t="s">
        <v>42</v>
      </c>
      <c r="W632" t="s">
        <v>43</v>
      </c>
      <c r="X632" s="2">
        <v>22</v>
      </c>
      <c r="Y632">
        <v>4</v>
      </c>
      <c r="Z632">
        <v>1</v>
      </c>
      <c r="AA632">
        <v>80</v>
      </c>
      <c r="AB632">
        <v>2</v>
      </c>
      <c r="AC632" s="2">
        <v>4</v>
      </c>
      <c r="AD632">
        <v>2</v>
      </c>
      <c r="AE632">
        <v>1</v>
      </c>
      <c r="AF632" s="2">
        <v>2</v>
      </c>
      <c r="AG632">
        <v>2</v>
      </c>
      <c r="AH632">
        <v>2</v>
      </c>
      <c r="AI632">
        <v>2</v>
      </c>
      <c r="AJ632" s="2" t="str">
        <f>IF(A632 A632 &lt;= 25, "18-25", IF(A632 &lt;=35, "26-35", IF(A632 &lt;=45, "36-45", IF(Table3[[#This Row],[Age]] &lt;=55, "46-55", "56+"))))</f>
        <v>18-25</v>
      </c>
      <c r="AK632" t="str">
        <f t="shared" si="9"/>
        <v>Low</v>
      </c>
      <c r="AL632" s="2" t="str">
        <f>IF(AF632 &lt; 3, "0-2 Years", IF(AF632 &lt;= 5, "3-5 Years", IF(AF632 &lt;= 10, "6-10 Years",IF(Table3[[#This Row],[Years At Company]]&lt;=20, "11-20 Years","20+ Years"))))</f>
        <v>0-2 Years</v>
      </c>
    </row>
    <row r="633" spans="1:38" x14ac:dyDescent="0.25">
      <c r="A633" s="2">
        <v>44</v>
      </c>
      <c r="B633" t="s">
        <v>43</v>
      </c>
      <c r="C633" t="s">
        <v>36</v>
      </c>
      <c r="D633" s="2">
        <v>986</v>
      </c>
      <c r="E633" t="s">
        <v>45</v>
      </c>
      <c r="F633" s="2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 s="2">
        <v>2818</v>
      </c>
      <c r="T633">
        <v>5044</v>
      </c>
      <c r="U633">
        <v>2</v>
      </c>
      <c r="V633" t="s">
        <v>42</v>
      </c>
      <c r="W633" t="s">
        <v>35</v>
      </c>
      <c r="X633" s="2">
        <v>24</v>
      </c>
      <c r="Y633">
        <v>4</v>
      </c>
      <c r="Z633">
        <v>3</v>
      </c>
      <c r="AA633">
        <v>80</v>
      </c>
      <c r="AB633">
        <v>1</v>
      </c>
      <c r="AC633" s="2">
        <v>10</v>
      </c>
      <c r="AD633">
        <v>2</v>
      </c>
      <c r="AE633">
        <v>2</v>
      </c>
      <c r="AF633" s="2">
        <v>3</v>
      </c>
      <c r="AG633">
        <v>2</v>
      </c>
      <c r="AH633">
        <v>0</v>
      </c>
      <c r="AI633">
        <v>2</v>
      </c>
      <c r="AJ633" s="2" t="str">
        <f>IF(A633 A633 &lt;= 25, "18-25", IF(A633 &lt;=35, "26-35", IF(A633 &lt;=45, "36-45", IF(Table3[[#This Row],[Age]] &lt;=55, "46-55", "56+"))))</f>
        <v>36-45</v>
      </c>
      <c r="AK633" t="str">
        <f t="shared" si="9"/>
        <v>Low</v>
      </c>
      <c r="AL633" s="2" t="str">
        <f>IF(AF633 &lt; 3, "0-2 Years", IF(AF633 &lt;= 5, "3-5 Years", IF(AF633 &lt;= 10, "6-10 Years",IF(Table3[[#This Row],[Years At Company]]&lt;=20, "11-20 Years","20+ Years"))))</f>
        <v>3-5 Years</v>
      </c>
    </row>
    <row r="634" spans="1:38" x14ac:dyDescent="0.25">
      <c r="A634" s="2">
        <v>42</v>
      </c>
      <c r="B634" t="s">
        <v>43</v>
      </c>
      <c r="C634" t="s">
        <v>44</v>
      </c>
      <c r="D634" s="2">
        <v>1271</v>
      </c>
      <c r="E634" t="s">
        <v>45</v>
      </c>
      <c r="F634" s="2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 s="2">
        <v>2515</v>
      </c>
      <c r="T634">
        <v>9068</v>
      </c>
      <c r="U634">
        <v>5</v>
      </c>
      <c r="V634" t="s">
        <v>42</v>
      </c>
      <c r="W634" t="s">
        <v>35</v>
      </c>
      <c r="X634" s="2">
        <v>14</v>
      </c>
      <c r="Y634">
        <v>3</v>
      </c>
      <c r="Z634">
        <v>4</v>
      </c>
      <c r="AA634">
        <v>80</v>
      </c>
      <c r="AB634">
        <v>0</v>
      </c>
      <c r="AC634" s="2">
        <v>8</v>
      </c>
      <c r="AD634">
        <v>2</v>
      </c>
      <c r="AE634">
        <v>3</v>
      </c>
      <c r="AF634" s="2">
        <v>2</v>
      </c>
      <c r="AG634">
        <v>1</v>
      </c>
      <c r="AH634">
        <v>2</v>
      </c>
      <c r="AI634">
        <v>2</v>
      </c>
      <c r="AJ634" s="2" t="str">
        <f>IF(A634 A634 &lt;= 25, "18-25", IF(A634 &lt;=35, "26-35", IF(A634 &lt;=45, "36-45", IF(Table3[[#This Row],[Age]] &lt;=55, "46-55", "56+"))))</f>
        <v>36-45</v>
      </c>
      <c r="AK634" t="str">
        <f t="shared" si="9"/>
        <v>Low</v>
      </c>
      <c r="AL634" s="2" t="str">
        <f>IF(AF634 &lt; 3, "0-2 Years", IF(AF634 &lt;= 5, "3-5 Years", IF(AF634 &lt;= 10, "6-10 Years",IF(Table3[[#This Row],[Years At Company]]&lt;=20, "11-20 Years","20+ Years"))))</f>
        <v>0-2 Years</v>
      </c>
    </row>
    <row r="635" spans="1:38" x14ac:dyDescent="0.25">
      <c r="A635" s="2">
        <v>36</v>
      </c>
      <c r="B635" t="s">
        <v>43</v>
      </c>
      <c r="C635" t="s">
        <v>36</v>
      </c>
      <c r="D635" s="2">
        <v>1278</v>
      </c>
      <c r="E635" t="s">
        <v>61</v>
      </c>
      <c r="F635" s="2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 s="2">
        <v>2342</v>
      </c>
      <c r="T635">
        <v>8635</v>
      </c>
      <c r="U635">
        <v>0</v>
      </c>
      <c r="V635" t="s">
        <v>42</v>
      </c>
      <c r="W635" t="s">
        <v>43</v>
      </c>
      <c r="X635" s="2">
        <v>21</v>
      </c>
      <c r="Y635">
        <v>4</v>
      </c>
      <c r="Z635">
        <v>3</v>
      </c>
      <c r="AA635">
        <v>80</v>
      </c>
      <c r="AB635">
        <v>0</v>
      </c>
      <c r="AC635" s="2">
        <v>6</v>
      </c>
      <c r="AD635">
        <v>3</v>
      </c>
      <c r="AE635">
        <v>3</v>
      </c>
      <c r="AF635" s="2">
        <v>5</v>
      </c>
      <c r="AG635">
        <v>4</v>
      </c>
      <c r="AH635">
        <v>0</v>
      </c>
      <c r="AI635">
        <v>3</v>
      </c>
      <c r="AJ635" s="2" t="str">
        <f>IF(A635 A635 &lt;= 25, "18-25", IF(A635 &lt;=35, "26-35", IF(A635 &lt;=45, "36-45", IF(Table3[[#This Row],[Age]] &lt;=55, "46-55", "56+"))))</f>
        <v>36-45</v>
      </c>
      <c r="AK635" t="str">
        <f t="shared" si="9"/>
        <v>Low</v>
      </c>
      <c r="AL635" s="2" t="str">
        <f>IF(AF635 &lt; 3, "0-2 Years", IF(AF635 &lt;= 5, "3-5 Years", IF(AF635 &lt;= 10, "6-10 Years",IF(Table3[[#This Row],[Years At Company]]&lt;=20, "11-20 Years","20+ Years"))))</f>
        <v>3-5 Years</v>
      </c>
    </row>
    <row r="636" spans="1:38" x14ac:dyDescent="0.25">
      <c r="A636" s="2">
        <v>25</v>
      </c>
      <c r="B636" t="s">
        <v>43</v>
      </c>
      <c r="C636" t="s">
        <v>36</v>
      </c>
      <c r="D636" s="2">
        <v>141</v>
      </c>
      <c r="E636" t="s">
        <v>37</v>
      </c>
      <c r="F636" s="2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 s="2">
        <v>4194</v>
      </c>
      <c r="T636">
        <v>14363</v>
      </c>
      <c r="U636">
        <v>1</v>
      </c>
      <c r="V636" t="s">
        <v>42</v>
      </c>
      <c r="W636" t="s">
        <v>35</v>
      </c>
      <c r="X636" s="2">
        <v>18</v>
      </c>
      <c r="Y636">
        <v>3</v>
      </c>
      <c r="Z636">
        <v>4</v>
      </c>
      <c r="AA636">
        <v>80</v>
      </c>
      <c r="AB636">
        <v>0</v>
      </c>
      <c r="AC636" s="2">
        <v>5</v>
      </c>
      <c r="AD636">
        <v>3</v>
      </c>
      <c r="AE636">
        <v>3</v>
      </c>
      <c r="AF636" s="2">
        <v>5</v>
      </c>
      <c r="AG636">
        <v>3</v>
      </c>
      <c r="AH636">
        <v>0</v>
      </c>
      <c r="AI636">
        <v>3</v>
      </c>
      <c r="AJ636" s="2" t="str">
        <f>IF(A636 A636 &lt;= 25, "18-25", IF(A636 &lt;=35, "26-35", IF(A636 &lt;=45, "36-45", IF(Table3[[#This Row],[Age]] &lt;=55, "46-55", "56+"))))</f>
        <v>18-25</v>
      </c>
      <c r="AK636" t="str">
        <f t="shared" si="9"/>
        <v>Low</v>
      </c>
      <c r="AL636" s="2" t="str">
        <f>IF(AF636 &lt; 3, "0-2 Years", IF(AF636 &lt;= 5, "3-5 Years", IF(AF636 &lt;= 10, "6-10 Years",IF(Table3[[#This Row],[Years At Company]]&lt;=20, "11-20 Years","20+ Years"))))</f>
        <v>3-5 Years</v>
      </c>
    </row>
    <row r="637" spans="1:38" x14ac:dyDescent="0.25">
      <c r="A637" s="2">
        <v>35</v>
      </c>
      <c r="B637" t="s">
        <v>43</v>
      </c>
      <c r="C637" t="s">
        <v>36</v>
      </c>
      <c r="D637" s="2">
        <v>607</v>
      </c>
      <c r="E637" t="s">
        <v>45</v>
      </c>
      <c r="F637" s="2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 s="2">
        <v>10685</v>
      </c>
      <c r="T637">
        <v>23457</v>
      </c>
      <c r="U637">
        <v>1</v>
      </c>
      <c r="V637" t="s">
        <v>42</v>
      </c>
      <c r="W637" t="s">
        <v>35</v>
      </c>
      <c r="X637" s="2">
        <v>20</v>
      </c>
      <c r="Y637">
        <v>4</v>
      </c>
      <c r="Z637">
        <v>2</v>
      </c>
      <c r="AA637">
        <v>80</v>
      </c>
      <c r="AB637">
        <v>1</v>
      </c>
      <c r="AC637" s="2">
        <v>17</v>
      </c>
      <c r="AD637">
        <v>2</v>
      </c>
      <c r="AE637">
        <v>3</v>
      </c>
      <c r="AF637" s="2">
        <v>17</v>
      </c>
      <c r="AG637">
        <v>14</v>
      </c>
      <c r="AH637">
        <v>5</v>
      </c>
      <c r="AI637">
        <v>15</v>
      </c>
      <c r="AJ637" s="2" t="str">
        <f>IF(A637 A637 &lt;= 25, "18-25", IF(A637 &lt;=35, "26-35", IF(A637 &lt;=45, "36-45", IF(Table3[[#This Row],[Age]] &lt;=55, "46-55", "56+"))))</f>
        <v>26-35</v>
      </c>
      <c r="AK637" t="str">
        <f t="shared" si="9"/>
        <v>High</v>
      </c>
      <c r="AL637" s="2" t="str">
        <f>IF(AF637 &lt; 3, "0-2 Years", IF(AF637 &lt;= 5, "3-5 Years", IF(AF637 &lt;= 10, "6-10 Years",IF(Table3[[#This Row],[Years At Company]]&lt;=20, "11-20 Years","20+ Years"))))</f>
        <v>11-20 Years</v>
      </c>
    </row>
    <row r="638" spans="1:38" x14ac:dyDescent="0.25">
      <c r="A638" s="2">
        <v>35</v>
      </c>
      <c r="B638" t="s">
        <v>35</v>
      </c>
      <c r="C638" t="s">
        <v>44</v>
      </c>
      <c r="D638" s="2">
        <v>130</v>
      </c>
      <c r="E638" t="s">
        <v>45</v>
      </c>
      <c r="F638" s="2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 s="2">
        <v>2022</v>
      </c>
      <c r="T638">
        <v>16612</v>
      </c>
      <c r="U638">
        <v>1</v>
      </c>
      <c r="V638" t="s">
        <v>42</v>
      </c>
      <c r="W638" t="s">
        <v>35</v>
      </c>
      <c r="X638" s="2">
        <v>19</v>
      </c>
      <c r="Y638">
        <v>3</v>
      </c>
      <c r="Z638">
        <v>1</v>
      </c>
      <c r="AA638">
        <v>80</v>
      </c>
      <c r="AB638">
        <v>1</v>
      </c>
      <c r="AC638" s="2">
        <v>10</v>
      </c>
      <c r="AD638">
        <v>3</v>
      </c>
      <c r="AE638">
        <v>2</v>
      </c>
      <c r="AF638" s="2">
        <v>10</v>
      </c>
      <c r="AG638">
        <v>2</v>
      </c>
      <c r="AH638">
        <v>7</v>
      </c>
      <c r="AI638">
        <v>8</v>
      </c>
      <c r="AJ638" s="2" t="str">
        <f>IF(A638 A638 &lt;= 25, "18-25", IF(A638 &lt;=35, "26-35", IF(A638 &lt;=45, "36-45", IF(Table3[[#This Row],[Age]] &lt;=55, "46-55", "56+"))))</f>
        <v>26-35</v>
      </c>
      <c r="AK638" t="str">
        <f t="shared" si="9"/>
        <v>Low</v>
      </c>
      <c r="AL638" s="2" t="str">
        <f>IF(AF638 &lt; 3, "0-2 Years", IF(AF638 &lt;= 5, "3-5 Years", IF(AF638 &lt;= 10, "6-10 Years",IF(Table3[[#This Row],[Years At Company]]&lt;=20, "11-20 Years","20+ Years"))))</f>
        <v>6-10 Years</v>
      </c>
    </row>
    <row r="639" spans="1:38" x14ac:dyDescent="0.25">
      <c r="A639" s="2">
        <v>32</v>
      </c>
      <c r="B639" t="s">
        <v>43</v>
      </c>
      <c r="C639" t="s">
        <v>55</v>
      </c>
      <c r="D639" s="2">
        <v>300</v>
      </c>
      <c r="E639" t="s">
        <v>45</v>
      </c>
      <c r="F639" s="2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 s="2">
        <v>2314</v>
      </c>
      <c r="T639">
        <v>9148</v>
      </c>
      <c r="U639">
        <v>0</v>
      </c>
      <c r="V639" t="s">
        <v>42</v>
      </c>
      <c r="W639" t="s">
        <v>43</v>
      </c>
      <c r="X639" s="2">
        <v>12</v>
      </c>
      <c r="Y639">
        <v>3</v>
      </c>
      <c r="Z639">
        <v>2</v>
      </c>
      <c r="AA639">
        <v>80</v>
      </c>
      <c r="AB639">
        <v>1</v>
      </c>
      <c r="AC639" s="2">
        <v>4</v>
      </c>
      <c r="AD639">
        <v>2</v>
      </c>
      <c r="AE639">
        <v>3</v>
      </c>
      <c r="AF639" s="2">
        <v>3</v>
      </c>
      <c r="AG639">
        <v>0</v>
      </c>
      <c r="AH639">
        <v>0</v>
      </c>
      <c r="AI639">
        <v>2</v>
      </c>
      <c r="AJ639" s="2" t="str">
        <f>IF(A639 A639 &lt;= 25, "18-25", IF(A639 &lt;=35, "26-35", IF(A639 &lt;=45, "36-45", IF(Table3[[#This Row],[Age]] &lt;=55, "46-55", "56+"))))</f>
        <v>26-35</v>
      </c>
      <c r="AK639" t="str">
        <f t="shared" si="9"/>
        <v>Low</v>
      </c>
      <c r="AL639" s="2" t="str">
        <f>IF(AF639 &lt; 3, "0-2 Years", IF(AF639 &lt;= 5, "3-5 Years", IF(AF639 &lt;= 10, "6-10 Years",IF(Table3[[#This Row],[Years At Company]]&lt;=20, "11-20 Years","20+ Years"))))</f>
        <v>3-5 Years</v>
      </c>
    </row>
    <row r="640" spans="1:38" x14ac:dyDescent="0.25">
      <c r="A640" s="2">
        <v>25</v>
      </c>
      <c r="B640" t="s">
        <v>43</v>
      </c>
      <c r="C640" t="s">
        <v>36</v>
      </c>
      <c r="D640" s="2">
        <v>583</v>
      </c>
      <c r="E640" t="s">
        <v>37</v>
      </c>
      <c r="F640" s="2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 s="2">
        <v>4256</v>
      </c>
      <c r="T640">
        <v>18154</v>
      </c>
      <c r="U640">
        <v>1</v>
      </c>
      <c r="V640" t="s">
        <v>42</v>
      </c>
      <c r="W640" t="s">
        <v>43</v>
      </c>
      <c r="X640" s="2">
        <v>12</v>
      </c>
      <c r="Y640">
        <v>3</v>
      </c>
      <c r="Z640">
        <v>1</v>
      </c>
      <c r="AA640">
        <v>80</v>
      </c>
      <c r="AB640">
        <v>0</v>
      </c>
      <c r="AC640" s="2">
        <v>5</v>
      </c>
      <c r="AD640">
        <v>1</v>
      </c>
      <c r="AE640">
        <v>4</v>
      </c>
      <c r="AF640" s="2">
        <v>5</v>
      </c>
      <c r="AG640">
        <v>2</v>
      </c>
      <c r="AH640">
        <v>0</v>
      </c>
      <c r="AI640">
        <v>3</v>
      </c>
      <c r="AJ640" s="2" t="str">
        <f>IF(A640 A640 &lt;= 25, "18-25", IF(A640 &lt;=35, "26-35", IF(A640 &lt;=45, "36-45", IF(Table3[[#This Row],[Age]] &lt;=55, "46-55", "56+"))))</f>
        <v>18-25</v>
      </c>
      <c r="AK640" t="str">
        <f t="shared" si="9"/>
        <v>Low</v>
      </c>
      <c r="AL640" s="2" t="str">
        <f>IF(AF640 &lt; 3, "0-2 Years", IF(AF640 &lt;= 5, "3-5 Years", IF(AF640 &lt;= 10, "6-10 Years",IF(Table3[[#This Row],[Years At Company]]&lt;=20, "11-20 Years","20+ Years"))))</f>
        <v>3-5 Years</v>
      </c>
    </row>
    <row r="641" spans="1:38" x14ac:dyDescent="0.25">
      <c r="A641" s="2">
        <v>49</v>
      </c>
      <c r="B641" t="s">
        <v>43</v>
      </c>
      <c r="C641" t="s">
        <v>36</v>
      </c>
      <c r="D641" s="2">
        <v>1418</v>
      </c>
      <c r="E641" t="s">
        <v>45</v>
      </c>
      <c r="F641" s="2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 s="2">
        <v>3580</v>
      </c>
      <c r="T641">
        <v>10554</v>
      </c>
      <c r="U641">
        <v>2</v>
      </c>
      <c r="V641" t="s">
        <v>42</v>
      </c>
      <c r="W641" t="s">
        <v>43</v>
      </c>
      <c r="X641" s="2">
        <v>16</v>
      </c>
      <c r="Y641">
        <v>3</v>
      </c>
      <c r="Z641">
        <v>2</v>
      </c>
      <c r="AA641">
        <v>80</v>
      </c>
      <c r="AB641">
        <v>1</v>
      </c>
      <c r="AC641" s="2">
        <v>7</v>
      </c>
      <c r="AD641">
        <v>2</v>
      </c>
      <c r="AE641">
        <v>3</v>
      </c>
      <c r="AF641" s="2">
        <v>4</v>
      </c>
      <c r="AG641">
        <v>2</v>
      </c>
      <c r="AH641">
        <v>0</v>
      </c>
      <c r="AI641">
        <v>2</v>
      </c>
      <c r="AJ641" s="2" t="str">
        <f>IF(A641 A641 &lt;= 25, "18-25", IF(A641 &lt;=35, "26-35", IF(A641 &lt;=45, "36-45", IF(Table3[[#This Row],[Age]] &lt;=55, "46-55", "56+"))))</f>
        <v>46-55</v>
      </c>
      <c r="AK641" t="str">
        <f t="shared" si="9"/>
        <v>Low</v>
      </c>
      <c r="AL641" s="2" t="str">
        <f>IF(AF641 &lt; 3, "0-2 Years", IF(AF641 &lt;= 5, "3-5 Years", IF(AF641 &lt;= 10, "6-10 Years",IF(Table3[[#This Row],[Years At Company]]&lt;=20, "11-20 Years","20+ Years"))))</f>
        <v>3-5 Years</v>
      </c>
    </row>
    <row r="642" spans="1:38" x14ac:dyDescent="0.25">
      <c r="A642" s="2">
        <v>24</v>
      </c>
      <c r="B642" t="s">
        <v>43</v>
      </c>
      <c r="C642" t="s">
        <v>55</v>
      </c>
      <c r="D642" s="2">
        <v>1269</v>
      </c>
      <c r="E642" t="s">
        <v>45</v>
      </c>
      <c r="F642" s="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 s="2">
        <v>3162</v>
      </c>
      <c r="T642">
        <v>10778</v>
      </c>
      <c r="U642">
        <v>0</v>
      </c>
      <c r="V642" t="s">
        <v>42</v>
      </c>
      <c r="W642" t="s">
        <v>43</v>
      </c>
      <c r="X642" s="2">
        <v>17</v>
      </c>
      <c r="Y642">
        <v>3</v>
      </c>
      <c r="Z642">
        <v>4</v>
      </c>
      <c r="AA642">
        <v>80</v>
      </c>
      <c r="AB642">
        <v>0</v>
      </c>
      <c r="AC642" s="2">
        <v>6</v>
      </c>
      <c r="AD642">
        <v>2</v>
      </c>
      <c r="AE642">
        <v>2</v>
      </c>
      <c r="AF642" s="2">
        <v>5</v>
      </c>
      <c r="AG642">
        <v>2</v>
      </c>
      <c r="AH642">
        <v>3</v>
      </c>
      <c r="AI642">
        <v>4</v>
      </c>
      <c r="AJ642" s="2" t="str">
        <f>IF(A642 A642 &lt;= 25, "18-25", IF(A642 &lt;=35, "26-35", IF(A642 &lt;=45, "36-45", IF(Table3[[#This Row],[Age]] &lt;=55, "46-55", "56+"))))</f>
        <v>18-25</v>
      </c>
      <c r="AK642" t="str">
        <f t="shared" ref="AK642:AK705" si="10">IF(S642 &lt; 5000, "Low",IF(S642 &lt;=9999, "Medium", "High"))</f>
        <v>Low</v>
      </c>
      <c r="AL642" s="2" t="str">
        <f>IF(AF642 &lt; 3, "0-2 Years", IF(AF642 &lt;= 5, "3-5 Years", IF(AF642 &lt;= 10, "6-10 Years",IF(Table3[[#This Row],[Years At Company]]&lt;=20, "11-20 Years","20+ Years"))))</f>
        <v>3-5 Years</v>
      </c>
    </row>
    <row r="643" spans="1:38" x14ac:dyDescent="0.25">
      <c r="A643" s="2">
        <v>32</v>
      </c>
      <c r="B643" t="s">
        <v>43</v>
      </c>
      <c r="C643" t="s">
        <v>44</v>
      </c>
      <c r="D643" s="2">
        <v>379</v>
      </c>
      <c r="E643" t="s">
        <v>37</v>
      </c>
      <c r="F643" s="2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 s="2">
        <v>6524</v>
      </c>
      <c r="T643">
        <v>8891</v>
      </c>
      <c r="U643">
        <v>1</v>
      </c>
      <c r="V643" t="s">
        <v>42</v>
      </c>
      <c r="W643" t="s">
        <v>43</v>
      </c>
      <c r="X643" s="2">
        <v>14</v>
      </c>
      <c r="Y643">
        <v>3</v>
      </c>
      <c r="Z643">
        <v>4</v>
      </c>
      <c r="AA643">
        <v>80</v>
      </c>
      <c r="AB643">
        <v>1</v>
      </c>
      <c r="AC643" s="2">
        <v>10</v>
      </c>
      <c r="AD643">
        <v>3</v>
      </c>
      <c r="AE643">
        <v>3</v>
      </c>
      <c r="AF643" s="2">
        <v>10</v>
      </c>
      <c r="AG643">
        <v>8</v>
      </c>
      <c r="AH643">
        <v>5</v>
      </c>
      <c r="AI643">
        <v>3</v>
      </c>
      <c r="AJ643" s="2" t="str">
        <f>IF(A643 A643 &lt;= 25, "18-25", IF(A643 &lt;=35, "26-35", IF(A643 &lt;=45, "36-45", IF(Table3[[#This Row],[Age]] &lt;=55, "46-55", "56+"))))</f>
        <v>26-35</v>
      </c>
      <c r="AK643" t="str">
        <f t="shared" si="10"/>
        <v>Medium</v>
      </c>
      <c r="AL643" s="2" t="str">
        <f>IF(AF643 &lt; 3, "0-2 Years", IF(AF643 &lt;= 5, "3-5 Years", IF(AF643 &lt;= 10, "6-10 Years",IF(Table3[[#This Row],[Years At Company]]&lt;=20, "11-20 Years","20+ Years"))))</f>
        <v>6-10 Years</v>
      </c>
    </row>
    <row r="644" spans="1:38" x14ac:dyDescent="0.25">
      <c r="A644" s="2">
        <v>38</v>
      </c>
      <c r="B644" t="s">
        <v>43</v>
      </c>
      <c r="C644" t="s">
        <v>36</v>
      </c>
      <c r="D644" s="2">
        <v>395</v>
      </c>
      <c r="E644" t="s">
        <v>37</v>
      </c>
      <c r="F644" s="2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 s="2">
        <v>2899</v>
      </c>
      <c r="T644">
        <v>12102</v>
      </c>
      <c r="U644">
        <v>0</v>
      </c>
      <c r="V644" t="s">
        <v>42</v>
      </c>
      <c r="W644" t="s">
        <v>43</v>
      </c>
      <c r="X644" s="2">
        <v>19</v>
      </c>
      <c r="Y644">
        <v>3</v>
      </c>
      <c r="Z644">
        <v>4</v>
      </c>
      <c r="AA644">
        <v>80</v>
      </c>
      <c r="AB644">
        <v>1</v>
      </c>
      <c r="AC644" s="2">
        <v>3</v>
      </c>
      <c r="AD644">
        <v>3</v>
      </c>
      <c r="AE644">
        <v>3</v>
      </c>
      <c r="AF644" s="2">
        <v>2</v>
      </c>
      <c r="AG644">
        <v>2</v>
      </c>
      <c r="AH644">
        <v>1</v>
      </c>
      <c r="AI644">
        <v>2</v>
      </c>
      <c r="AJ644" s="2" t="str">
        <f>IF(A644 A644 &lt;= 25, "18-25", IF(A644 &lt;=35, "26-35", IF(A644 &lt;=45, "36-45", IF(Table3[[#This Row],[Age]] &lt;=55, "46-55", "56+"))))</f>
        <v>36-45</v>
      </c>
      <c r="AK644" t="str">
        <f t="shared" si="10"/>
        <v>Low</v>
      </c>
      <c r="AL644" s="2" t="str">
        <f>IF(AF644 &lt; 3, "0-2 Years", IF(AF644 &lt;= 5, "3-5 Years", IF(AF644 &lt;= 10, "6-10 Years",IF(Table3[[#This Row],[Years At Company]]&lt;=20, "11-20 Years","20+ Years"))))</f>
        <v>0-2 Years</v>
      </c>
    </row>
    <row r="645" spans="1:38" x14ac:dyDescent="0.25">
      <c r="A645" s="2">
        <v>42</v>
      </c>
      <c r="B645" t="s">
        <v>43</v>
      </c>
      <c r="C645" t="s">
        <v>36</v>
      </c>
      <c r="D645" s="2">
        <v>1265</v>
      </c>
      <c r="E645" t="s">
        <v>45</v>
      </c>
      <c r="F645" s="2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 s="2">
        <v>5231</v>
      </c>
      <c r="T645">
        <v>23726</v>
      </c>
      <c r="U645">
        <v>2</v>
      </c>
      <c r="V645" t="s">
        <v>42</v>
      </c>
      <c r="W645" t="s">
        <v>35</v>
      </c>
      <c r="X645" s="2">
        <v>13</v>
      </c>
      <c r="Y645">
        <v>3</v>
      </c>
      <c r="Z645">
        <v>2</v>
      </c>
      <c r="AA645">
        <v>80</v>
      </c>
      <c r="AB645">
        <v>1</v>
      </c>
      <c r="AC645" s="2">
        <v>17</v>
      </c>
      <c r="AD645">
        <v>1</v>
      </c>
      <c r="AE645">
        <v>2</v>
      </c>
      <c r="AF645" s="2">
        <v>5</v>
      </c>
      <c r="AG645">
        <v>3</v>
      </c>
      <c r="AH645">
        <v>1</v>
      </c>
      <c r="AI645">
        <v>3</v>
      </c>
      <c r="AJ645" s="2" t="str">
        <f>IF(A645 A645 &lt;= 25, "18-25", IF(A645 &lt;=35, "26-35", IF(A645 &lt;=45, "36-45", IF(Table3[[#This Row],[Age]] &lt;=55, "46-55", "56+"))))</f>
        <v>36-45</v>
      </c>
      <c r="AK645" t="str">
        <f t="shared" si="10"/>
        <v>Medium</v>
      </c>
      <c r="AL645" s="2" t="str">
        <f>IF(AF645 &lt; 3, "0-2 Years", IF(AF645 &lt;= 5, "3-5 Years", IF(AF645 &lt;= 10, "6-10 Years",IF(Table3[[#This Row],[Years At Company]]&lt;=20, "11-20 Years","20+ Years"))))</f>
        <v>3-5 Years</v>
      </c>
    </row>
    <row r="646" spans="1:38" x14ac:dyDescent="0.25">
      <c r="A646" s="2">
        <v>31</v>
      </c>
      <c r="B646" t="s">
        <v>43</v>
      </c>
      <c r="C646" t="s">
        <v>36</v>
      </c>
      <c r="D646" s="2">
        <v>1222</v>
      </c>
      <c r="E646" t="s">
        <v>45</v>
      </c>
      <c r="F646" s="2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 s="2">
        <v>2356</v>
      </c>
      <c r="T646">
        <v>14871</v>
      </c>
      <c r="U646">
        <v>3</v>
      </c>
      <c r="V646" t="s">
        <v>42</v>
      </c>
      <c r="W646" t="s">
        <v>35</v>
      </c>
      <c r="X646" s="2">
        <v>19</v>
      </c>
      <c r="Y646">
        <v>3</v>
      </c>
      <c r="Z646">
        <v>2</v>
      </c>
      <c r="AA646">
        <v>80</v>
      </c>
      <c r="AB646">
        <v>1</v>
      </c>
      <c r="AC646" s="2">
        <v>8</v>
      </c>
      <c r="AD646">
        <v>2</v>
      </c>
      <c r="AE646">
        <v>3</v>
      </c>
      <c r="AF646" s="2">
        <v>6</v>
      </c>
      <c r="AG646">
        <v>4</v>
      </c>
      <c r="AH646">
        <v>0</v>
      </c>
      <c r="AI646">
        <v>2</v>
      </c>
      <c r="AJ646" s="2" t="str">
        <f>IF(A646 A646 &lt;= 25, "18-25", IF(A646 &lt;=35, "26-35", IF(A646 &lt;=45, "36-45", IF(Table3[[#This Row],[Age]] &lt;=55, "46-55", "56+"))))</f>
        <v>26-35</v>
      </c>
      <c r="AK646" t="str">
        <f t="shared" si="10"/>
        <v>Low</v>
      </c>
      <c r="AL646" s="2" t="str">
        <f>IF(AF646 &lt; 3, "0-2 Years", IF(AF646 &lt;= 5, "3-5 Years", IF(AF646 &lt;= 10, "6-10 Years",IF(Table3[[#This Row],[Years At Company]]&lt;=20, "11-20 Years","20+ Years"))))</f>
        <v>6-10 Years</v>
      </c>
    </row>
    <row r="647" spans="1:38" x14ac:dyDescent="0.25">
      <c r="A647" s="2">
        <v>29</v>
      </c>
      <c r="B647" t="s">
        <v>35</v>
      </c>
      <c r="C647" t="s">
        <v>36</v>
      </c>
      <c r="D647" s="2">
        <v>341</v>
      </c>
      <c r="E647" t="s">
        <v>37</v>
      </c>
      <c r="F647" s="2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 s="2">
        <v>2800</v>
      </c>
      <c r="T647">
        <v>23522</v>
      </c>
      <c r="U647">
        <v>6</v>
      </c>
      <c r="V647" t="s">
        <v>42</v>
      </c>
      <c r="W647" t="s">
        <v>35</v>
      </c>
      <c r="X647" s="2">
        <v>19</v>
      </c>
      <c r="Y647">
        <v>3</v>
      </c>
      <c r="Z647">
        <v>3</v>
      </c>
      <c r="AA647">
        <v>80</v>
      </c>
      <c r="AB647">
        <v>3</v>
      </c>
      <c r="AC647" s="2">
        <v>5</v>
      </c>
      <c r="AD647">
        <v>3</v>
      </c>
      <c r="AE647">
        <v>3</v>
      </c>
      <c r="AF647" s="2">
        <v>3</v>
      </c>
      <c r="AG647">
        <v>2</v>
      </c>
      <c r="AH647">
        <v>0</v>
      </c>
      <c r="AI647">
        <v>2</v>
      </c>
      <c r="AJ647" s="2" t="str">
        <f>IF(A647 A647 &lt;= 25, "18-25", IF(A647 &lt;=35, "26-35", IF(A647 &lt;=45, "36-45", IF(Table3[[#This Row],[Age]] &lt;=55, "46-55", "56+"))))</f>
        <v>26-35</v>
      </c>
      <c r="AK647" t="str">
        <f t="shared" si="10"/>
        <v>Low</v>
      </c>
      <c r="AL647" s="2" t="str">
        <f>IF(AF647 &lt; 3, "0-2 Years", IF(AF647 &lt;= 5, "3-5 Years", IF(AF647 &lt;= 10, "6-10 Years",IF(Table3[[#This Row],[Years At Company]]&lt;=20, "11-20 Years","20+ Years"))))</f>
        <v>3-5 Years</v>
      </c>
    </row>
    <row r="648" spans="1:38" x14ac:dyDescent="0.25">
      <c r="A648" s="2">
        <v>53</v>
      </c>
      <c r="B648" t="s">
        <v>43</v>
      </c>
      <c r="C648" t="s">
        <v>36</v>
      </c>
      <c r="D648" s="2">
        <v>868</v>
      </c>
      <c r="E648" t="s">
        <v>37</v>
      </c>
      <c r="F648" s="2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 s="2">
        <v>11836</v>
      </c>
      <c r="T648">
        <v>22789</v>
      </c>
      <c r="U648">
        <v>5</v>
      </c>
      <c r="V648" t="s">
        <v>42</v>
      </c>
      <c r="W648" t="s">
        <v>43</v>
      </c>
      <c r="X648" s="2">
        <v>14</v>
      </c>
      <c r="Y648">
        <v>3</v>
      </c>
      <c r="Z648">
        <v>3</v>
      </c>
      <c r="AA648">
        <v>80</v>
      </c>
      <c r="AB648">
        <v>1</v>
      </c>
      <c r="AC648" s="2">
        <v>28</v>
      </c>
      <c r="AD648">
        <v>3</v>
      </c>
      <c r="AE648">
        <v>3</v>
      </c>
      <c r="AF648" s="2">
        <v>2</v>
      </c>
      <c r="AG648">
        <v>0</v>
      </c>
      <c r="AH648">
        <v>2</v>
      </c>
      <c r="AI648">
        <v>2</v>
      </c>
      <c r="AJ648" s="2" t="str">
        <f>IF(A648 A648 &lt;= 25, "18-25", IF(A648 &lt;=35, "26-35", IF(A648 &lt;=45, "36-45", IF(Table3[[#This Row],[Age]] &lt;=55, "46-55", "56+"))))</f>
        <v>46-55</v>
      </c>
      <c r="AK648" t="str">
        <f t="shared" si="10"/>
        <v>High</v>
      </c>
      <c r="AL648" s="2" t="str">
        <f>IF(AF648 &lt; 3, "0-2 Years", IF(AF648 &lt;= 5, "3-5 Years", IF(AF648 &lt;= 10, "6-10 Years",IF(Table3[[#This Row],[Years At Company]]&lt;=20, "11-20 Years","20+ Years"))))</f>
        <v>0-2 Years</v>
      </c>
    </row>
    <row r="649" spans="1:38" x14ac:dyDescent="0.25">
      <c r="A649" s="2">
        <v>35</v>
      </c>
      <c r="B649" t="s">
        <v>43</v>
      </c>
      <c r="C649" t="s">
        <v>36</v>
      </c>
      <c r="D649" s="2">
        <v>672</v>
      </c>
      <c r="E649" t="s">
        <v>45</v>
      </c>
      <c r="F649" s="2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 s="2">
        <v>10903</v>
      </c>
      <c r="T649">
        <v>9129</v>
      </c>
      <c r="U649">
        <v>3</v>
      </c>
      <c r="V649" t="s">
        <v>42</v>
      </c>
      <c r="W649" t="s">
        <v>43</v>
      </c>
      <c r="X649" s="2">
        <v>16</v>
      </c>
      <c r="Y649">
        <v>3</v>
      </c>
      <c r="Z649">
        <v>1</v>
      </c>
      <c r="AA649">
        <v>80</v>
      </c>
      <c r="AB649">
        <v>0</v>
      </c>
      <c r="AC649" s="2">
        <v>16</v>
      </c>
      <c r="AD649">
        <v>2</v>
      </c>
      <c r="AE649">
        <v>3</v>
      </c>
      <c r="AF649" s="2">
        <v>13</v>
      </c>
      <c r="AG649">
        <v>10</v>
      </c>
      <c r="AH649">
        <v>4</v>
      </c>
      <c r="AI649">
        <v>8</v>
      </c>
      <c r="AJ649" s="2" t="str">
        <f>IF(A649 A649 &lt;= 25, "18-25", IF(A649 &lt;=35, "26-35", IF(A649 &lt;=45, "36-45", IF(Table3[[#This Row],[Age]] &lt;=55, "46-55", "56+"))))</f>
        <v>26-35</v>
      </c>
      <c r="AK649" t="str">
        <f t="shared" si="10"/>
        <v>High</v>
      </c>
      <c r="AL649" s="2" t="str">
        <f>IF(AF649 &lt; 3, "0-2 Years", IF(AF649 &lt;= 5, "3-5 Years", IF(AF649 &lt;= 10, "6-10 Years",IF(Table3[[#This Row],[Years At Company]]&lt;=20, "11-20 Years","20+ Years"))))</f>
        <v>11-20 Years</v>
      </c>
    </row>
    <row r="650" spans="1:38" x14ac:dyDescent="0.25">
      <c r="A650" s="2">
        <v>37</v>
      </c>
      <c r="B650" t="s">
        <v>43</v>
      </c>
      <c r="C650" t="s">
        <v>44</v>
      </c>
      <c r="D650" s="2">
        <v>1231</v>
      </c>
      <c r="E650" t="s">
        <v>37</v>
      </c>
      <c r="F650" s="2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 s="2">
        <v>2973</v>
      </c>
      <c r="T650">
        <v>21222</v>
      </c>
      <c r="U650">
        <v>5</v>
      </c>
      <c r="V650" t="s">
        <v>42</v>
      </c>
      <c r="W650" t="s">
        <v>43</v>
      </c>
      <c r="X650" s="2">
        <v>15</v>
      </c>
      <c r="Y650">
        <v>3</v>
      </c>
      <c r="Z650">
        <v>2</v>
      </c>
      <c r="AA650">
        <v>80</v>
      </c>
      <c r="AB650">
        <v>1</v>
      </c>
      <c r="AC650" s="2">
        <v>10</v>
      </c>
      <c r="AD650">
        <v>3</v>
      </c>
      <c r="AE650">
        <v>3</v>
      </c>
      <c r="AF650" s="2">
        <v>5</v>
      </c>
      <c r="AG650">
        <v>4</v>
      </c>
      <c r="AH650">
        <v>0</v>
      </c>
      <c r="AI650">
        <v>0</v>
      </c>
      <c r="AJ650" s="2" t="str">
        <f>IF(A650 A650 &lt;= 25, "18-25", IF(A650 &lt;=35, "26-35", IF(A650 &lt;=45, "36-45", IF(Table3[[#This Row],[Age]] &lt;=55, "46-55", "56+"))))</f>
        <v>36-45</v>
      </c>
      <c r="AK650" t="str">
        <f t="shared" si="10"/>
        <v>Low</v>
      </c>
      <c r="AL650" s="2" t="str">
        <f>IF(AF650 &lt; 3, "0-2 Years", IF(AF650 &lt;= 5, "3-5 Years", IF(AF650 &lt;= 10, "6-10 Years",IF(Table3[[#This Row],[Years At Company]]&lt;=20, "11-20 Years","20+ Years"))))</f>
        <v>3-5 Years</v>
      </c>
    </row>
    <row r="651" spans="1:38" x14ac:dyDescent="0.25">
      <c r="A651" s="2">
        <v>53</v>
      </c>
      <c r="B651" t="s">
        <v>43</v>
      </c>
      <c r="C651" t="s">
        <v>36</v>
      </c>
      <c r="D651" s="2">
        <v>102</v>
      </c>
      <c r="E651" t="s">
        <v>45</v>
      </c>
      <c r="F651" s="2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 s="2">
        <v>14275</v>
      </c>
      <c r="T651">
        <v>20206</v>
      </c>
      <c r="U651">
        <v>6</v>
      </c>
      <c r="V651" t="s">
        <v>42</v>
      </c>
      <c r="W651" t="s">
        <v>43</v>
      </c>
      <c r="X651" s="2">
        <v>18</v>
      </c>
      <c r="Y651">
        <v>3</v>
      </c>
      <c r="Z651">
        <v>3</v>
      </c>
      <c r="AA651">
        <v>80</v>
      </c>
      <c r="AB651">
        <v>0</v>
      </c>
      <c r="AC651" s="2">
        <v>33</v>
      </c>
      <c r="AD651">
        <v>0</v>
      </c>
      <c r="AE651">
        <v>3</v>
      </c>
      <c r="AF651" s="2">
        <v>12</v>
      </c>
      <c r="AG651">
        <v>9</v>
      </c>
      <c r="AH651">
        <v>3</v>
      </c>
      <c r="AI651">
        <v>8</v>
      </c>
      <c r="AJ651" s="2" t="str">
        <f>IF(A651 A651 &lt;= 25, "18-25", IF(A651 &lt;=35, "26-35", IF(A651 &lt;=45, "36-45", IF(Table3[[#This Row],[Age]] &lt;=55, "46-55", "56+"))))</f>
        <v>46-55</v>
      </c>
      <c r="AK651" t="str">
        <f t="shared" si="10"/>
        <v>High</v>
      </c>
      <c r="AL651" s="2" t="str">
        <f>IF(AF651 &lt; 3, "0-2 Years", IF(AF651 &lt;= 5, "3-5 Years", IF(AF651 &lt;= 10, "6-10 Years",IF(Table3[[#This Row],[Years At Company]]&lt;=20, "11-20 Years","20+ Years"))))</f>
        <v>11-20 Years</v>
      </c>
    </row>
    <row r="652" spans="1:38" x14ac:dyDescent="0.25">
      <c r="A652" s="2">
        <v>43</v>
      </c>
      <c r="B652" t="s">
        <v>43</v>
      </c>
      <c r="C652" t="s">
        <v>44</v>
      </c>
      <c r="D652" s="2">
        <v>422</v>
      </c>
      <c r="E652" t="s">
        <v>45</v>
      </c>
      <c r="F652" s="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 s="2">
        <v>5562</v>
      </c>
      <c r="T652">
        <v>21782</v>
      </c>
      <c r="U652">
        <v>4</v>
      </c>
      <c r="V652" t="s">
        <v>42</v>
      </c>
      <c r="W652" t="s">
        <v>43</v>
      </c>
      <c r="X652" s="2">
        <v>13</v>
      </c>
      <c r="Y652">
        <v>3</v>
      </c>
      <c r="Z652">
        <v>2</v>
      </c>
      <c r="AA652">
        <v>80</v>
      </c>
      <c r="AB652">
        <v>1</v>
      </c>
      <c r="AC652" s="2">
        <v>12</v>
      </c>
      <c r="AD652">
        <v>2</v>
      </c>
      <c r="AE652">
        <v>2</v>
      </c>
      <c r="AF652" s="2">
        <v>5</v>
      </c>
      <c r="AG652">
        <v>2</v>
      </c>
      <c r="AH652">
        <v>2</v>
      </c>
      <c r="AI652">
        <v>2</v>
      </c>
      <c r="AJ652" s="2" t="str">
        <f>IF(A652 A652 &lt;= 25, "18-25", IF(A652 &lt;=35, "26-35", IF(A652 &lt;=45, "36-45", IF(Table3[[#This Row],[Age]] &lt;=55, "46-55", "56+"))))</f>
        <v>36-45</v>
      </c>
      <c r="AK652" t="str">
        <f t="shared" si="10"/>
        <v>Medium</v>
      </c>
      <c r="AL652" s="2" t="str">
        <f>IF(AF652 &lt; 3, "0-2 Years", IF(AF652 &lt;= 5, "3-5 Years", IF(AF652 &lt;= 10, "6-10 Years",IF(Table3[[#This Row],[Years At Company]]&lt;=20, "11-20 Years","20+ Years"))))</f>
        <v>3-5 Years</v>
      </c>
    </row>
    <row r="653" spans="1:38" x14ac:dyDescent="0.25">
      <c r="A653" s="2">
        <v>47</v>
      </c>
      <c r="B653" t="s">
        <v>43</v>
      </c>
      <c r="C653" t="s">
        <v>36</v>
      </c>
      <c r="D653" s="2">
        <v>249</v>
      </c>
      <c r="E653" t="s">
        <v>37</v>
      </c>
      <c r="F653" s="2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 s="2">
        <v>4537</v>
      </c>
      <c r="T653">
        <v>17783</v>
      </c>
      <c r="U653">
        <v>0</v>
      </c>
      <c r="V653" t="s">
        <v>42</v>
      </c>
      <c r="W653" t="s">
        <v>35</v>
      </c>
      <c r="X653" s="2">
        <v>22</v>
      </c>
      <c r="Y653">
        <v>4</v>
      </c>
      <c r="Z653">
        <v>1</v>
      </c>
      <c r="AA653">
        <v>80</v>
      </c>
      <c r="AB653">
        <v>1</v>
      </c>
      <c r="AC653" s="2">
        <v>8</v>
      </c>
      <c r="AD653">
        <v>2</v>
      </c>
      <c r="AE653">
        <v>3</v>
      </c>
      <c r="AF653" s="2">
        <v>7</v>
      </c>
      <c r="AG653">
        <v>6</v>
      </c>
      <c r="AH653">
        <v>7</v>
      </c>
      <c r="AI653">
        <v>7</v>
      </c>
      <c r="AJ653" s="2" t="str">
        <f>IF(A653 A653 &lt;= 25, "18-25", IF(A653 &lt;=35, "26-35", IF(A653 &lt;=45, "36-45", IF(Table3[[#This Row],[Age]] &lt;=55, "46-55", "56+"))))</f>
        <v>46-55</v>
      </c>
      <c r="AK653" t="str">
        <f t="shared" si="10"/>
        <v>Low</v>
      </c>
      <c r="AL653" s="2" t="str">
        <f>IF(AF653 &lt; 3, "0-2 Years", IF(AF653 &lt;= 5, "3-5 Years", IF(AF653 &lt;= 10, "6-10 Years",IF(Table3[[#This Row],[Years At Company]]&lt;=20, "11-20 Years","20+ Years"))))</f>
        <v>6-10 Years</v>
      </c>
    </row>
    <row r="654" spans="1:38" x14ac:dyDescent="0.25">
      <c r="A654" s="2">
        <v>37</v>
      </c>
      <c r="B654" t="s">
        <v>43</v>
      </c>
      <c r="C654" t="s">
        <v>55</v>
      </c>
      <c r="D654" s="2">
        <v>1252</v>
      </c>
      <c r="E654" t="s">
        <v>37</v>
      </c>
      <c r="F654" s="2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 s="2">
        <v>7642</v>
      </c>
      <c r="T654">
        <v>4814</v>
      </c>
      <c r="U654">
        <v>1</v>
      </c>
      <c r="V654" t="s">
        <v>42</v>
      </c>
      <c r="W654" t="s">
        <v>35</v>
      </c>
      <c r="X654" s="2">
        <v>13</v>
      </c>
      <c r="Y654">
        <v>3</v>
      </c>
      <c r="Z654">
        <v>4</v>
      </c>
      <c r="AA654">
        <v>80</v>
      </c>
      <c r="AB654">
        <v>0</v>
      </c>
      <c r="AC654" s="2">
        <v>10</v>
      </c>
      <c r="AD654">
        <v>2</v>
      </c>
      <c r="AE654">
        <v>3</v>
      </c>
      <c r="AF654" s="2">
        <v>10</v>
      </c>
      <c r="AG654">
        <v>0</v>
      </c>
      <c r="AH654">
        <v>0</v>
      </c>
      <c r="AI654">
        <v>9</v>
      </c>
      <c r="AJ654" s="2" t="str">
        <f>IF(A654 A654 &lt;= 25, "18-25", IF(A654 &lt;=35, "26-35", IF(A654 &lt;=45, "36-45", IF(Table3[[#This Row],[Age]] &lt;=55, "46-55", "56+"))))</f>
        <v>36-45</v>
      </c>
      <c r="AK654" t="str">
        <f t="shared" si="10"/>
        <v>Medium</v>
      </c>
      <c r="AL654" s="2" t="str">
        <f>IF(AF654 &lt; 3, "0-2 Years", IF(AF654 &lt;= 5, "3-5 Years", IF(AF654 &lt;= 10, "6-10 Years",IF(Table3[[#This Row],[Years At Company]]&lt;=20, "11-20 Years","20+ Years"))))</f>
        <v>6-10 Years</v>
      </c>
    </row>
    <row r="655" spans="1:38" x14ac:dyDescent="0.25">
      <c r="A655" s="2">
        <v>50</v>
      </c>
      <c r="B655" t="s">
        <v>43</v>
      </c>
      <c r="C655" t="s">
        <v>55</v>
      </c>
      <c r="D655" s="2">
        <v>881</v>
      </c>
      <c r="E655" t="s">
        <v>45</v>
      </c>
      <c r="F655" s="2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 s="2">
        <v>17924</v>
      </c>
      <c r="T655">
        <v>4544</v>
      </c>
      <c r="U655">
        <v>1</v>
      </c>
      <c r="V655" t="s">
        <v>42</v>
      </c>
      <c r="W655" t="s">
        <v>43</v>
      </c>
      <c r="X655" s="2">
        <v>11</v>
      </c>
      <c r="Y655">
        <v>3</v>
      </c>
      <c r="Z655">
        <v>4</v>
      </c>
      <c r="AA655">
        <v>80</v>
      </c>
      <c r="AB655">
        <v>1</v>
      </c>
      <c r="AC655" s="2">
        <v>31</v>
      </c>
      <c r="AD655">
        <v>3</v>
      </c>
      <c r="AE655">
        <v>3</v>
      </c>
      <c r="AF655" s="2">
        <v>31</v>
      </c>
      <c r="AG655">
        <v>6</v>
      </c>
      <c r="AH655">
        <v>14</v>
      </c>
      <c r="AI655">
        <v>7</v>
      </c>
      <c r="AJ655" s="2" t="str">
        <f>IF(A655 A655 &lt;= 25, "18-25", IF(A655 &lt;=35, "26-35", IF(A655 &lt;=45, "36-45", IF(Table3[[#This Row],[Age]] &lt;=55, "46-55", "56+"))))</f>
        <v>46-55</v>
      </c>
      <c r="AK655" t="str">
        <f t="shared" si="10"/>
        <v>High</v>
      </c>
      <c r="AL655" s="2" t="str">
        <f>IF(AF655 &lt; 3, "0-2 Years", IF(AF655 &lt;= 5, "3-5 Years", IF(AF655 &lt;= 10, "6-10 Years",IF(Table3[[#This Row],[Years At Company]]&lt;=20, "11-20 Years","20+ Years"))))</f>
        <v>20+ Years</v>
      </c>
    </row>
    <row r="656" spans="1:38" x14ac:dyDescent="0.25">
      <c r="A656" s="2">
        <v>39</v>
      </c>
      <c r="B656" t="s">
        <v>43</v>
      </c>
      <c r="C656" t="s">
        <v>36</v>
      </c>
      <c r="D656" s="2">
        <v>1383</v>
      </c>
      <c r="E656" t="s">
        <v>61</v>
      </c>
      <c r="F656" s="2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 s="2">
        <v>5204</v>
      </c>
      <c r="T656">
        <v>7790</v>
      </c>
      <c r="U656">
        <v>8</v>
      </c>
      <c r="V656" t="s">
        <v>42</v>
      </c>
      <c r="W656" t="s">
        <v>43</v>
      </c>
      <c r="X656" s="2">
        <v>11</v>
      </c>
      <c r="Y656">
        <v>3</v>
      </c>
      <c r="Z656">
        <v>3</v>
      </c>
      <c r="AA656">
        <v>80</v>
      </c>
      <c r="AB656">
        <v>2</v>
      </c>
      <c r="AC656" s="2">
        <v>13</v>
      </c>
      <c r="AD656">
        <v>2</v>
      </c>
      <c r="AE656">
        <v>3</v>
      </c>
      <c r="AF656" s="2">
        <v>5</v>
      </c>
      <c r="AG656">
        <v>4</v>
      </c>
      <c r="AH656">
        <v>0</v>
      </c>
      <c r="AI656">
        <v>4</v>
      </c>
      <c r="AJ656" s="2" t="str">
        <f>IF(A656 A656 &lt;= 25, "18-25", IF(A656 &lt;=35, "26-35", IF(A656 &lt;=45, "36-45", IF(Table3[[#This Row],[Age]] &lt;=55, "46-55", "56+"))))</f>
        <v>36-45</v>
      </c>
      <c r="AK656" t="str">
        <f t="shared" si="10"/>
        <v>Medium</v>
      </c>
      <c r="AL656" s="2" t="str">
        <f>IF(AF656 &lt; 3, "0-2 Years", IF(AF656 &lt;= 5, "3-5 Years", IF(AF656 &lt;= 10, "6-10 Years",IF(Table3[[#This Row],[Years At Company]]&lt;=20, "11-20 Years","20+ Years"))))</f>
        <v>3-5 Years</v>
      </c>
    </row>
    <row r="657" spans="1:38" x14ac:dyDescent="0.25">
      <c r="A657" s="2">
        <v>33</v>
      </c>
      <c r="B657" t="s">
        <v>43</v>
      </c>
      <c r="C657" t="s">
        <v>36</v>
      </c>
      <c r="D657" s="2">
        <v>1075</v>
      </c>
      <c r="E657" t="s">
        <v>61</v>
      </c>
      <c r="F657" s="2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 s="2">
        <v>2277</v>
      </c>
      <c r="T657">
        <v>22650</v>
      </c>
      <c r="U657">
        <v>3</v>
      </c>
      <c r="V657" t="s">
        <v>42</v>
      </c>
      <c r="W657" t="s">
        <v>35</v>
      </c>
      <c r="X657" s="2">
        <v>11</v>
      </c>
      <c r="Y657">
        <v>3</v>
      </c>
      <c r="Z657">
        <v>3</v>
      </c>
      <c r="AA657">
        <v>80</v>
      </c>
      <c r="AB657">
        <v>1</v>
      </c>
      <c r="AC657" s="2">
        <v>7</v>
      </c>
      <c r="AD657">
        <v>4</v>
      </c>
      <c r="AE657">
        <v>4</v>
      </c>
      <c r="AF657" s="2">
        <v>4</v>
      </c>
      <c r="AG657">
        <v>3</v>
      </c>
      <c r="AH657">
        <v>0</v>
      </c>
      <c r="AI657">
        <v>3</v>
      </c>
      <c r="AJ657" s="2" t="str">
        <f>IF(A657 A657 &lt;= 25, "18-25", IF(A657 &lt;=35, "26-35", IF(A657 &lt;=45, "36-45", IF(Table3[[#This Row],[Age]] &lt;=55, "46-55", "56+"))))</f>
        <v>26-35</v>
      </c>
      <c r="AK657" t="str">
        <f t="shared" si="10"/>
        <v>Low</v>
      </c>
      <c r="AL657" s="2" t="str">
        <f>IF(AF657 &lt; 3, "0-2 Years", IF(AF657 &lt;= 5, "3-5 Years", IF(AF657 &lt;= 10, "6-10 Years",IF(Table3[[#This Row],[Years At Company]]&lt;=20, "11-20 Years","20+ Years"))))</f>
        <v>3-5 Years</v>
      </c>
    </row>
    <row r="658" spans="1:38" x14ac:dyDescent="0.25">
      <c r="A658" s="2">
        <v>32</v>
      </c>
      <c r="B658" t="s">
        <v>35</v>
      </c>
      <c r="C658" t="s">
        <v>36</v>
      </c>
      <c r="D658" s="2">
        <v>374</v>
      </c>
      <c r="E658" t="s">
        <v>45</v>
      </c>
      <c r="F658" s="2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 s="2">
        <v>2795</v>
      </c>
      <c r="T658">
        <v>18016</v>
      </c>
      <c r="U658">
        <v>1</v>
      </c>
      <c r="V658" t="s">
        <v>42</v>
      </c>
      <c r="W658" t="s">
        <v>35</v>
      </c>
      <c r="X658" s="2">
        <v>24</v>
      </c>
      <c r="Y658">
        <v>4</v>
      </c>
      <c r="Z658">
        <v>3</v>
      </c>
      <c r="AA658">
        <v>80</v>
      </c>
      <c r="AB658">
        <v>0</v>
      </c>
      <c r="AC658" s="2">
        <v>1</v>
      </c>
      <c r="AD658">
        <v>2</v>
      </c>
      <c r="AE658">
        <v>1</v>
      </c>
      <c r="AF658" s="2">
        <v>1</v>
      </c>
      <c r="AG658">
        <v>0</v>
      </c>
      <c r="AH658">
        <v>0</v>
      </c>
      <c r="AI658">
        <v>1</v>
      </c>
      <c r="AJ658" s="2" t="str">
        <f>IF(A658 A658 &lt;= 25, "18-25", IF(A658 &lt;=35, "26-35", IF(A658 &lt;=45, "36-45", IF(Table3[[#This Row],[Age]] &lt;=55, "46-55", "56+"))))</f>
        <v>26-35</v>
      </c>
      <c r="AK658" t="str">
        <f t="shared" si="10"/>
        <v>Low</v>
      </c>
      <c r="AL658" s="2" t="str">
        <f>IF(AF658 &lt; 3, "0-2 Years", IF(AF658 &lt;= 5, "3-5 Years", IF(AF658 &lt;= 10, "6-10 Years",IF(Table3[[#This Row],[Years At Company]]&lt;=20, "11-20 Years","20+ Years"))))</f>
        <v>0-2 Years</v>
      </c>
    </row>
    <row r="659" spans="1:38" x14ac:dyDescent="0.25">
      <c r="A659" s="2">
        <v>29</v>
      </c>
      <c r="B659" t="s">
        <v>43</v>
      </c>
      <c r="C659" t="s">
        <v>36</v>
      </c>
      <c r="D659" s="2">
        <v>1086</v>
      </c>
      <c r="E659" t="s">
        <v>45</v>
      </c>
      <c r="F659" s="2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 s="2">
        <v>2532</v>
      </c>
      <c r="T659">
        <v>6054</v>
      </c>
      <c r="U659">
        <v>6</v>
      </c>
      <c r="V659" t="s">
        <v>42</v>
      </c>
      <c r="W659" t="s">
        <v>43</v>
      </c>
      <c r="X659" s="2">
        <v>14</v>
      </c>
      <c r="Y659">
        <v>3</v>
      </c>
      <c r="Z659">
        <v>3</v>
      </c>
      <c r="AA659">
        <v>80</v>
      </c>
      <c r="AB659">
        <v>3</v>
      </c>
      <c r="AC659" s="2">
        <v>8</v>
      </c>
      <c r="AD659">
        <v>5</v>
      </c>
      <c r="AE659">
        <v>3</v>
      </c>
      <c r="AF659" s="2">
        <v>4</v>
      </c>
      <c r="AG659">
        <v>3</v>
      </c>
      <c r="AH659">
        <v>0</v>
      </c>
      <c r="AI659">
        <v>3</v>
      </c>
      <c r="AJ659" s="2" t="str">
        <f>IF(A659 A659 &lt;= 25, "18-25", IF(A659 &lt;=35, "26-35", IF(A659 &lt;=45, "36-45", IF(Table3[[#This Row],[Age]] &lt;=55, "46-55", "56+"))))</f>
        <v>26-35</v>
      </c>
      <c r="AK659" t="str">
        <f t="shared" si="10"/>
        <v>Low</v>
      </c>
      <c r="AL659" s="2" t="str">
        <f>IF(AF659 &lt; 3, "0-2 Years", IF(AF659 &lt;= 5, "3-5 Years", IF(AF659 &lt;= 10, "6-10 Years",IF(Table3[[#This Row],[Years At Company]]&lt;=20, "11-20 Years","20+ Years"))))</f>
        <v>3-5 Years</v>
      </c>
    </row>
    <row r="660" spans="1:38" x14ac:dyDescent="0.25">
      <c r="A660" s="2">
        <v>44</v>
      </c>
      <c r="B660" t="s">
        <v>43</v>
      </c>
      <c r="C660" t="s">
        <v>36</v>
      </c>
      <c r="D660" s="2">
        <v>661</v>
      </c>
      <c r="E660" t="s">
        <v>45</v>
      </c>
      <c r="F660" s="2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 s="2">
        <v>2559</v>
      </c>
      <c r="T660">
        <v>7508</v>
      </c>
      <c r="U660">
        <v>1</v>
      </c>
      <c r="V660" t="s">
        <v>42</v>
      </c>
      <c r="W660" t="s">
        <v>35</v>
      </c>
      <c r="X660" s="2">
        <v>13</v>
      </c>
      <c r="Y660">
        <v>3</v>
      </c>
      <c r="Z660">
        <v>4</v>
      </c>
      <c r="AA660">
        <v>80</v>
      </c>
      <c r="AB660">
        <v>0</v>
      </c>
      <c r="AC660" s="2">
        <v>8</v>
      </c>
      <c r="AD660">
        <v>0</v>
      </c>
      <c r="AE660">
        <v>3</v>
      </c>
      <c r="AF660" s="2">
        <v>8</v>
      </c>
      <c r="AG660">
        <v>7</v>
      </c>
      <c r="AH660">
        <v>7</v>
      </c>
      <c r="AI660">
        <v>1</v>
      </c>
      <c r="AJ660" s="2" t="str">
        <f>IF(A660 A660 &lt;= 25, "18-25", IF(A660 &lt;=35, "26-35", IF(A660 &lt;=45, "36-45", IF(Table3[[#This Row],[Age]] &lt;=55, "46-55", "56+"))))</f>
        <v>36-45</v>
      </c>
      <c r="AK660" t="str">
        <f t="shared" si="10"/>
        <v>Low</v>
      </c>
      <c r="AL660" s="2" t="str">
        <f>IF(AF660 &lt; 3, "0-2 Years", IF(AF660 &lt;= 5, "3-5 Years", IF(AF660 &lt;= 10, "6-10 Years",IF(Table3[[#This Row],[Years At Company]]&lt;=20, "11-20 Years","20+ Years"))))</f>
        <v>6-10 Years</v>
      </c>
    </row>
    <row r="661" spans="1:38" x14ac:dyDescent="0.25">
      <c r="A661" s="2">
        <v>28</v>
      </c>
      <c r="B661" t="s">
        <v>43</v>
      </c>
      <c r="C661" t="s">
        <v>36</v>
      </c>
      <c r="D661" s="2">
        <v>821</v>
      </c>
      <c r="E661" t="s">
        <v>37</v>
      </c>
      <c r="F661" s="2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 s="2">
        <v>4908</v>
      </c>
      <c r="T661">
        <v>24252</v>
      </c>
      <c r="U661">
        <v>1</v>
      </c>
      <c r="V661" t="s">
        <v>42</v>
      </c>
      <c r="W661" t="s">
        <v>43</v>
      </c>
      <c r="X661" s="2">
        <v>14</v>
      </c>
      <c r="Y661">
        <v>3</v>
      </c>
      <c r="Z661">
        <v>2</v>
      </c>
      <c r="AA661">
        <v>80</v>
      </c>
      <c r="AB661">
        <v>0</v>
      </c>
      <c r="AC661" s="2">
        <v>4</v>
      </c>
      <c r="AD661">
        <v>3</v>
      </c>
      <c r="AE661">
        <v>3</v>
      </c>
      <c r="AF661" s="2">
        <v>4</v>
      </c>
      <c r="AG661">
        <v>2</v>
      </c>
      <c r="AH661">
        <v>0</v>
      </c>
      <c r="AI661">
        <v>2</v>
      </c>
      <c r="AJ661" s="2" t="str">
        <f>IF(A661 A661 &lt;= 25, "18-25", IF(A661 &lt;=35, "26-35", IF(A661 &lt;=45, "36-45", IF(Table3[[#This Row],[Age]] &lt;=55, "46-55", "56+"))))</f>
        <v>26-35</v>
      </c>
      <c r="AK661" t="str">
        <f t="shared" si="10"/>
        <v>Low</v>
      </c>
      <c r="AL661" s="2" t="str">
        <f>IF(AF661 &lt; 3, "0-2 Years", IF(AF661 &lt;= 5, "3-5 Years", IF(AF661 &lt;= 10, "6-10 Years",IF(Table3[[#This Row],[Years At Company]]&lt;=20, "11-20 Years","20+ Years"))))</f>
        <v>3-5 Years</v>
      </c>
    </row>
    <row r="662" spans="1:38" x14ac:dyDescent="0.25">
      <c r="A662" s="2">
        <v>58</v>
      </c>
      <c r="B662" t="s">
        <v>35</v>
      </c>
      <c r="C662" t="s">
        <v>44</v>
      </c>
      <c r="D662" s="2">
        <v>781</v>
      </c>
      <c r="E662" t="s">
        <v>45</v>
      </c>
      <c r="F662" s="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 s="2">
        <v>2380</v>
      </c>
      <c r="T662">
        <v>13384</v>
      </c>
      <c r="U662">
        <v>9</v>
      </c>
      <c r="V662" t="s">
        <v>42</v>
      </c>
      <c r="W662" t="s">
        <v>35</v>
      </c>
      <c r="X662" s="2">
        <v>14</v>
      </c>
      <c r="Y662">
        <v>3</v>
      </c>
      <c r="Z662">
        <v>4</v>
      </c>
      <c r="AA662">
        <v>80</v>
      </c>
      <c r="AB662">
        <v>1</v>
      </c>
      <c r="AC662" s="2">
        <v>3</v>
      </c>
      <c r="AD662">
        <v>3</v>
      </c>
      <c r="AE662">
        <v>2</v>
      </c>
      <c r="AF662" s="2">
        <v>1</v>
      </c>
      <c r="AG662">
        <v>0</v>
      </c>
      <c r="AH662">
        <v>0</v>
      </c>
      <c r="AI662">
        <v>0</v>
      </c>
      <c r="AJ662" s="2" t="str">
        <f>IF(A662 A662 &lt;= 25, "18-25", IF(A662 &lt;=35, "26-35", IF(A662 &lt;=45, "36-45", IF(Table3[[#This Row],[Age]] &lt;=55, "46-55", "56+"))))</f>
        <v>56+</v>
      </c>
      <c r="AK662" t="str">
        <f t="shared" si="10"/>
        <v>Low</v>
      </c>
      <c r="AL662" s="2" t="str">
        <f>IF(AF662 &lt; 3, "0-2 Years", IF(AF662 &lt;= 5, "3-5 Years", IF(AF662 &lt;= 10, "6-10 Years",IF(Table3[[#This Row],[Years At Company]]&lt;=20, "11-20 Years","20+ Years"))))</f>
        <v>0-2 Years</v>
      </c>
    </row>
    <row r="663" spans="1:38" x14ac:dyDescent="0.25">
      <c r="A663" s="2">
        <v>43</v>
      </c>
      <c r="B663" t="s">
        <v>43</v>
      </c>
      <c r="C663" t="s">
        <v>36</v>
      </c>
      <c r="D663" s="2">
        <v>177</v>
      </c>
      <c r="E663" t="s">
        <v>45</v>
      </c>
      <c r="F663" s="2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 s="2">
        <v>4765</v>
      </c>
      <c r="T663">
        <v>23814</v>
      </c>
      <c r="U663">
        <v>4</v>
      </c>
      <c r="V663" t="s">
        <v>42</v>
      </c>
      <c r="W663" t="s">
        <v>43</v>
      </c>
      <c r="X663" s="2">
        <v>21</v>
      </c>
      <c r="Y663">
        <v>4</v>
      </c>
      <c r="Z663">
        <v>3</v>
      </c>
      <c r="AA663">
        <v>80</v>
      </c>
      <c r="AB663">
        <v>1</v>
      </c>
      <c r="AC663" s="2">
        <v>4</v>
      </c>
      <c r="AD663">
        <v>2</v>
      </c>
      <c r="AE663">
        <v>4</v>
      </c>
      <c r="AF663" s="2">
        <v>1</v>
      </c>
      <c r="AG663">
        <v>0</v>
      </c>
      <c r="AH663">
        <v>0</v>
      </c>
      <c r="AI663">
        <v>0</v>
      </c>
      <c r="AJ663" s="2" t="str">
        <f>IF(A663 A663 &lt;= 25, "18-25", IF(A663 &lt;=35, "26-35", IF(A663 &lt;=45, "36-45", IF(Table3[[#This Row],[Age]] &lt;=55, "46-55", "56+"))))</f>
        <v>36-45</v>
      </c>
      <c r="AK663" t="str">
        <f t="shared" si="10"/>
        <v>Low</v>
      </c>
      <c r="AL663" s="2" t="str">
        <f>IF(AF663 &lt; 3, "0-2 Years", IF(AF663 &lt;= 5, "3-5 Years", IF(AF663 &lt;= 10, "6-10 Years",IF(Table3[[#This Row],[Years At Company]]&lt;=20, "11-20 Years","20+ Years"))))</f>
        <v>0-2 Years</v>
      </c>
    </row>
    <row r="664" spans="1:38" x14ac:dyDescent="0.25">
      <c r="A664" s="2">
        <v>20</v>
      </c>
      <c r="B664" t="s">
        <v>35</v>
      </c>
      <c r="C664" t="s">
        <v>36</v>
      </c>
      <c r="D664" s="2">
        <v>500</v>
      </c>
      <c r="E664" t="s">
        <v>37</v>
      </c>
      <c r="F664" s="2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 s="2">
        <v>2044</v>
      </c>
      <c r="T664">
        <v>22052</v>
      </c>
      <c r="U664">
        <v>1</v>
      </c>
      <c r="V664" t="s">
        <v>42</v>
      </c>
      <c r="W664" t="s">
        <v>43</v>
      </c>
      <c r="X664" s="2">
        <v>13</v>
      </c>
      <c r="Y664">
        <v>3</v>
      </c>
      <c r="Z664">
        <v>4</v>
      </c>
      <c r="AA664">
        <v>80</v>
      </c>
      <c r="AB664">
        <v>0</v>
      </c>
      <c r="AC664" s="2">
        <v>2</v>
      </c>
      <c r="AD664">
        <v>3</v>
      </c>
      <c r="AE664">
        <v>2</v>
      </c>
      <c r="AF664" s="2">
        <v>2</v>
      </c>
      <c r="AG664">
        <v>2</v>
      </c>
      <c r="AH664">
        <v>0</v>
      </c>
      <c r="AI664">
        <v>2</v>
      </c>
      <c r="AJ664" s="2" t="str">
        <f>IF(A664 A664 &lt;= 25, "18-25", IF(A664 &lt;=35, "26-35", IF(A664 &lt;=45, "36-45", IF(Table3[[#This Row],[Age]] &lt;=55, "46-55", "56+"))))</f>
        <v>18-25</v>
      </c>
      <c r="AK664" t="str">
        <f t="shared" si="10"/>
        <v>Low</v>
      </c>
      <c r="AL664" s="2" t="str">
        <f>IF(AF664 &lt; 3, "0-2 Years", IF(AF664 &lt;= 5, "3-5 Years", IF(AF664 &lt;= 10, "6-10 Years",IF(Table3[[#This Row],[Years At Company]]&lt;=20, "11-20 Years","20+ Years"))))</f>
        <v>0-2 Years</v>
      </c>
    </row>
    <row r="665" spans="1:38" x14ac:dyDescent="0.25">
      <c r="A665" s="2">
        <v>21</v>
      </c>
      <c r="B665" t="s">
        <v>35</v>
      </c>
      <c r="C665" t="s">
        <v>36</v>
      </c>
      <c r="D665" s="2">
        <v>1427</v>
      </c>
      <c r="E665" t="s">
        <v>45</v>
      </c>
      <c r="F665" s="2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 s="2">
        <v>2693</v>
      </c>
      <c r="T665">
        <v>8870</v>
      </c>
      <c r="U665">
        <v>1</v>
      </c>
      <c r="V665" t="s">
        <v>42</v>
      </c>
      <c r="W665" t="s">
        <v>43</v>
      </c>
      <c r="X665" s="2">
        <v>19</v>
      </c>
      <c r="Y665">
        <v>3</v>
      </c>
      <c r="Z665">
        <v>1</v>
      </c>
      <c r="AA665">
        <v>80</v>
      </c>
      <c r="AB665">
        <v>0</v>
      </c>
      <c r="AC665" s="2">
        <v>1</v>
      </c>
      <c r="AD665">
        <v>3</v>
      </c>
      <c r="AE665">
        <v>2</v>
      </c>
      <c r="AF665" s="2">
        <v>1</v>
      </c>
      <c r="AG665">
        <v>0</v>
      </c>
      <c r="AH665">
        <v>0</v>
      </c>
      <c r="AI665">
        <v>0</v>
      </c>
      <c r="AJ665" s="2" t="str">
        <f>IF(A665 A665 &lt;= 25, "18-25", IF(A665 &lt;=35, "26-35", IF(A665 &lt;=45, "36-45", IF(Table3[[#This Row],[Age]] &lt;=55, "46-55", "56+"))))</f>
        <v>18-25</v>
      </c>
      <c r="AK665" t="str">
        <f t="shared" si="10"/>
        <v>Low</v>
      </c>
      <c r="AL665" s="2" t="str">
        <f>IF(AF665 &lt; 3, "0-2 Years", IF(AF665 &lt;= 5, "3-5 Years", IF(AF665 &lt;= 10, "6-10 Years",IF(Table3[[#This Row],[Years At Company]]&lt;=20, "11-20 Years","20+ Years"))))</f>
        <v>0-2 Years</v>
      </c>
    </row>
    <row r="666" spans="1:38" x14ac:dyDescent="0.25">
      <c r="A666" s="2">
        <v>36</v>
      </c>
      <c r="B666" t="s">
        <v>43</v>
      </c>
      <c r="C666" t="s">
        <v>36</v>
      </c>
      <c r="D666" s="2">
        <v>1425</v>
      </c>
      <c r="E666" t="s">
        <v>45</v>
      </c>
      <c r="F666" s="2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 s="2">
        <v>6586</v>
      </c>
      <c r="T666">
        <v>4821</v>
      </c>
      <c r="U666">
        <v>0</v>
      </c>
      <c r="V666" t="s">
        <v>42</v>
      </c>
      <c r="W666" t="s">
        <v>35</v>
      </c>
      <c r="X666" s="2">
        <v>17</v>
      </c>
      <c r="Y666">
        <v>3</v>
      </c>
      <c r="Z666">
        <v>1</v>
      </c>
      <c r="AA666">
        <v>80</v>
      </c>
      <c r="AB666">
        <v>1</v>
      </c>
      <c r="AC666" s="2">
        <v>17</v>
      </c>
      <c r="AD666">
        <v>2</v>
      </c>
      <c r="AE666">
        <v>2</v>
      </c>
      <c r="AF666" s="2">
        <v>16</v>
      </c>
      <c r="AG666">
        <v>8</v>
      </c>
      <c r="AH666">
        <v>4</v>
      </c>
      <c r="AI666">
        <v>11</v>
      </c>
      <c r="AJ666" s="2" t="str">
        <f>IF(A666 A666 &lt;= 25, "18-25", IF(A666 &lt;=35, "26-35", IF(A666 &lt;=45, "36-45", IF(Table3[[#This Row],[Age]] &lt;=55, "46-55", "56+"))))</f>
        <v>36-45</v>
      </c>
      <c r="AK666" t="str">
        <f t="shared" si="10"/>
        <v>Medium</v>
      </c>
      <c r="AL666" s="2" t="str">
        <f>IF(AF666 &lt; 3, "0-2 Years", IF(AF666 &lt;= 5, "3-5 Years", IF(AF666 &lt;= 10, "6-10 Years",IF(Table3[[#This Row],[Years At Company]]&lt;=20, "11-20 Years","20+ Years"))))</f>
        <v>11-20 Years</v>
      </c>
    </row>
    <row r="667" spans="1:38" x14ac:dyDescent="0.25">
      <c r="A667" s="2">
        <v>47</v>
      </c>
      <c r="B667" t="s">
        <v>43</v>
      </c>
      <c r="C667" t="s">
        <v>36</v>
      </c>
      <c r="D667" s="2">
        <v>1454</v>
      </c>
      <c r="E667" t="s">
        <v>37</v>
      </c>
      <c r="F667" s="2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 s="2">
        <v>3294</v>
      </c>
      <c r="T667">
        <v>13137</v>
      </c>
      <c r="U667">
        <v>1</v>
      </c>
      <c r="V667" t="s">
        <v>42</v>
      </c>
      <c r="W667" t="s">
        <v>35</v>
      </c>
      <c r="X667" s="2">
        <v>18</v>
      </c>
      <c r="Y667">
        <v>3</v>
      </c>
      <c r="Z667">
        <v>1</v>
      </c>
      <c r="AA667">
        <v>80</v>
      </c>
      <c r="AB667">
        <v>0</v>
      </c>
      <c r="AC667" s="2">
        <v>3</v>
      </c>
      <c r="AD667">
        <v>3</v>
      </c>
      <c r="AE667">
        <v>2</v>
      </c>
      <c r="AF667" s="2">
        <v>3</v>
      </c>
      <c r="AG667">
        <v>2</v>
      </c>
      <c r="AH667">
        <v>1</v>
      </c>
      <c r="AI667">
        <v>2</v>
      </c>
      <c r="AJ667" s="2" t="str">
        <f>IF(A667 A667 &lt;= 25, "18-25", IF(A667 &lt;=35, "26-35", IF(A667 &lt;=45, "36-45", IF(Table3[[#This Row],[Age]] &lt;=55, "46-55", "56+"))))</f>
        <v>46-55</v>
      </c>
      <c r="AK667" t="str">
        <f t="shared" si="10"/>
        <v>Low</v>
      </c>
      <c r="AL667" s="2" t="str">
        <f>IF(AF667 &lt; 3, "0-2 Years", IF(AF667 &lt;= 5, "3-5 Years", IF(AF667 &lt;= 10, "6-10 Years",IF(Table3[[#This Row],[Years At Company]]&lt;=20, "11-20 Years","20+ Years"))))</f>
        <v>3-5 Years</v>
      </c>
    </row>
    <row r="668" spans="1:38" x14ac:dyDescent="0.25">
      <c r="A668" s="2">
        <v>22</v>
      </c>
      <c r="B668" t="s">
        <v>35</v>
      </c>
      <c r="C668" t="s">
        <v>36</v>
      </c>
      <c r="D668" s="2">
        <v>617</v>
      </c>
      <c r="E668" t="s">
        <v>45</v>
      </c>
      <c r="F668" s="2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 s="2">
        <v>4171</v>
      </c>
      <c r="T668">
        <v>10022</v>
      </c>
      <c r="U668">
        <v>0</v>
      </c>
      <c r="V668" t="s">
        <v>42</v>
      </c>
      <c r="W668" t="s">
        <v>35</v>
      </c>
      <c r="X668" s="2">
        <v>19</v>
      </c>
      <c r="Y668">
        <v>3</v>
      </c>
      <c r="Z668">
        <v>1</v>
      </c>
      <c r="AA668">
        <v>80</v>
      </c>
      <c r="AB668">
        <v>1</v>
      </c>
      <c r="AC668" s="2">
        <v>4</v>
      </c>
      <c r="AD668">
        <v>3</v>
      </c>
      <c r="AE668">
        <v>4</v>
      </c>
      <c r="AF668" s="2">
        <v>3</v>
      </c>
      <c r="AG668">
        <v>2</v>
      </c>
      <c r="AH668">
        <v>0</v>
      </c>
      <c r="AI668">
        <v>2</v>
      </c>
      <c r="AJ668" s="2" t="str">
        <f>IF(A668 A668 &lt;= 25, "18-25", IF(A668 &lt;=35, "26-35", IF(A668 &lt;=45, "36-45", IF(Table3[[#This Row],[Age]] &lt;=55, "46-55", "56+"))))</f>
        <v>18-25</v>
      </c>
      <c r="AK668" t="str">
        <f t="shared" si="10"/>
        <v>Low</v>
      </c>
      <c r="AL668" s="2" t="str">
        <f>IF(AF668 &lt; 3, "0-2 Years", IF(AF668 &lt;= 5, "3-5 Years", IF(AF668 &lt;= 10, "6-10 Years",IF(Table3[[#This Row],[Years At Company]]&lt;=20, "11-20 Years","20+ Years"))))</f>
        <v>3-5 Years</v>
      </c>
    </row>
    <row r="669" spans="1:38" x14ac:dyDescent="0.25">
      <c r="A669" s="2">
        <v>41</v>
      </c>
      <c r="B669" t="s">
        <v>35</v>
      </c>
      <c r="C669" t="s">
        <v>36</v>
      </c>
      <c r="D669" s="2">
        <v>1085</v>
      </c>
      <c r="E669" t="s">
        <v>45</v>
      </c>
      <c r="F669" s="2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 s="2">
        <v>2778</v>
      </c>
      <c r="T669">
        <v>17725</v>
      </c>
      <c r="U669">
        <v>4</v>
      </c>
      <c r="V669" t="s">
        <v>42</v>
      </c>
      <c r="W669" t="s">
        <v>35</v>
      </c>
      <c r="X669" s="2">
        <v>13</v>
      </c>
      <c r="Y669">
        <v>3</v>
      </c>
      <c r="Z669">
        <v>3</v>
      </c>
      <c r="AA669">
        <v>80</v>
      </c>
      <c r="AB669">
        <v>1</v>
      </c>
      <c r="AC669" s="2">
        <v>10</v>
      </c>
      <c r="AD669">
        <v>1</v>
      </c>
      <c r="AE669">
        <v>2</v>
      </c>
      <c r="AF669" s="2">
        <v>7</v>
      </c>
      <c r="AG669">
        <v>7</v>
      </c>
      <c r="AH669">
        <v>1</v>
      </c>
      <c r="AI669">
        <v>0</v>
      </c>
      <c r="AJ669" s="2" t="str">
        <f>IF(A669 A669 &lt;= 25, "18-25", IF(A669 &lt;=35, "26-35", IF(A669 &lt;=45, "36-45", IF(Table3[[#This Row],[Age]] &lt;=55, "46-55", "56+"))))</f>
        <v>36-45</v>
      </c>
      <c r="AK669" t="str">
        <f t="shared" si="10"/>
        <v>Low</v>
      </c>
      <c r="AL669" s="2" t="str">
        <f>IF(AF669 &lt; 3, "0-2 Years", IF(AF669 &lt;= 5, "3-5 Years", IF(AF669 &lt;= 10, "6-10 Years",IF(Table3[[#This Row],[Years At Company]]&lt;=20, "11-20 Years","20+ Years"))))</f>
        <v>6-10 Years</v>
      </c>
    </row>
    <row r="670" spans="1:38" x14ac:dyDescent="0.25">
      <c r="A670" s="2">
        <v>28</v>
      </c>
      <c r="B670" t="s">
        <v>43</v>
      </c>
      <c r="C670" t="s">
        <v>36</v>
      </c>
      <c r="D670" s="2">
        <v>995</v>
      </c>
      <c r="E670" t="s">
        <v>45</v>
      </c>
      <c r="F670" s="2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 s="2">
        <v>2377</v>
      </c>
      <c r="T670">
        <v>9834</v>
      </c>
      <c r="U670">
        <v>5</v>
      </c>
      <c r="V670" t="s">
        <v>42</v>
      </c>
      <c r="W670" t="s">
        <v>43</v>
      </c>
      <c r="X670" s="2">
        <v>18</v>
      </c>
      <c r="Y670">
        <v>3</v>
      </c>
      <c r="Z670">
        <v>2</v>
      </c>
      <c r="AA670">
        <v>80</v>
      </c>
      <c r="AB670">
        <v>1</v>
      </c>
      <c r="AC670" s="2">
        <v>6</v>
      </c>
      <c r="AD670">
        <v>2</v>
      </c>
      <c r="AE670">
        <v>3</v>
      </c>
      <c r="AF670" s="2">
        <v>2</v>
      </c>
      <c r="AG670">
        <v>2</v>
      </c>
      <c r="AH670">
        <v>2</v>
      </c>
      <c r="AI670">
        <v>2</v>
      </c>
      <c r="AJ670" s="2" t="str">
        <f>IF(A670 A670 &lt;= 25, "18-25", IF(A670 &lt;=35, "26-35", IF(A670 &lt;=45, "36-45", IF(Table3[[#This Row],[Age]] &lt;=55, "46-55", "56+"))))</f>
        <v>26-35</v>
      </c>
      <c r="AK670" t="str">
        <f t="shared" si="10"/>
        <v>Low</v>
      </c>
      <c r="AL670" s="2" t="str">
        <f>IF(AF670 &lt; 3, "0-2 Years", IF(AF670 &lt;= 5, "3-5 Years", IF(AF670 &lt;= 10, "6-10 Years",IF(Table3[[#This Row],[Years At Company]]&lt;=20, "11-20 Years","20+ Years"))))</f>
        <v>0-2 Years</v>
      </c>
    </row>
    <row r="671" spans="1:38" x14ac:dyDescent="0.25">
      <c r="A671" s="2">
        <v>39</v>
      </c>
      <c r="B671" t="s">
        <v>35</v>
      </c>
      <c r="C671" t="s">
        <v>36</v>
      </c>
      <c r="D671" s="2">
        <v>1122</v>
      </c>
      <c r="E671" t="s">
        <v>45</v>
      </c>
      <c r="F671" s="2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 s="2">
        <v>2404</v>
      </c>
      <c r="T671">
        <v>4303</v>
      </c>
      <c r="U671">
        <v>7</v>
      </c>
      <c r="V671" t="s">
        <v>42</v>
      </c>
      <c r="W671" t="s">
        <v>35</v>
      </c>
      <c r="X671" s="2">
        <v>21</v>
      </c>
      <c r="Y671">
        <v>4</v>
      </c>
      <c r="Z671">
        <v>4</v>
      </c>
      <c r="AA671">
        <v>80</v>
      </c>
      <c r="AB671">
        <v>0</v>
      </c>
      <c r="AC671" s="2">
        <v>8</v>
      </c>
      <c r="AD671">
        <v>2</v>
      </c>
      <c r="AE671">
        <v>1</v>
      </c>
      <c r="AF671" s="2">
        <v>2</v>
      </c>
      <c r="AG671">
        <v>2</v>
      </c>
      <c r="AH671">
        <v>2</v>
      </c>
      <c r="AI671">
        <v>2</v>
      </c>
      <c r="AJ671" s="2" t="str">
        <f>IF(A671 A671 &lt;= 25, "18-25", IF(A671 &lt;=35, "26-35", IF(A671 &lt;=45, "36-45", IF(Table3[[#This Row],[Age]] &lt;=55, "46-55", "56+"))))</f>
        <v>36-45</v>
      </c>
      <c r="AK671" t="str">
        <f t="shared" si="10"/>
        <v>Low</v>
      </c>
      <c r="AL671" s="2" t="str">
        <f>IF(AF671 &lt; 3, "0-2 Years", IF(AF671 &lt;= 5, "3-5 Years", IF(AF671 &lt;= 10, "6-10 Years",IF(Table3[[#This Row],[Years At Company]]&lt;=20, "11-20 Years","20+ Years"))))</f>
        <v>0-2 Years</v>
      </c>
    </row>
    <row r="672" spans="1:38" x14ac:dyDescent="0.25">
      <c r="A672" s="2">
        <v>27</v>
      </c>
      <c r="B672" t="s">
        <v>43</v>
      </c>
      <c r="C672" t="s">
        <v>36</v>
      </c>
      <c r="D672" s="2">
        <v>618</v>
      </c>
      <c r="E672" t="s">
        <v>45</v>
      </c>
      <c r="F672" s="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 s="2">
        <v>2318</v>
      </c>
      <c r="T672">
        <v>17808</v>
      </c>
      <c r="U672">
        <v>1</v>
      </c>
      <c r="V672" t="s">
        <v>42</v>
      </c>
      <c r="W672" t="s">
        <v>43</v>
      </c>
      <c r="X672" s="2">
        <v>19</v>
      </c>
      <c r="Y672">
        <v>3</v>
      </c>
      <c r="Z672">
        <v>3</v>
      </c>
      <c r="AA672">
        <v>80</v>
      </c>
      <c r="AB672">
        <v>0</v>
      </c>
      <c r="AC672" s="2">
        <v>1</v>
      </c>
      <c r="AD672">
        <v>2</v>
      </c>
      <c r="AE672">
        <v>3</v>
      </c>
      <c r="AF672" s="2">
        <v>1</v>
      </c>
      <c r="AG672">
        <v>1</v>
      </c>
      <c r="AH672">
        <v>0</v>
      </c>
      <c r="AI672">
        <v>0</v>
      </c>
      <c r="AJ672" s="2" t="str">
        <f>IF(A672 A672 &lt;= 25, "18-25", IF(A672 &lt;=35, "26-35", IF(A672 &lt;=45, "36-45", IF(Table3[[#This Row],[Age]] &lt;=55, "46-55", "56+"))))</f>
        <v>26-35</v>
      </c>
      <c r="AK672" t="str">
        <f t="shared" si="10"/>
        <v>Low</v>
      </c>
      <c r="AL672" s="2" t="str">
        <f>IF(AF672 &lt; 3, "0-2 Years", IF(AF672 &lt;= 5, "3-5 Years", IF(AF672 &lt;= 10, "6-10 Years",IF(Table3[[#This Row],[Years At Company]]&lt;=20, "11-20 Years","20+ Years"))))</f>
        <v>0-2 Years</v>
      </c>
    </row>
    <row r="673" spans="1:38" x14ac:dyDescent="0.25">
      <c r="A673" s="2">
        <v>34</v>
      </c>
      <c r="B673" t="s">
        <v>43</v>
      </c>
      <c r="C673" t="s">
        <v>36</v>
      </c>
      <c r="D673" s="2">
        <v>546</v>
      </c>
      <c r="E673" t="s">
        <v>45</v>
      </c>
      <c r="F673" s="2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 s="2">
        <v>2008</v>
      </c>
      <c r="T673">
        <v>6896</v>
      </c>
      <c r="U673">
        <v>1</v>
      </c>
      <c r="V673" t="s">
        <v>42</v>
      </c>
      <c r="W673" t="s">
        <v>43</v>
      </c>
      <c r="X673" s="2">
        <v>14</v>
      </c>
      <c r="Y673">
        <v>3</v>
      </c>
      <c r="Z673">
        <v>2</v>
      </c>
      <c r="AA673">
        <v>80</v>
      </c>
      <c r="AB673">
        <v>2</v>
      </c>
      <c r="AC673" s="2">
        <v>1</v>
      </c>
      <c r="AD673">
        <v>3</v>
      </c>
      <c r="AE673">
        <v>3</v>
      </c>
      <c r="AF673" s="2">
        <v>1</v>
      </c>
      <c r="AG673">
        <v>0</v>
      </c>
      <c r="AH673">
        <v>1</v>
      </c>
      <c r="AI673">
        <v>0</v>
      </c>
      <c r="AJ673" s="2" t="str">
        <f>IF(A673 A673 &lt;= 25, "18-25", IF(A673 &lt;=35, "26-35", IF(A673 &lt;=45, "36-45", IF(Table3[[#This Row],[Age]] &lt;=55, "46-55", "56+"))))</f>
        <v>26-35</v>
      </c>
      <c r="AK673" t="str">
        <f t="shared" si="10"/>
        <v>Low</v>
      </c>
      <c r="AL673" s="2" t="str">
        <f>IF(AF673 &lt; 3, "0-2 Years", IF(AF673 &lt;= 5, "3-5 Years", IF(AF673 &lt;= 10, "6-10 Years",IF(Table3[[#This Row],[Years At Company]]&lt;=20, "11-20 Years","20+ Years"))))</f>
        <v>0-2 Years</v>
      </c>
    </row>
    <row r="674" spans="1:38" x14ac:dyDescent="0.25">
      <c r="A674" s="2">
        <v>42</v>
      </c>
      <c r="B674" t="s">
        <v>43</v>
      </c>
      <c r="C674" t="s">
        <v>36</v>
      </c>
      <c r="D674" s="2">
        <v>462</v>
      </c>
      <c r="E674" t="s">
        <v>37</v>
      </c>
      <c r="F674" s="2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 s="2">
        <v>6244</v>
      </c>
      <c r="T674">
        <v>7824</v>
      </c>
      <c r="U674">
        <v>7</v>
      </c>
      <c r="V674" t="s">
        <v>42</v>
      </c>
      <c r="W674" t="s">
        <v>43</v>
      </c>
      <c r="X674" s="2">
        <v>17</v>
      </c>
      <c r="Y674">
        <v>3</v>
      </c>
      <c r="Z674">
        <v>1</v>
      </c>
      <c r="AA674">
        <v>80</v>
      </c>
      <c r="AB674">
        <v>0</v>
      </c>
      <c r="AC674" s="2">
        <v>10</v>
      </c>
      <c r="AD674">
        <v>6</v>
      </c>
      <c r="AE674">
        <v>3</v>
      </c>
      <c r="AF674" s="2">
        <v>5</v>
      </c>
      <c r="AG674">
        <v>4</v>
      </c>
      <c r="AH674">
        <v>0</v>
      </c>
      <c r="AI674">
        <v>3</v>
      </c>
      <c r="AJ674" s="2" t="str">
        <f>IF(A674 A674 &lt;= 25, "18-25", IF(A674 &lt;=35, "26-35", IF(A674 &lt;=45, "36-45", IF(Table3[[#This Row],[Age]] &lt;=55, "46-55", "56+"))))</f>
        <v>36-45</v>
      </c>
      <c r="AK674" t="str">
        <f t="shared" si="10"/>
        <v>Medium</v>
      </c>
      <c r="AL674" s="2" t="str">
        <f>IF(AF674 &lt; 3, "0-2 Years", IF(AF674 &lt;= 5, "3-5 Years", IF(AF674 &lt;= 10, "6-10 Years",IF(Table3[[#This Row],[Years At Company]]&lt;=20, "11-20 Years","20+ Years"))))</f>
        <v>3-5 Years</v>
      </c>
    </row>
    <row r="675" spans="1:38" x14ac:dyDescent="0.25">
      <c r="A675" s="2">
        <v>33</v>
      </c>
      <c r="B675" t="s">
        <v>43</v>
      </c>
      <c r="C675" t="s">
        <v>36</v>
      </c>
      <c r="D675" s="2">
        <v>1198</v>
      </c>
      <c r="E675" t="s">
        <v>45</v>
      </c>
      <c r="F675" s="2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 s="2">
        <v>2799</v>
      </c>
      <c r="T675">
        <v>3339</v>
      </c>
      <c r="U675">
        <v>3</v>
      </c>
      <c r="V675" t="s">
        <v>42</v>
      </c>
      <c r="W675" t="s">
        <v>35</v>
      </c>
      <c r="X675" s="2">
        <v>11</v>
      </c>
      <c r="Y675">
        <v>3</v>
      </c>
      <c r="Z675">
        <v>2</v>
      </c>
      <c r="AA675">
        <v>80</v>
      </c>
      <c r="AB675">
        <v>0</v>
      </c>
      <c r="AC675" s="2">
        <v>6</v>
      </c>
      <c r="AD675">
        <v>1</v>
      </c>
      <c r="AE675">
        <v>3</v>
      </c>
      <c r="AF675" s="2">
        <v>3</v>
      </c>
      <c r="AG675">
        <v>2</v>
      </c>
      <c r="AH675">
        <v>0</v>
      </c>
      <c r="AI675">
        <v>2</v>
      </c>
      <c r="AJ675" s="2" t="str">
        <f>IF(A675 A675 &lt;= 25, "18-25", IF(A675 &lt;=35, "26-35", IF(A675 &lt;=45, "36-45", IF(Table3[[#This Row],[Age]] &lt;=55, "46-55", "56+"))))</f>
        <v>26-35</v>
      </c>
      <c r="AK675" t="str">
        <f t="shared" si="10"/>
        <v>Low</v>
      </c>
      <c r="AL675" s="2" t="str">
        <f>IF(AF675 &lt; 3, "0-2 Years", IF(AF675 &lt;= 5, "3-5 Years", IF(AF675 &lt;= 10, "6-10 Years",IF(Table3[[#This Row],[Years At Company]]&lt;=20, "11-20 Years","20+ Years"))))</f>
        <v>3-5 Years</v>
      </c>
    </row>
    <row r="676" spans="1:38" x14ac:dyDescent="0.25">
      <c r="A676" s="2">
        <v>58</v>
      </c>
      <c r="B676" t="s">
        <v>43</v>
      </c>
      <c r="C676" t="s">
        <v>36</v>
      </c>
      <c r="D676" s="2">
        <v>1272</v>
      </c>
      <c r="E676" t="s">
        <v>45</v>
      </c>
      <c r="F676" s="2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 s="2">
        <v>10552</v>
      </c>
      <c r="T676">
        <v>9255</v>
      </c>
      <c r="U676">
        <v>2</v>
      </c>
      <c r="V676" t="s">
        <v>42</v>
      </c>
      <c r="W676" t="s">
        <v>35</v>
      </c>
      <c r="X676" s="2">
        <v>13</v>
      </c>
      <c r="Y676">
        <v>3</v>
      </c>
      <c r="Z676">
        <v>4</v>
      </c>
      <c r="AA676">
        <v>80</v>
      </c>
      <c r="AB676">
        <v>1</v>
      </c>
      <c r="AC676" s="2">
        <v>24</v>
      </c>
      <c r="AD676">
        <v>3</v>
      </c>
      <c r="AE676">
        <v>3</v>
      </c>
      <c r="AF676" s="2">
        <v>6</v>
      </c>
      <c r="AG676">
        <v>0</v>
      </c>
      <c r="AH676">
        <v>0</v>
      </c>
      <c r="AI676">
        <v>4</v>
      </c>
      <c r="AJ676" s="2" t="str">
        <f>IF(A676 A676 &lt;= 25, "18-25", IF(A676 &lt;=35, "26-35", IF(A676 &lt;=45, "36-45", IF(Table3[[#This Row],[Age]] &lt;=55, "46-55", "56+"))))</f>
        <v>56+</v>
      </c>
      <c r="AK676" t="str">
        <f t="shared" si="10"/>
        <v>High</v>
      </c>
      <c r="AL676" s="2" t="str">
        <f>IF(AF676 &lt; 3, "0-2 Years", IF(AF676 &lt;= 5, "3-5 Years", IF(AF676 &lt;= 10, "6-10 Years",IF(Table3[[#This Row],[Years At Company]]&lt;=20, "11-20 Years","20+ Years"))))</f>
        <v>6-10 Years</v>
      </c>
    </row>
    <row r="677" spans="1:38" x14ac:dyDescent="0.25">
      <c r="A677" s="2">
        <v>31</v>
      </c>
      <c r="B677" t="s">
        <v>43</v>
      </c>
      <c r="C677" t="s">
        <v>36</v>
      </c>
      <c r="D677" s="2">
        <v>154</v>
      </c>
      <c r="E677" t="s">
        <v>37</v>
      </c>
      <c r="F677" s="2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 s="2">
        <v>2329</v>
      </c>
      <c r="T677">
        <v>11737</v>
      </c>
      <c r="U677">
        <v>3</v>
      </c>
      <c r="V677" t="s">
        <v>42</v>
      </c>
      <c r="W677" t="s">
        <v>43</v>
      </c>
      <c r="X677" s="2">
        <v>15</v>
      </c>
      <c r="Y677">
        <v>3</v>
      </c>
      <c r="Z677">
        <v>2</v>
      </c>
      <c r="AA677">
        <v>80</v>
      </c>
      <c r="AB677">
        <v>0</v>
      </c>
      <c r="AC677" s="2">
        <v>13</v>
      </c>
      <c r="AD677">
        <v>2</v>
      </c>
      <c r="AE677">
        <v>4</v>
      </c>
      <c r="AF677" s="2">
        <v>7</v>
      </c>
      <c r="AG677">
        <v>7</v>
      </c>
      <c r="AH677">
        <v>5</v>
      </c>
      <c r="AI677">
        <v>2</v>
      </c>
      <c r="AJ677" s="2" t="str">
        <f>IF(A677 A677 &lt;= 25, "18-25", IF(A677 &lt;=35, "26-35", IF(A677 &lt;=45, "36-45", IF(Table3[[#This Row],[Age]] &lt;=55, "46-55", "56+"))))</f>
        <v>26-35</v>
      </c>
      <c r="AK677" t="str">
        <f t="shared" si="10"/>
        <v>Low</v>
      </c>
      <c r="AL677" s="2" t="str">
        <f>IF(AF677 &lt; 3, "0-2 Years", IF(AF677 &lt;= 5, "3-5 Years", IF(AF677 &lt;= 10, "6-10 Years",IF(Table3[[#This Row],[Years At Company]]&lt;=20, "11-20 Years","20+ Years"))))</f>
        <v>6-10 Years</v>
      </c>
    </row>
    <row r="678" spans="1:38" x14ac:dyDescent="0.25">
      <c r="A678" s="2">
        <v>35</v>
      </c>
      <c r="B678" t="s">
        <v>43</v>
      </c>
      <c r="C678" t="s">
        <v>36</v>
      </c>
      <c r="D678" s="2">
        <v>1137</v>
      </c>
      <c r="E678" t="s">
        <v>45</v>
      </c>
      <c r="F678" s="2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 s="2">
        <v>4014</v>
      </c>
      <c r="T678">
        <v>19170</v>
      </c>
      <c r="U678">
        <v>1</v>
      </c>
      <c r="V678" t="s">
        <v>42</v>
      </c>
      <c r="W678" t="s">
        <v>35</v>
      </c>
      <c r="X678" s="2">
        <v>25</v>
      </c>
      <c r="Y678">
        <v>4</v>
      </c>
      <c r="Z678">
        <v>4</v>
      </c>
      <c r="AA678">
        <v>80</v>
      </c>
      <c r="AB678">
        <v>1</v>
      </c>
      <c r="AC678" s="2">
        <v>10</v>
      </c>
      <c r="AD678">
        <v>2</v>
      </c>
      <c r="AE678">
        <v>1</v>
      </c>
      <c r="AF678" s="2">
        <v>10</v>
      </c>
      <c r="AG678">
        <v>6</v>
      </c>
      <c r="AH678">
        <v>0</v>
      </c>
      <c r="AI678">
        <v>7</v>
      </c>
      <c r="AJ678" s="2" t="str">
        <f>IF(A678 A678 &lt;= 25, "18-25", IF(A678 &lt;=35, "26-35", IF(A678 &lt;=45, "36-45", IF(Table3[[#This Row],[Age]] &lt;=55, "46-55", "56+"))))</f>
        <v>26-35</v>
      </c>
      <c r="AK678" t="str">
        <f t="shared" si="10"/>
        <v>Low</v>
      </c>
      <c r="AL678" s="2" t="str">
        <f>IF(AF678 &lt; 3, "0-2 Years", IF(AF678 &lt;= 5, "3-5 Years", IF(AF678 &lt;= 10, "6-10 Years",IF(Table3[[#This Row],[Years At Company]]&lt;=20, "11-20 Years","20+ Years"))))</f>
        <v>6-10 Years</v>
      </c>
    </row>
    <row r="679" spans="1:38" x14ac:dyDescent="0.25">
      <c r="A679" s="2">
        <v>49</v>
      </c>
      <c r="B679" t="s">
        <v>43</v>
      </c>
      <c r="C679" t="s">
        <v>36</v>
      </c>
      <c r="D679" s="2">
        <v>527</v>
      </c>
      <c r="E679" t="s">
        <v>45</v>
      </c>
      <c r="F679" s="2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 s="2">
        <v>7403</v>
      </c>
      <c r="T679">
        <v>22477</v>
      </c>
      <c r="U679">
        <v>4</v>
      </c>
      <c r="V679" t="s">
        <v>42</v>
      </c>
      <c r="W679" t="s">
        <v>43</v>
      </c>
      <c r="X679" s="2">
        <v>11</v>
      </c>
      <c r="Y679">
        <v>3</v>
      </c>
      <c r="Z679">
        <v>3</v>
      </c>
      <c r="AA679">
        <v>80</v>
      </c>
      <c r="AB679">
        <v>1</v>
      </c>
      <c r="AC679" s="2">
        <v>29</v>
      </c>
      <c r="AD679">
        <v>3</v>
      </c>
      <c r="AE679">
        <v>2</v>
      </c>
      <c r="AF679" s="2">
        <v>26</v>
      </c>
      <c r="AG679">
        <v>9</v>
      </c>
      <c r="AH679">
        <v>1</v>
      </c>
      <c r="AI679">
        <v>7</v>
      </c>
      <c r="AJ679" s="2" t="str">
        <f>IF(A679 A679 &lt;= 25, "18-25", IF(A679 &lt;=35, "26-35", IF(A679 &lt;=45, "36-45", IF(Table3[[#This Row],[Age]] &lt;=55, "46-55", "56+"))))</f>
        <v>46-55</v>
      </c>
      <c r="AK679" t="str">
        <f t="shared" si="10"/>
        <v>Medium</v>
      </c>
      <c r="AL679" s="2" t="str">
        <f>IF(AF679 &lt; 3, "0-2 Years", IF(AF679 &lt;= 5, "3-5 Years", IF(AF679 &lt;= 10, "6-10 Years",IF(Table3[[#This Row],[Years At Company]]&lt;=20, "11-20 Years","20+ Years"))))</f>
        <v>20+ Years</v>
      </c>
    </row>
    <row r="680" spans="1:38" x14ac:dyDescent="0.25">
      <c r="A680" s="2">
        <v>48</v>
      </c>
      <c r="B680" t="s">
        <v>43</v>
      </c>
      <c r="C680" t="s">
        <v>36</v>
      </c>
      <c r="D680" s="2">
        <v>1469</v>
      </c>
      <c r="E680" t="s">
        <v>45</v>
      </c>
      <c r="F680" s="2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 s="2">
        <v>2259</v>
      </c>
      <c r="T680">
        <v>5543</v>
      </c>
      <c r="U680">
        <v>4</v>
      </c>
      <c r="V680" t="s">
        <v>42</v>
      </c>
      <c r="W680" t="s">
        <v>43</v>
      </c>
      <c r="X680" s="2">
        <v>17</v>
      </c>
      <c r="Y680">
        <v>3</v>
      </c>
      <c r="Z680">
        <v>1</v>
      </c>
      <c r="AA680">
        <v>80</v>
      </c>
      <c r="AB680">
        <v>2</v>
      </c>
      <c r="AC680" s="2">
        <v>13</v>
      </c>
      <c r="AD680">
        <v>2</v>
      </c>
      <c r="AE680">
        <v>2</v>
      </c>
      <c r="AF680" s="2">
        <v>0</v>
      </c>
      <c r="AG680">
        <v>0</v>
      </c>
      <c r="AH680">
        <v>0</v>
      </c>
      <c r="AI680">
        <v>0</v>
      </c>
      <c r="AJ680" s="2" t="str">
        <f>IF(A680 A680 &lt;= 25, "18-25", IF(A680 &lt;=35, "26-35", IF(A680 &lt;=45, "36-45", IF(Table3[[#This Row],[Age]] &lt;=55, "46-55", "56+"))))</f>
        <v>46-55</v>
      </c>
      <c r="AK680" t="str">
        <f t="shared" si="10"/>
        <v>Low</v>
      </c>
      <c r="AL680" s="2" t="str">
        <f>IF(AF680 &lt; 3, "0-2 Years", IF(AF680 &lt;= 5, "3-5 Years", IF(AF680 &lt;= 10, "6-10 Years",IF(Table3[[#This Row],[Years At Company]]&lt;=20, "11-20 Years","20+ Years"))))</f>
        <v>0-2 Years</v>
      </c>
    </row>
    <row r="681" spans="1:38" x14ac:dyDescent="0.25">
      <c r="A681" s="2">
        <v>31</v>
      </c>
      <c r="B681" t="s">
        <v>43</v>
      </c>
      <c r="C681" t="s">
        <v>55</v>
      </c>
      <c r="D681" s="2">
        <v>1188</v>
      </c>
      <c r="E681" t="s">
        <v>37</v>
      </c>
      <c r="F681" s="2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 s="2">
        <v>6932</v>
      </c>
      <c r="T681">
        <v>24406</v>
      </c>
      <c r="U681">
        <v>1</v>
      </c>
      <c r="V681" t="s">
        <v>42</v>
      </c>
      <c r="W681" t="s">
        <v>43</v>
      </c>
      <c r="X681" s="2">
        <v>13</v>
      </c>
      <c r="Y681">
        <v>3</v>
      </c>
      <c r="Z681">
        <v>4</v>
      </c>
      <c r="AA681">
        <v>80</v>
      </c>
      <c r="AB681">
        <v>1</v>
      </c>
      <c r="AC681" s="2">
        <v>9</v>
      </c>
      <c r="AD681">
        <v>2</v>
      </c>
      <c r="AE681">
        <v>2</v>
      </c>
      <c r="AF681" s="2">
        <v>9</v>
      </c>
      <c r="AG681">
        <v>8</v>
      </c>
      <c r="AH681">
        <v>0</v>
      </c>
      <c r="AI681">
        <v>0</v>
      </c>
      <c r="AJ681" s="2" t="str">
        <f>IF(A681 A681 &lt;= 25, "18-25", IF(A681 &lt;=35, "26-35", IF(A681 &lt;=45, "36-45", IF(Table3[[#This Row],[Age]] &lt;=55, "46-55", "56+"))))</f>
        <v>26-35</v>
      </c>
      <c r="AK681" t="str">
        <f t="shared" si="10"/>
        <v>Medium</v>
      </c>
      <c r="AL681" s="2" t="str">
        <f>IF(AF681 &lt; 3, "0-2 Years", IF(AF681 &lt;= 5, "3-5 Years", IF(AF681 &lt;= 10, "6-10 Years",IF(Table3[[#This Row],[Years At Company]]&lt;=20, "11-20 Years","20+ Years"))))</f>
        <v>6-10 Years</v>
      </c>
    </row>
    <row r="682" spans="1:38" x14ac:dyDescent="0.25">
      <c r="A682" s="2">
        <v>36</v>
      </c>
      <c r="B682" t="s">
        <v>43</v>
      </c>
      <c r="C682" t="s">
        <v>36</v>
      </c>
      <c r="D682" s="2">
        <v>188</v>
      </c>
      <c r="E682" t="s">
        <v>45</v>
      </c>
      <c r="F682" s="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 s="2">
        <v>4678</v>
      </c>
      <c r="T682">
        <v>23293</v>
      </c>
      <c r="U682">
        <v>2</v>
      </c>
      <c r="V682" t="s">
        <v>42</v>
      </c>
      <c r="W682" t="s">
        <v>43</v>
      </c>
      <c r="X682" s="2">
        <v>18</v>
      </c>
      <c r="Y682">
        <v>3</v>
      </c>
      <c r="Z682">
        <v>3</v>
      </c>
      <c r="AA682">
        <v>80</v>
      </c>
      <c r="AB682">
        <v>0</v>
      </c>
      <c r="AC682" s="2">
        <v>8</v>
      </c>
      <c r="AD682">
        <v>6</v>
      </c>
      <c r="AE682">
        <v>3</v>
      </c>
      <c r="AF682" s="2">
        <v>6</v>
      </c>
      <c r="AG682">
        <v>2</v>
      </c>
      <c r="AH682">
        <v>0</v>
      </c>
      <c r="AI682">
        <v>1</v>
      </c>
      <c r="AJ682" s="2" t="str">
        <f>IF(A682 A682 &lt;= 25, "18-25", IF(A682 &lt;=35, "26-35", IF(A682 &lt;=45, "36-45", IF(Table3[[#This Row],[Age]] &lt;=55, "46-55", "56+"))))</f>
        <v>36-45</v>
      </c>
      <c r="AK682" t="str">
        <f t="shared" si="10"/>
        <v>Low</v>
      </c>
      <c r="AL682" s="2" t="str">
        <f>IF(AF682 &lt; 3, "0-2 Years", IF(AF682 &lt;= 5, "3-5 Years", IF(AF682 &lt;= 10, "6-10 Years",IF(Table3[[#This Row],[Years At Company]]&lt;=20, "11-20 Years","20+ Years"))))</f>
        <v>6-10 Years</v>
      </c>
    </row>
    <row r="683" spans="1:38" x14ac:dyDescent="0.25">
      <c r="A683" s="2">
        <v>38</v>
      </c>
      <c r="B683" t="s">
        <v>43</v>
      </c>
      <c r="C683" t="s">
        <v>36</v>
      </c>
      <c r="D683" s="2">
        <v>1333</v>
      </c>
      <c r="E683" t="s">
        <v>45</v>
      </c>
      <c r="F683" s="2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 s="2">
        <v>13582</v>
      </c>
      <c r="T683">
        <v>16292</v>
      </c>
      <c r="U683">
        <v>1</v>
      </c>
      <c r="V683" t="s">
        <v>42</v>
      </c>
      <c r="W683" t="s">
        <v>43</v>
      </c>
      <c r="X683" s="2">
        <v>13</v>
      </c>
      <c r="Y683">
        <v>3</v>
      </c>
      <c r="Z683">
        <v>2</v>
      </c>
      <c r="AA683">
        <v>80</v>
      </c>
      <c r="AB683">
        <v>1</v>
      </c>
      <c r="AC683" s="2">
        <v>15</v>
      </c>
      <c r="AD683">
        <v>3</v>
      </c>
      <c r="AE683">
        <v>3</v>
      </c>
      <c r="AF683" s="2">
        <v>15</v>
      </c>
      <c r="AG683">
        <v>12</v>
      </c>
      <c r="AH683">
        <v>5</v>
      </c>
      <c r="AI683">
        <v>11</v>
      </c>
      <c r="AJ683" s="2" t="str">
        <f>IF(A683 A683 &lt;= 25, "18-25", IF(A683 &lt;=35, "26-35", IF(A683 &lt;=45, "36-45", IF(Table3[[#This Row],[Age]] &lt;=55, "46-55", "56+"))))</f>
        <v>36-45</v>
      </c>
      <c r="AK683" t="str">
        <f t="shared" si="10"/>
        <v>High</v>
      </c>
      <c r="AL683" s="2" t="str">
        <f>IF(AF683 &lt; 3, "0-2 Years", IF(AF683 &lt;= 5, "3-5 Years", IF(AF683 &lt;= 10, "6-10 Years",IF(Table3[[#This Row],[Years At Company]]&lt;=20, "11-20 Years","20+ Years"))))</f>
        <v>11-20 Years</v>
      </c>
    </row>
    <row r="684" spans="1:38" x14ac:dyDescent="0.25">
      <c r="A684" s="2">
        <v>32</v>
      </c>
      <c r="B684" t="s">
        <v>43</v>
      </c>
      <c r="C684" t="s">
        <v>55</v>
      </c>
      <c r="D684" s="2">
        <v>1184</v>
      </c>
      <c r="E684" t="s">
        <v>45</v>
      </c>
      <c r="F684" s="2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 s="2">
        <v>2332</v>
      </c>
      <c r="T684">
        <v>3974</v>
      </c>
      <c r="U684">
        <v>6</v>
      </c>
      <c r="V684" t="s">
        <v>42</v>
      </c>
      <c r="W684" t="s">
        <v>43</v>
      </c>
      <c r="X684" s="2">
        <v>20</v>
      </c>
      <c r="Y684">
        <v>4</v>
      </c>
      <c r="Z684">
        <v>3</v>
      </c>
      <c r="AA684">
        <v>80</v>
      </c>
      <c r="AB684">
        <v>0</v>
      </c>
      <c r="AC684" s="2">
        <v>5</v>
      </c>
      <c r="AD684">
        <v>3</v>
      </c>
      <c r="AE684">
        <v>3</v>
      </c>
      <c r="AF684" s="2">
        <v>3</v>
      </c>
      <c r="AG684">
        <v>0</v>
      </c>
      <c r="AH684">
        <v>0</v>
      </c>
      <c r="AI684">
        <v>2</v>
      </c>
      <c r="AJ684" s="2" t="str">
        <f>IF(A684 A684 &lt;= 25, "18-25", IF(A684 &lt;=35, "26-35", IF(A684 &lt;=45, "36-45", IF(Table3[[#This Row],[Age]] &lt;=55, "46-55", "56+"))))</f>
        <v>26-35</v>
      </c>
      <c r="AK684" t="str">
        <f t="shared" si="10"/>
        <v>Low</v>
      </c>
      <c r="AL684" s="2" t="str">
        <f>IF(AF684 &lt; 3, "0-2 Years", IF(AF684 &lt;= 5, "3-5 Years", IF(AF684 &lt;= 10, "6-10 Years",IF(Table3[[#This Row],[Years At Company]]&lt;=20, "11-20 Years","20+ Years"))))</f>
        <v>3-5 Years</v>
      </c>
    </row>
    <row r="685" spans="1:38" x14ac:dyDescent="0.25">
      <c r="A685" s="2">
        <v>25</v>
      </c>
      <c r="B685" t="s">
        <v>35</v>
      </c>
      <c r="C685" t="s">
        <v>36</v>
      </c>
      <c r="D685" s="2">
        <v>867</v>
      </c>
      <c r="E685" t="s">
        <v>37</v>
      </c>
      <c r="F685" s="2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 s="2">
        <v>2413</v>
      </c>
      <c r="T685">
        <v>18798</v>
      </c>
      <c r="U685">
        <v>1</v>
      </c>
      <c r="V685" t="s">
        <v>42</v>
      </c>
      <c r="W685" t="s">
        <v>35</v>
      </c>
      <c r="X685" s="2">
        <v>18</v>
      </c>
      <c r="Y685">
        <v>3</v>
      </c>
      <c r="Z685">
        <v>3</v>
      </c>
      <c r="AA685">
        <v>80</v>
      </c>
      <c r="AB685">
        <v>3</v>
      </c>
      <c r="AC685" s="2">
        <v>1</v>
      </c>
      <c r="AD685">
        <v>2</v>
      </c>
      <c r="AE685">
        <v>3</v>
      </c>
      <c r="AF685" s="2">
        <v>1</v>
      </c>
      <c r="AG685">
        <v>0</v>
      </c>
      <c r="AH685">
        <v>0</v>
      </c>
      <c r="AI685">
        <v>0</v>
      </c>
      <c r="AJ685" s="2" t="str">
        <f>IF(A685 A685 &lt;= 25, "18-25", IF(A685 &lt;=35, "26-35", IF(A685 &lt;=45, "36-45", IF(Table3[[#This Row],[Age]] &lt;=55, "46-55", "56+"))))</f>
        <v>18-25</v>
      </c>
      <c r="AK685" t="str">
        <f t="shared" si="10"/>
        <v>Low</v>
      </c>
      <c r="AL685" s="2" t="str">
        <f>IF(AF685 &lt; 3, "0-2 Years", IF(AF685 &lt;= 5, "3-5 Years", IF(AF685 &lt;= 10, "6-10 Years",IF(Table3[[#This Row],[Years At Company]]&lt;=20, "11-20 Years","20+ Years"))))</f>
        <v>0-2 Years</v>
      </c>
    </row>
    <row r="686" spans="1:38" x14ac:dyDescent="0.25">
      <c r="A686" s="2">
        <v>40</v>
      </c>
      <c r="B686" t="s">
        <v>43</v>
      </c>
      <c r="C686" t="s">
        <v>36</v>
      </c>
      <c r="D686" s="2">
        <v>658</v>
      </c>
      <c r="E686" t="s">
        <v>37</v>
      </c>
      <c r="F686" s="2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 s="2">
        <v>9705</v>
      </c>
      <c r="T686">
        <v>20652</v>
      </c>
      <c r="U686">
        <v>2</v>
      </c>
      <c r="V686" t="s">
        <v>42</v>
      </c>
      <c r="W686" t="s">
        <v>43</v>
      </c>
      <c r="X686" s="2">
        <v>12</v>
      </c>
      <c r="Y686">
        <v>3</v>
      </c>
      <c r="Z686">
        <v>2</v>
      </c>
      <c r="AA686">
        <v>80</v>
      </c>
      <c r="AB686">
        <v>1</v>
      </c>
      <c r="AC686" s="2">
        <v>11</v>
      </c>
      <c r="AD686">
        <v>2</v>
      </c>
      <c r="AE686">
        <v>2</v>
      </c>
      <c r="AF686" s="2">
        <v>1</v>
      </c>
      <c r="AG686">
        <v>0</v>
      </c>
      <c r="AH686">
        <v>0</v>
      </c>
      <c r="AI686">
        <v>0</v>
      </c>
      <c r="AJ686" s="2" t="str">
        <f>IF(A686 A686 &lt;= 25, "18-25", IF(A686 &lt;=35, "26-35", IF(A686 &lt;=45, "36-45", IF(Table3[[#This Row],[Age]] &lt;=55, "46-55", "56+"))))</f>
        <v>36-45</v>
      </c>
      <c r="AK686" t="str">
        <f t="shared" si="10"/>
        <v>Medium</v>
      </c>
      <c r="AL686" s="2" t="str">
        <f>IF(AF686 &lt; 3, "0-2 Years", IF(AF686 &lt;= 5, "3-5 Years", IF(AF686 &lt;= 10, "6-10 Years",IF(Table3[[#This Row],[Years At Company]]&lt;=20, "11-20 Years","20+ Years"))))</f>
        <v>0-2 Years</v>
      </c>
    </row>
    <row r="687" spans="1:38" x14ac:dyDescent="0.25">
      <c r="A687" s="2">
        <v>26</v>
      </c>
      <c r="B687" t="s">
        <v>43</v>
      </c>
      <c r="C687" t="s">
        <v>44</v>
      </c>
      <c r="D687" s="2">
        <v>1283</v>
      </c>
      <c r="E687" t="s">
        <v>37</v>
      </c>
      <c r="F687" s="2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 s="2">
        <v>4294</v>
      </c>
      <c r="T687">
        <v>11148</v>
      </c>
      <c r="U687">
        <v>1</v>
      </c>
      <c r="V687" t="s">
        <v>42</v>
      </c>
      <c r="W687" t="s">
        <v>43</v>
      </c>
      <c r="X687" s="2">
        <v>12</v>
      </c>
      <c r="Y687">
        <v>3</v>
      </c>
      <c r="Z687">
        <v>2</v>
      </c>
      <c r="AA687">
        <v>80</v>
      </c>
      <c r="AB687">
        <v>0</v>
      </c>
      <c r="AC687" s="2">
        <v>7</v>
      </c>
      <c r="AD687">
        <v>2</v>
      </c>
      <c r="AE687">
        <v>3</v>
      </c>
      <c r="AF687" s="2">
        <v>7</v>
      </c>
      <c r="AG687">
        <v>7</v>
      </c>
      <c r="AH687">
        <v>0</v>
      </c>
      <c r="AI687">
        <v>7</v>
      </c>
      <c r="AJ687" s="2" t="str">
        <f>IF(A687 A687 &lt;= 25, "18-25", IF(A687 &lt;=35, "26-35", IF(A687 &lt;=45, "36-45", IF(Table3[[#This Row],[Age]] &lt;=55, "46-55", "56+"))))</f>
        <v>26-35</v>
      </c>
      <c r="AK687" t="str">
        <f t="shared" si="10"/>
        <v>Low</v>
      </c>
      <c r="AL687" s="2" t="str">
        <f>IF(AF687 &lt; 3, "0-2 Years", IF(AF687 &lt;= 5, "3-5 Years", IF(AF687 &lt;= 10, "6-10 Years",IF(Table3[[#This Row],[Years At Company]]&lt;=20, "11-20 Years","20+ Years"))))</f>
        <v>6-10 Years</v>
      </c>
    </row>
    <row r="688" spans="1:38" x14ac:dyDescent="0.25">
      <c r="A688" s="2">
        <v>41</v>
      </c>
      <c r="B688" t="s">
        <v>43</v>
      </c>
      <c r="C688" t="s">
        <v>36</v>
      </c>
      <c r="D688" s="2">
        <v>263</v>
      </c>
      <c r="E688" t="s">
        <v>45</v>
      </c>
      <c r="F688" s="2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 s="2">
        <v>4721</v>
      </c>
      <c r="T688">
        <v>3119</v>
      </c>
      <c r="U688">
        <v>2</v>
      </c>
      <c r="V688" t="s">
        <v>42</v>
      </c>
      <c r="W688" t="s">
        <v>35</v>
      </c>
      <c r="X688" s="2">
        <v>13</v>
      </c>
      <c r="Y688">
        <v>3</v>
      </c>
      <c r="Z688">
        <v>3</v>
      </c>
      <c r="AA688">
        <v>80</v>
      </c>
      <c r="AB688">
        <v>0</v>
      </c>
      <c r="AC688" s="2">
        <v>20</v>
      </c>
      <c r="AD688">
        <v>3</v>
      </c>
      <c r="AE688">
        <v>3</v>
      </c>
      <c r="AF688" s="2">
        <v>18</v>
      </c>
      <c r="AG688">
        <v>13</v>
      </c>
      <c r="AH688">
        <v>2</v>
      </c>
      <c r="AI688">
        <v>17</v>
      </c>
      <c r="AJ688" s="2" t="str">
        <f>IF(A688 A688 &lt;= 25, "18-25", IF(A688 &lt;=35, "26-35", IF(A688 &lt;=45, "36-45", IF(Table3[[#This Row],[Age]] &lt;=55, "46-55", "56+"))))</f>
        <v>36-45</v>
      </c>
      <c r="AK688" t="str">
        <f t="shared" si="10"/>
        <v>Low</v>
      </c>
      <c r="AL688" s="2" t="str">
        <f>IF(AF688 &lt; 3, "0-2 Years", IF(AF688 &lt;= 5, "3-5 Years", IF(AF688 &lt;= 10, "6-10 Years",IF(Table3[[#This Row],[Years At Company]]&lt;=20, "11-20 Years","20+ Years"))))</f>
        <v>11-20 Years</v>
      </c>
    </row>
    <row r="689" spans="1:38" x14ac:dyDescent="0.25">
      <c r="A689" s="2">
        <v>36</v>
      </c>
      <c r="B689" t="s">
        <v>43</v>
      </c>
      <c r="C689" t="s">
        <v>36</v>
      </c>
      <c r="D689" s="2">
        <v>938</v>
      </c>
      <c r="E689" t="s">
        <v>45</v>
      </c>
      <c r="F689" s="2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 s="2">
        <v>2519</v>
      </c>
      <c r="T689">
        <v>12287</v>
      </c>
      <c r="U689">
        <v>4</v>
      </c>
      <c r="V689" t="s">
        <v>42</v>
      </c>
      <c r="W689" t="s">
        <v>43</v>
      </c>
      <c r="X689" s="2">
        <v>21</v>
      </c>
      <c r="Y689">
        <v>4</v>
      </c>
      <c r="Z689">
        <v>3</v>
      </c>
      <c r="AA689">
        <v>80</v>
      </c>
      <c r="AB689">
        <v>0</v>
      </c>
      <c r="AC689" s="2">
        <v>16</v>
      </c>
      <c r="AD689">
        <v>6</v>
      </c>
      <c r="AE689">
        <v>3</v>
      </c>
      <c r="AF689" s="2">
        <v>11</v>
      </c>
      <c r="AG689">
        <v>8</v>
      </c>
      <c r="AH689">
        <v>3</v>
      </c>
      <c r="AI689">
        <v>9</v>
      </c>
      <c r="AJ689" s="2" t="str">
        <f>IF(A689 A689 &lt;= 25, "18-25", IF(A689 &lt;=35, "26-35", IF(A689 &lt;=45, "36-45", IF(Table3[[#This Row],[Age]] &lt;=55, "46-55", "56+"))))</f>
        <v>36-45</v>
      </c>
      <c r="AK689" t="str">
        <f t="shared" si="10"/>
        <v>Low</v>
      </c>
      <c r="AL689" s="2" t="str">
        <f>IF(AF689 &lt; 3, "0-2 Years", IF(AF689 &lt;= 5, "3-5 Years", IF(AF689 &lt;= 10, "6-10 Years",IF(Table3[[#This Row],[Years At Company]]&lt;=20, "11-20 Years","20+ Years"))))</f>
        <v>11-20 Years</v>
      </c>
    </row>
    <row r="690" spans="1:38" x14ac:dyDescent="0.25">
      <c r="A690" s="2">
        <v>19</v>
      </c>
      <c r="B690" t="s">
        <v>35</v>
      </c>
      <c r="C690" t="s">
        <v>36</v>
      </c>
      <c r="D690" s="2">
        <v>419</v>
      </c>
      <c r="E690" t="s">
        <v>37</v>
      </c>
      <c r="F690" s="2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 s="2">
        <v>2121</v>
      </c>
      <c r="T690">
        <v>9947</v>
      </c>
      <c r="U690">
        <v>1</v>
      </c>
      <c r="V690" t="s">
        <v>42</v>
      </c>
      <c r="W690" t="s">
        <v>35</v>
      </c>
      <c r="X690" s="2">
        <v>13</v>
      </c>
      <c r="Y690">
        <v>3</v>
      </c>
      <c r="Z690">
        <v>2</v>
      </c>
      <c r="AA690">
        <v>80</v>
      </c>
      <c r="AB690">
        <v>0</v>
      </c>
      <c r="AC690" s="2">
        <v>1</v>
      </c>
      <c r="AD690">
        <v>3</v>
      </c>
      <c r="AE690">
        <v>4</v>
      </c>
      <c r="AF690" s="2">
        <v>1</v>
      </c>
      <c r="AG690">
        <v>0</v>
      </c>
      <c r="AH690">
        <v>0</v>
      </c>
      <c r="AI690">
        <v>0</v>
      </c>
      <c r="AJ690" s="2" t="str">
        <f>IF(A690 A690 &lt;= 25, "18-25", IF(A690 &lt;=35, "26-35", IF(A690 &lt;=45, "36-45", IF(Table3[[#This Row],[Age]] &lt;=55, "46-55", "56+"))))</f>
        <v>18-25</v>
      </c>
      <c r="AK690" t="str">
        <f t="shared" si="10"/>
        <v>Low</v>
      </c>
      <c r="AL690" s="2" t="str">
        <f>IF(AF690 &lt; 3, "0-2 Years", IF(AF690 &lt;= 5, "3-5 Years", IF(AF690 &lt;= 10, "6-10 Years",IF(Table3[[#This Row],[Years At Company]]&lt;=20, "11-20 Years","20+ Years"))))</f>
        <v>0-2 Years</v>
      </c>
    </row>
    <row r="691" spans="1:38" x14ac:dyDescent="0.25">
      <c r="A691" s="2">
        <v>20</v>
      </c>
      <c r="B691" t="s">
        <v>35</v>
      </c>
      <c r="C691" t="s">
        <v>36</v>
      </c>
      <c r="D691" s="2">
        <v>129</v>
      </c>
      <c r="E691" t="s">
        <v>45</v>
      </c>
      <c r="F691" s="2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 s="2">
        <v>2973</v>
      </c>
      <c r="T691">
        <v>13008</v>
      </c>
      <c r="U691">
        <v>1</v>
      </c>
      <c r="V691" t="s">
        <v>42</v>
      </c>
      <c r="W691" t="s">
        <v>43</v>
      </c>
      <c r="X691" s="2">
        <v>19</v>
      </c>
      <c r="Y691">
        <v>3</v>
      </c>
      <c r="Z691">
        <v>2</v>
      </c>
      <c r="AA691">
        <v>80</v>
      </c>
      <c r="AB691">
        <v>0</v>
      </c>
      <c r="AC691" s="2">
        <v>1</v>
      </c>
      <c r="AD691">
        <v>2</v>
      </c>
      <c r="AE691">
        <v>3</v>
      </c>
      <c r="AF691" s="2">
        <v>1</v>
      </c>
      <c r="AG691">
        <v>0</v>
      </c>
      <c r="AH691">
        <v>0</v>
      </c>
      <c r="AI691">
        <v>0</v>
      </c>
      <c r="AJ691" s="2" t="str">
        <f>IF(A691 A691 &lt;= 25, "18-25", IF(A691 &lt;=35, "26-35", IF(A691 &lt;=45, "36-45", IF(Table3[[#This Row],[Age]] &lt;=55, "46-55", "56+"))))</f>
        <v>18-25</v>
      </c>
      <c r="AK691" t="str">
        <f t="shared" si="10"/>
        <v>Low</v>
      </c>
      <c r="AL691" s="2" t="str">
        <f>IF(AF691 &lt; 3, "0-2 Years", IF(AF691 &lt;= 5, "3-5 Years", IF(AF691 &lt;= 10, "6-10 Years",IF(Table3[[#This Row],[Years At Company]]&lt;=20, "11-20 Years","20+ Years"))))</f>
        <v>0-2 Years</v>
      </c>
    </row>
    <row r="692" spans="1:38" x14ac:dyDescent="0.25">
      <c r="A692" s="2">
        <v>31</v>
      </c>
      <c r="B692" t="s">
        <v>43</v>
      </c>
      <c r="C692" t="s">
        <v>36</v>
      </c>
      <c r="D692" s="2">
        <v>616</v>
      </c>
      <c r="E692" t="s">
        <v>45</v>
      </c>
      <c r="F692" s="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 s="2">
        <v>5855</v>
      </c>
      <c r="T692">
        <v>17369</v>
      </c>
      <c r="U692">
        <v>0</v>
      </c>
      <c r="V692" t="s">
        <v>42</v>
      </c>
      <c r="W692" t="s">
        <v>35</v>
      </c>
      <c r="X692" s="2">
        <v>11</v>
      </c>
      <c r="Y692">
        <v>3</v>
      </c>
      <c r="Z692">
        <v>3</v>
      </c>
      <c r="AA692">
        <v>80</v>
      </c>
      <c r="AB692">
        <v>2</v>
      </c>
      <c r="AC692" s="2">
        <v>10</v>
      </c>
      <c r="AD692">
        <v>2</v>
      </c>
      <c r="AE692">
        <v>1</v>
      </c>
      <c r="AF692" s="2">
        <v>9</v>
      </c>
      <c r="AG692">
        <v>7</v>
      </c>
      <c r="AH692">
        <v>8</v>
      </c>
      <c r="AI692">
        <v>5</v>
      </c>
      <c r="AJ692" s="2" t="str">
        <f>IF(A692 A692 &lt;= 25, "18-25", IF(A692 &lt;=35, "26-35", IF(A692 &lt;=45, "36-45", IF(Table3[[#This Row],[Age]] &lt;=55, "46-55", "56+"))))</f>
        <v>26-35</v>
      </c>
      <c r="AK692" t="str">
        <f t="shared" si="10"/>
        <v>Medium</v>
      </c>
      <c r="AL692" s="2" t="str">
        <f>IF(AF692 &lt; 3, "0-2 Years", IF(AF692 &lt;= 5, "3-5 Years", IF(AF692 &lt;= 10, "6-10 Years",IF(Table3[[#This Row],[Years At Company]]&lt;=20, "11-20 Years","20+ Years"))))</f>
        <v>6-10 Years</v>
      </c>
    </row>
    <row r="693" spans="1:38" x14ac:dyDescent="0.25">
      <c r="A693" s="2">
        <v>40</v>
      </c>
      <c r="B693" t="s">
        <v>43</v>
      </c>
      <c r="C693" t="s">
        <v>44</v>
      </c>
      <c r="D693" s="2">
        <v>1469</v>
      </c>
      <c r="E693" t="s">
        <v>45</v>
      </c>
      <c r="F693" s="2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 s="2">
        <v>3617</v>
      </c>
      <c r="T693">
        <v>25063</v>
      </c>
      <c r="U693">
        <v>8</v>
      </c>
      <c r="V693" t="s">
        <v>42</v>
      </c>
      <c r="W693" t="s">
        <v>35</v>
      </c>
      <c r="X693" s="2">
        <v>14</v>
      </c>
      <c r="Y693">
        <v>3</v>
      </c>
      <c r="Z693">
        <v>4</v>
      </c>
      <c r="AA693">
        <v>80</v>
      </c>
      <c r="AB693">
        <v>1</v>
      </c>
      <c r="AC693" s="2">
        <v>3</v>
      </c>
      <c r="AD693">
        <v>2</v>
      </c>
      <c r="AE693">
        <v>3</v>
      </c>
      <c r="AF693" s="2">
        <v>1</v>
      </c>
      <c r="AG693">
        <v>1</v>
      </c>
      <c r="AH693">
        <v>0</v>
      </c>
      <c r="AI693">
        <v>0</v>
      </c>
      <c r="AJ693" s="2" t="str">
        <f>IF(A693 A693 &lt;= 25, "18-25", IF(A693 &lt;=35, "26-35", IF(A693 &lt;=45, "36-45", IF(Table3[[#This Row],[Age]] &lt;=55, "46-55", "56+"))))</f>
        <v>36-45</v>
      </c>
      <c r="AK693" t="str">
        <f t="shared" si="10"/>
        <v>Low</v>
      </c>
      <c r="AL693" s="2" t="str">
        <f>IF(AF693 &lt; 3, "0-2 Years", IF(AF693 &lt;= 5, "3-5 Years", IF(AF693 &lt;= 10, "6-10 Years",IF(Table3[[#This Row],[Years At Company]]&lt;=20, "11-20 Years","20+ Years"))))</f>
        <v>0-2 Years</v>
      </c>
    </row>
    <row r="694" spans="1:38" x14ac:dyDescent="0.25">
      <c r="A694" s="2">
        <v>32</v>
      </c>
      <c r="B694" t="s">
        <v>43</v>
      </c>
      <c r="C694" t="s">
        <v>36</v>
      </c>
      <c r="D694" s="2">
        <v>498</v>
      </c>
      <c r="E694" t="s">
        <v>45</v>
      </c>
      <c r="F694" s="2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 s="2">
        <v>6725</v>
      </c>
      <c r="T694">
        <v>13554</v>
      </c>
      <c r="U694">
        <v>1</v>
      </c>
      <c r="V694" t="s">
        <v>42</v>
      </c>
      <c r="W694" t="s">
        <v>43</v>
      </c>
      <c r="X694" s="2">
        <v>12</v>
      </c>
      <c r="Y694">
        <v>3</v>
      </c>
      <c r="Z694">
        <v>3</v>
      </c>
      <c r="AA694">
        <v>80</v>
      </c>
      <c r="AB694">
        <v>1</v>
      </c>
      <c r="AC694" s="2">
        <v>8</v>
      </c>
      <c r="AD694">
        <v>2</v>
      </c>
      <c r="AE694">
        <v>4</v>
      </c>
      <c r="AF694" s="2">
        <v>8</v>
      </c>
      <c r="AG694">
        <v>7</v>
      </c>
      <c r="AH694">
        <v>6</v>
      </c>
      <c r="AI694">
        <v>3</v>
      </c>
      <c r="AJ694" s="2" t="str">
        <f>IF(A694 A694 &lt;= 25, "18-25", IF(A694 &lt;=35, "26-35", IF(A694 &lt;=45, "36-45", IF(Table3[[#This Row],[Age]] &lt;=55, "46-55", "56+"))))</f>
        <v>26-35</v>
      </c>
      <c r="AK694" t="str">
        <f t="shared" si="10"/>
        <v>Medium</v>
      </c>
      <c r="AL694" s="2" t="str">
        <f>IF(AF694 &lt; 3, "0-2 Years", IF(AF694 &lt;= 5, "3-5 Years", IF(AF694 &lt;= 10, "6-10 Years",IF(Table3[[#This Row],[Years At Company]]&lt;=20, "11-20 Years","20+ Years"))))</f>
        <v>6-10 Years</v>
      </c>
    </row>
    <row r="695" spans="1:38" x14ac:dyDescent="0.25">
      <c r="A695" s="2">
        <v>36</v>
      </c>
      <c r="B695" t="s">
        <v>35</v>
      </c>
      <c r="C695" t="s">
        <v>36</v>
      </c>
      <c r="D695" s="2">
        <v>530</v>
      </c>
      <c r="E695" t="s">
        <v>37</v>
      </c>
      <c r="F695" s="2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 s="2">
        <v>10325</v>
      </c>
      <c r="T695">
        <v>5518</v>
      </c>
      <c r="U695">
        <v>1</v>
      </c>
      <c r="V695" t="s">
        <v>42</v>
      </c>
      <c r="W695" t="s">
        <v>35</v>
      </c>
      <c r="X695" s="2">
        <v>11</v>
      </c>
      <c r="Y695">
        <v>3</v>
      </c>
      <c r="Z695">
        <v>1</v>
      </c>
      <c r="AA695">
        <v>80</v>
      </c>
      <c r="AB695">
        <v>1</v>
      </c>
      <c r="AC695" s="2">
        <v>16</v>
      </c>
      <c r="AD695">
        <v>6</v>
      </c>
      <c r="AE695">
        <v>3</v>
      </c>
      <c r="AF695" s="2">
        <v>16</v>
      </c>
      <c r="AG695">
        <v>7</v>
      </c>
      <c r="AH695">
        <v>3</v>
      </c>
      <c r="AI695">
        <v>7</v>
      </c>
      <c r="AJ695" s="2" t="str">
        <f>IF(A695 A695 &lt;= 25, "18-25", IF(A695 &lt;=35, "26-35", IF(A695 &lt;=45, "36-45", IF(Table3[[#This Row],[Age]] &lt;=55, "46-55", "56+"))))</f>
        <v>36-45</v>
      </c>
      <c r="AK695" t="str">
        <f t="shared" si="10"/>
        <v>High</v>
      </c>
      <c r="AL695" s="2" t="str">
        <f>IF(AF695 &lt; 3, "0-2 Years", IF(AF695 &lt;= 5, "3-5 Years", IF(AF695 &lt;= 10, "6-10 Years",IF(Table3[[#This Row],[Years At Company]]&lt;=20, "11-20 Years","20+ Years"))))</f>
        <v>11-20 Years</v>
      </c>
    </row>
    <row r="696" spans="1:38" x14ac:dyDescent="0.25">
      <c r="A696" s="2">
        <v>33</v>
      </c>
      <c r="B696" t="s">
        <v>43</v>
      </c>
      <c r="C696" t="s">
        <v>36</v>
      </c>
      <c r="D696" s="2">
        <v>1069</v>
      </c>
      <c r="E696" t="s">
        <v>45</v>
      </c>
      <c r="F696" s="2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 s="2">
        <v>6949</v>
      </c>
      <c r="T696">
        <v>12291</v>
      </c>
      <c r="U696">
        <v>0</v>
      </c>
      <c r="V696" t="s">
        <v>42</v>
      </c>
      <c r="W696" t="s">
        <v>43</v>
      </c>
      <c r="X696" s="2">
        <v>14</v>
      </c>
      <c r="Y696">
        <v>3</v>
      </c>
      <c r="Z696">
        <v>1</v>
      </c>
      <c r="AA696">
        <v>80</v>
      </c>
      <c r="AB696">
        <v>0</v>
      </c>
      <c r="AC696" s="2">
        <v>6</v>
      </c>
      <c r="AD696">
        <v>3</v>
      </c>
      <c r="AE696">
        <v>3</v>
      </c>
      <c r="AF696" s="2">
        <v>5</v>
      </c>
      <c r="AG696">
        <v>0</v>
      </c>
      <c r="AH696">
        <v>1</v>
      </c>
      <c r="AI696">
        <v>4</v>
      </c>
      <c r="AJ696" s="2" t="str">
        <f>IF(A696 A696 &lt;= 25, "18-25", IF(A696 &lt;=35, "26-35", IF(A696 &lt;=45, "36-45", IF(Table3[[#This Row],[Age]] &lt;=55, "46-55", "56+"))))</f>
        <v>26-35</v>
      </c>
      <c r="AK696" t="str">
        <f t="shared" si="10"/>
        <v>Medium</v>
      </c>
      <c r="AL696" s="2" t="str">
        <f>IF(AF696 &lt; 3, "0-2 Years", IF(AF696 &lt;= 5, "3-5 Years", IF(AF696 &lt;= 10, "6-10 Years",IF(Table3[[#This Row],[Years At Company]]&lt;=20, "11-20 Years","20+ Years"))))</f>
        <v>3-5 Years</v>
      </c>
    </row>
    <row r="697" spans="1:38" x14ac:dyDescent="0.25">
      <c r="A697" s="2">
        <v>37</v>
      </c>
      <c r="B697" t="s">
        <v>35</v>
      </c>
      <c r="C697" t="s">
        <v>36</v>
      </c>
      <c r="D697" s="2">
        <v>625</v>
      </c>
      <c r="E697" t="s">
        <v>37</v>
      </c>
      <c r="F697" s="2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 s="2">
        <v>10609</v>
      </c>
      <c r="T697">
        <v>14922</v>
      </c>
      <c r="U697">
        <v>5</v>
      </c>
      <c r="V697" t="s">
        <v>42</v>
      </c>
      <c r="W697" t="s">
        <v>43</v>
      </c>
      <c r="X697" s="2">
        <v>11</v>
      </c>
      <c r="Y697">
        <v>3</v>
      </c>
      <c r="Z697">
        <v>3</v>
      </c>
      <c r="AA697">
        <v>80</v>
      </c>
      <c r="AB697">
        <v>0</v>
      </c>
      <c r="AC697" s="2">
        <v>17</v>
      </c>
      <c r="AD697">
        <v>2</v>
      </c>
      <c r="AE697">
        <v>1</v>
      </c>
      <c r="AF697" s="2">
        <v>14</v>
      </c>
      <c r="AG697">
        <v>1</v>
      </c>
      <c r="AH697">
        <v>11</v>
      </c>
      <c r="AI697">
        <v>7</v>
      </c>
      <c r="AJ697" s="2" t="str">
        <f>IF(A697 A697 &lt;= 25, "18-25", IF(A697 &lt;=35, "26-35", IF(A697 &lt;=45, "36-45", IF(Table3[[#This Row],[Age]] &lt;=55, "46-55", "56+"))))</f>
        <v>36-45</v>
      </c>
      <c r="AK697" t="str">
        <f t="shared" si="10"/>
        <v>High</v>
      </c>
      <c r="AL697" s="2" t="str">
        <f>IF(AF697 &lt; 3, "0-2 Years", IF(AF697 &lt;= 5, "3-5 Years", IF(AF697 &lt;= 10, "6-10 Years",IF(Table3[[#This Row],[Years At Company]]&lt;=20, "11-20 Years","20+ Years"))))</f>
        <v>11-20 Years</v>
      </c>
    </row>
    <row r="698" spans="1:38" x14ac:dyDescent="0.25">
      <c r="A698" s="2">
        <v>45</v>
      </c>
      <c r="B698" t="s">
        <v>43</v>
      </c>
      <c r="C698" t="s">
        <v>55</v>
      </c>
      <c r="D698" s="2">
        <v>805</v>
      </c>
      <c r="E698" t="s">
        <v>45</v>
      </c>
      <c r="F698" s="2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 s="2">
        <v>4447</v>
      </c>
      <c r="T698">
        <v>23163</v>
      </c>
      <c r="U698">
        <v>1</v>
      </c>
      <c r="V698" t="s">
        <v>42</v>
      </c>
      <c r="W698" t="s">
        <v>43</v>
      </c>
      <c r="X698" s="2">
        <v>12</v>
      </c>
      <c r="Y698">
        <v>3</v>
      </c>
      <c r="Z698">
        <v>2</v>
      </c>
      <c r="AA698">
        <v>80</v>
      </c>
      <c r="AB698">
        <v>0</v>
      </c>
      <c r="AC698" s="2">
        <v>9</v>
      </c>
      <c r="AD698">
        <v>5</v>
      </c>
      <c r="AE698">
        <v>2</v>
      </c>
      <c r="AF698" s="2">
        <v>9</v>
      </c>
      <c r="AG698">
        <v>7</v>
      </c>
      <c r="AH698">
        <v>0</v>
      </c>
      <c r="AI698">
        <v>8</v>
      </c>
      <c r="AJ698" s="2" t="str">
        <f>IF(A698 A698 &lt;= 25, "18-25", IF(A698 &lt;=35, "26-35", IF(A698 &lt;=45, "36-45", IF(Table3[[#This Row],[Age]] &lt;=55, "46-55", "56+"))))</f>
        <v>36-45</v>
      </c>
      <c r="AK698" t="str">
        <f t="shared" si="10"/>
        <v>Low</v>
      </c>
      <c r="AL698" s="2" t="str">
        <f>IF(AF698 &lt; 3, "0-2 Years", IF(AF698 &lt;= 5, "3-5 Years", IF(AF698 &lt;= 10, "6-10 Years",IF(Table3[[#This Row],[Years At Company]]&lt;=20, "11-20 Years","20+ Years"))))</f>
        <v>6-10 Years</v>
      </c>
    </row>
    <row r="699" spans="1:38" x14ac:dyDescent="0.25">
      <c r="A699" s="2">
        <v>29</v>
      </c>
      <c r="B699" t="s">
        <v>43</v>
      </c>
      <c r="C699" t="s">
        <v>44</v>
      </c>
      <c r="D699" s="2">
        <v>1404</v>
      </c>
      <c r="E699" t="s">
        <v>37</v>
      </c>
      <c r="F699" s="2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 s="2">
        <v>2157</v>
      </c>
      <c r="T699">
        <v>18203</v>
      </c>
      <c r="U699">
        <v>1</v>
      </c>
      <c r="V699" t="s">
        <v>42</v>
      </c>
      <c r="W699" t="s">
        <v>43</v>
      </c>
      <c r="X699" s="2">
        <v>15</v>
      </c>
      <c r="Y699">
        <v>3</v>
      </c>
      <c r="Z699">
        <v>2</v>
      </c>
      <c r="AA699">
        <v>80</v>
      </c>
      <c r="AB699">
        <v>1</v>
      </c>
      <c r="AC699" s="2">
        <v>3</v>
      </c>
      <c r="AD699">
        <v>5</v>
      </c>
      <c r="AE699">
        <v>3</v>
      </c>
      <c r="AF699" s="2">
        <v>3</v>
      </c>
      <c r="AG699">
        <v>1</v>
      </c>
      <c r="AH699">
        <v>0</v>
      </c>
      <c r="AI699">
        <v>2</v>
      </c>
      <c r="AJ699" s="2" t="str">
        <f>IF(A699 A699 &lt;= 25, "18-25", IF(A699 &lt;=35, "26-35", IF(A699 &lt;=45, "36-45", IF(Table3[[#This Row],[Age]] &lt;=55, "46-55", "56+"))))</f>
        <v>26-35</v>
      </c>
      <c r="AK699" t="str">
        <f t="shared" si="10"/>
        <v>Low</v>
      </c>
      <c r="AL699" s="2" t="str">
        <f>IF(AF699 &lt; 3, "0-2 Years", IF(AF699 &lt;= 5, "3-5 Years", IF(AF699 &lt;= 10, "6-10 Years",IF(Table3[[#This Row],[Years At Company]]&lt;=20, "11-20 Years","20+ Years"))))</f>
        <v>3-5 Years</v>
      </c>
    </row>
    <row r="700" spans="1:38" x14ac:dyDescent="0.25">
      <c r="A700" s="2">
        <v>35</v>
      </c>
      <c r="B700" t="s">
        <v>43</v>
      </c>
      <c r="C700" t="s">
        <v>36</v>
      </c>
      <c r="D700" s="2">
        <v>1219</v>
      </c>
      <c r="E700" t="s">
        <v>37</v>
      </c>
      <c r="F700" s="2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 s="2">
        <v>4601</v>
      </c>
      <c r="T700">
        <v>6179</v>
      </c>
      <c r="U700">
        <v>1</v>
      </c>
      <c r="V700" t="s">
        <v>42</v>
      </c>
      <c r="W700" t="s">
        <v>43</v>
      </c>
      <c r="X700" s="2">
        <v>16</v>
      </c>
      <c r="Y700">
        <v>3</v>
      </c>
      <c r="Z700">
        <v>2</v>
      </c>
      <c r="AA700">
        <v>80</v>
      </c>
      <c r="AB700">
        <v>0</v>
      </c>
      <c r="AC700" s="2">
        <v>5</v>
      </c>
      <c r="AD700">
        <v>3</v>
      </c>
      <c r="AE700">
        <v>3</v>
      </c>
      <c r="AF700" s="2">
        <v>5</v>
      </c>
      <c r="AG700">
        <v>2</v>
      </c>
      <c r="AH700">
        <v>1</v>
      </c>
      <c r="AI700">
        <v>0</v>
      </c>
      <c r="AJ700" s="2" t="str">
        <f>IF(A700 A700 &lt;= 25, "18-25", IF(A700 &lt;=35, "26-35", IF(A700 &lt;=45, "36-45", IF(Table3[[#This Row],[Age]] &lt;=55, "46-55", "56+"))))</f>
        <v>26-35</v>
      </c>
      <c r="AK700" t="str">
        <f t="shared" si="10"/>
        <v>Low</v>
      </c>
      <c r="AL700" s="2" t="str">
        <f>IF(AF700 &lt; 3, "0-2 Years", IF(AF700 &lt;= 5, "3-5 Years", IF(AF700 &lt;= 10, "6-10 Years",IF(Table3[[#This Row],[Years At Company]]&lt;=20, "11-20 Years","20+ Years"))))</f>
        <v>3-5 Years</v>
      </c>
    </row>
    <row r="701" spans="1:38" x14ac:dyDescent="0.25">
      <c r="A701" s="2">
        <v>52</v>
      </c>
      <c r="B701" t="s">
        <v>43</v>
      </c>
      <c r="C701" t="s">
        <v>36</v>
      </c>
      <c r="D701" s="2">
        <v>1053</v>
      </c>
      <c r="E701" t="s">
        <v>45</v>
      </c>
      <c r="F701" s="2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 s="2">
        <v>17099</v>
      </c>
      <c r="T701">
        <v>13829</v>
      </c>
      <c r="U701">
        <v>2</v>
      </c>
      <c r="V701" t="s">
        <v>42</v>
      </c>
      <c r="W701" t="s">
        <v>43</v>
      </c>
      <c r="X701" s="2">
        <v>15</v>
      </c>
      <c r="Y701">
        <v>3</v>
      </c>
      <c r="Z701">
        <v>2</v>
      </c>
      <c r="AA701">
        <v>80</v>
      </c>
      <c r="AB701">
        <v>1</v>
      </c>
      <c r="AC701" s="2">
        <v>26</v>
      </c>
      <c r="AD701">
        <v>2</v>
      </c>
      <c r="AE701">
        <v>2</v>
      </c>
      <c r="AF701" s="2">
        <v>9</v>
      </c>
      <c r="AG701">
        <v>8</v>
      </c>
      <c r="AH701">
        <v>7</v>
      </c>
      <c r="AI701">
        <v>8</v>
      </c>
      <c r="AJ701" s="2" t="str">
        <f>IF(A701 A701 &lt;= 25, "18-25", IF(A701 &lt;=35, "26-35", IF(A701 &lt;=45, "36-45", IF(Table3[[#This Row],[Age]] &lt;=55, "46-55", "56+"))))</f>
        <v>46-55</v>
      </c>
      <c r="AK701" t="str">
        <f t="shared" si="10"/>
        <v>High</v>
      </c>
      <c r="AL701" s="2" t="str">
        <f>IF(AF701 &lt; 3, "0-2 Years", IF(AF701 &lt;= 5, "3-5 Years", IF(AF701 &lt;= 10, "6-10 Years",IF(Table3[[#This Row],[Years At Company]]&lt;=20, "11-20 Years","20+ Years"))))</f>
        <v>6-10 Years</v>
      </c>
    </row>
    <row r="702" spans="1:38" x14ac:dyDescent="0.25">
      <c r="A702" s="2">
        <v>58</v>
      </c>
      <c r="B702" t="s">
        <v>35</v>
      </c>
      <c r="C702" t="s">
        <v>36</v>
      </c>
      <c r="D702" s="2">
        <v>289</v>
      </c>
      <c r="E702" t="s">
        <v>45</v>
      </c>
      <c r="F702" s="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 s="2">
        <v>2479</v>
      </c>
      <c r="T702">
        <v>26227</v>
      </c>
      <c r="U702">
        <v>4</v>
      </c>
      <c r="V702" t="s">
        <v>42</v>
      </c>
      <c r="W702" t="s">
        <v>43</v>
      </c>
      <c r="X702" s="2">
        <v>24</v>
      </c>
      <c r="Y702">
        <v>4</v>
      </c>
      <c r="Z702">
        <v>1</v>
      </c>
      <c r="AA702">
        <v>80</v>
      </c>
      <c r="AB702">
        <v>0</v>
      </c>
      <c r="AC702" s="2">
        <v>7</v>
      </c>
      <c r="AD702">
        <v>4</v>
      </c>
      <c r="AE702">
        <v>3</v>
      </c>
      <c r="AF702" s="2">
        <v>1</v>
      </c>
      <c r="AG702">
        <v>0</v>
      </c>
      <c r="AH702">
        <v>0</v>
      </c>
      <c r="AI702">
        <v>0</v>
      </c>
      <c r="AJ702" s="2" t="str">
        <f>IF(A702 A702 &lt;= 25, "18-25", IF(A702 &lt;=35, "26-35", IF(A702 &lt;=45, "36-45", IF(Table3[[#This Row],[Age]] &lt;=55, "46-55", "56+"))))</f>
        <v>56+</v>
      </c>
      <c r="AK702" t="str">
        <f t="shared" si="10"/>
        <v>Low</v>
      </c>
      <c r="AL702" s="2" t="str">
        <f>IF(AF702 &lt; 3, "0-2 Years", IF(AF702 &lt;= 5, "3-5 Years", IF(AF702 &lt;= 10, "6-10 Years",IF(Table3[[#This Row],[Years At Company]]&lt;=20, "11-20 Years","20+ Years"))))</f>
        <v>0-2 Years</v>
      </c>
    </row>
    <row r="703" spans="1:38" x14ac:dyDescent="0.25">
      <c r="A703" s="2">
        <v>53</v>
      </c>
      <c r="B703" t="s">
        <v>43</v>
      </c>
      <c r="C703" t="s">
        <v>36</v>
      </c>
      <c r="D703" s="2">
        <v>1376</v>
      </c>
      <c r="E703" t="s">
        <v>37</v>
      </c>
      <c r="F703" s="2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 s="2">
        <v>14852</v>
      </c>
      <c r="T703">
        <v>13938</v>
      </c>
      <c r="U703">
        <v>6</v>
      </c>
      <c r="V703" t="s">
        <v>42</v>
      </c>
      <c r="W703" t="s">
        <v>43</v>
      </c>
      <c r="X703" s="2">
        <v>13</v>
      </c>
      <c r="Y703">
        <v>3</v>
      </c>
      <c r="Z703">
        <v>3</v>
      </c>
      <c r="AA703">
        <v>80</v>
      </c>
      <c r="AB703">
        <v>1</v>
      </c>
      <c r="AC703" s="2">
        <v>22</v>
      </c>
      <c r="AD703">
        <v>3</v>
      </c>
      <c r="AE703">
        <v>4</v>
      </c>
      <c r="AF703" s="2">
        <v>17</v>
      </c>
      <c r="AG703">
        <v>13</v>
      </c>
      <c r="AH703">
        <v>15</v>
      </c>
      <c r="AI703">
        <v>2</v>
      </c>
      <c r="AJ703" s="2" t="str">
        <f>IF(A703 A703 &lt;= 25, "18-25", IF(A703 &lt;=35, "26-35", IF(A703 &lt;=45, "36-45", IF(Table3[[#This Row],[Age]] &lt;=55, "46-55", "56+"))))</f>
        <v>46-55</v>
      </c>
      <c r="AK703" t="str">
        <f t="shared" si="10"/>
        <v>High</v>
      </c>
      <c r="AL703" s="2" t="str">
        <f>IF(AF703 &lt; 3, "0-2 Years", IF(AF703 &lt;= 5, "3-5 Years", IF(AF703 &lt;= 10, "6-10 Years",IF(Table3[[#This Row],[Years At Company]]&lt;=20, "11-20 Years","20+ Years"))))</f>
        <v>11-20 Years</v>
      </c>
    </row>
    <row r="704" spans="1:38" x14ac:dyDescent="0.25">
      <c r="A704" s="2">
        <v>30</v>
      </c>
      <c r="B704" t="s">
        <v>43</v>
      </c>
      <c r="C704" t="s">
        <v>36</v>
      </c>
      <c r="D704" s="2">
        <v>231</v>
      </c>
      <c r="E704" t="s">
        <v>37</v>
      </c>
      <c r="F704" s="2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 s="2">
        <v>7264</v>
      </c>
      <c r="T704">
        <v>9977</v>
      </c>
      <c r="U704">
        <v>5</v>
      </c>
      <c r="V704" t="s">
        <v>42</v>
      </c>
      <c r="W704" t="s">
        <v>43</v>
      </c>
      <c r="X704" s="2">
        <v>11</v>
      </c>
      <c r="Y704">
        <v>3</v>
      </c>
      <c r="Z704">
        <v>1</v>
      </c>
      <c r="AA704">
        <v>80</v>
      </c>
      <c r="AB704">
        <v>1</v>
      </c>
      <c r="AC704" s="2">
        <v>10</v>
      </c>
      <c r="AD704">
        <v>2</v>
      </c>
      <c r="AE704">
        <v>4</v>
      </c>
      <c r="AF704" s="2">
        <v>8</v>
      </c>
      <c r="AG704">
        <v>4</v>
      </c>
      <c r="AH704">
        <v>7</v>
      </c>
      <c r="AI704">
        <v>7</v>
      </c>
      <c r="AJ704" s="2" t="str">
        <f>IF(A704 A704 &lt;= 25, "18-25", IF(A704 &lt;=35, "26-35", IF(A704 &lt;=45, "36-45", IF(Table3[[#This Row],[Age]] &lt;=55, "46-55", "56+"))))</f>
        <v>26-35</v>
      </c>
      <c r="AK704" t="str">
        <f t="shared" si="10"/>
        <v>Medium</v>
      </c>
      <c r="AL704" s="2" t="str">
        <f>IF(AF704 &lt; 3, "0-2 Years", IF(AF704 &lt;= 5, "3-5 Years", IF(AF704 &lt;= 10, "6-10 Years",IF(Table3[[#This Row],[Years At Company]]&lt;=20, "11-20 Years","20+ Years"))))</f>
        <v>6-10 Years</v>
      </c>
    </row>
    <row r="705" spans="1:38" x14ac:dyDescent="0.25">
      <c r="A705" s="2">
        <v>38</v>
      </c>
      <c r="B705" t="s">
        <v>43</v>
      </c>
      <c r="C705" t="s">
        <v>55</v>
      </c>
      <c r="D705" s="2">
        <v>152</v>
      </c>
      <c r="E705" t="s">
        <v>37</v>
      </c>
      <c r="F705" s="2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 s="2">
        <v>5666</v>
      </c>
      <c r="T705">
        <v>19899</v>
      </c>
      <c r="U705">
        <v>1</v>
      </c>
      <c r="V705" t="s">
        <v>42</v>
      </c>
      <c r="W705" t="s">
        <v>35</v>
      </c>
      <c r="X705" s="2">
        <v>13</v>
      </c>
      <c r="Y705">
        <v>3</v>
      </c>
      <c r="Z705">
        <v>2</v>
      </c>
      <c r="AA705">
        <v>80</v>
      </c>
      <c r="AB705">
        <v>0</v>
      </c>
      <c r="AC705" s="2">
        <v>6</v>
      </c>
      <c r="AD705">
        <v>1</v>
      </c>
      <c r="AE705">
        <v>3</v>
      </c>
      <c r="AF705" s="2">
        <v>5</v>
      </c>
      <c r="AG705">
        <v>3</v>
      </c>
      <c r="AH705">
        <v>1</v>
      </c>
      <c r="AI705">
        <v>3</v>
      </c>
      <c r="AJ705" s="2" t="str">
        <f>IF(A705 A705 &lt;= 25, "18-25", IF(A705 &lt;=35, "26-35", IF(A705 &lt;=45, "36-45", IF(Table3[[#This Row],[Age]] &lt;=55, "46-55", "56+"))))</f>
        <v>36-45</v>
      </c>
      <c r="AK705" t="str">
        <f t="shared" si="10"/>
        <v>Medium</v>
      </c>
      <c r="AL705" s="2" t="str">
        <f>IF(AF705 &lt; 3, "0-2 Years", IF(AF705 &lt;= 5, "3-5 Years", IF(AF705 &lt;= 10, "6-10 Years",IF(Table3[[#This Row],[Years At Company]]&lt;=20, "11-20 Years","20+ Years"))))</f>
        <v>3-5 Years</v>
      </c>
    </row>
    <row r="706" spans="1:38" x14ac:dyDescent="0.25">
      <c r="A706" s="2">
        <v>35</v>
      </c>
      <c r="B706" t="s">
        <v>43</v>
      </c>
      <c r="C706" t="s">
        <v>36</v>
      </c>
      <c r="D706" s="2">
        <v>882</v>
      </c>
      <c r="E706" t="s">
        <v>37</v>
      </c>
      <c r="F706" s="2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 s="2">
        <v>7823</v>
      </c>
      <c r="T706">
        <v>6812</v>
      </c>
      <c r="U706">
        <v>6</v>
      </c>
      <c r="V706" t="s">
        <v>42</v>
      </c>
      <c r="W706" t="s">
        <v>43</v>
      </c>
      <c r="X706" s="2">
        <v>13</v>
      </c>
      <c r="Y706">
        <v>3</v>
      </c>
      <c r="Z706">
        <v>2</v>
      </c>
      <c r="AA706">
        <v>80</v>
      </c>
      <c r="AB706">
        <v>1</v>
      </c>
      <c r="AC706" s="2">
        <v>12</v>
      </c>
      <c r="AD706">
        <v>2</v>
      </c>
      <c r="AE706">
        <v>3</v>
      </c>
      <c r="AF706" s="2">
        <v>10</v>
      </c>
      <c r="AG706">
        <v>9</v>
      </c>
      <c r="AH706">
        <v>0</v>
      </c>
      <c r="AI706">
        <v>8</v>
      </c>
      <c r="AJ706" s="2" t="str">
        <f>IF(A706 A706 &lt;= 25, "18-25", IF(A706 &lt;=35, "26-35", IF(A706 &lt;=45, "36-45", IF(Table3[[#This Row],[Age]] &lt;=55, "46-55", "56+"))))</f>
        <v>26-35</v>
      </c>
      <c r="AK706" t="str">
        <f t="shared" ref="AK706:AK769" si="11">IF(S706 &lt; 5000, "Low",IF(S706 &lt;=9999, "Medium", "High"))</f>
        <v>Medium</v>
      </c>
      <c r="AL706" s="2" t="str">
        <f>IF(AF706 &lt; 3, "0-2 Years", IF(AF706 &lt;= 5, "3-5 Years", IF(AF706 &lt;= 10, "6-10 Years",IF(Table3[[#This Row],[Years At Company]]&lt;=20, "11-20 Years","20+ Years"))))</f>
        <v>6-10 Years</v>
      </c>
    </row>
    <row r="707" spans="1:38" x14ac:dyDescent="0.25">
      <c r="A707" s="2">
        <v>39</v>
      </c>
      <c r="B707" t="s">
        <v>43</v>
      </c>
      <c r="C707" t="s">
        <v>36</v>
      </c>
      <c r="D707" s="2">
        <v>903</v>
      </c>
      <c r="E707" t="s">
        <v>37</v>
      </c>
      <c r="F707" s="2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 s="2">
        <v>7880</v>
      </c>
      <c r="T707">
        <v>2560</v>
      </c>
      <c r="U707">
        <v>0</v>
      </c>
      <c r="V707" t="s">
        <v>42</v>
      </c>
      <c r="W707" t="s">
        <v>43</v>
      </c>
      <c r="X707" s="2">
        <v>18</v>
      </c>
      <c r="Y707">
        <v>3</v>
      </c>
      <c r="Z707">
        <v>4</v>
      </c>
      <c r="AA707">
        <v>80</v>
      </c>
      <c r="AB707">
        <v>0</v>
      </c>
      <c r="AC707" s="2">
        <v>9</v>
      </c>
      <c r="AD707">
        <v>3</v>
      </c>
      <c r="AE707">
        <v>3</v>
      </c>
      <c r="AF707" s="2">
        <v>8</v>
      </c>
      <c r="AG707">
        <v>7</v>
      </c>
      <c r="AH707">
        <v>0</v>
      </c>
      <c r="AI707">
        <v>7</v>
      </c>
      <c r="AJ707" s="2" t="str">
        <f>IF(A707 A707 &lt;= 25, "18-25", IF(A707 &lt;=35, "26-35", IF(A707 &lt;=45, "36-45", IF(Table3[[#This Row],[Age]] &lt;=55, "46-55", "56+"))))</f>
        <v>36-45</v>
      </c>
      <c r="AK707" t="str">
        <f t="shared" si="11"/>
        <v>Medium</v>
      </c>
      <c r="AL707" s="2" t="str">
        <f>IF(AF707 &lt; 3, "0-2 Years", IF(AF707 &lt;= 5, "3-5 Years", IF(AF707 &lt;= 10, "6-10 Years",IF(Table3[[#This Row],[Years At Company]]&lt;=20, "11-20 Years","20+ Years"))))</f>
        <v>6-10 Years</v>
      </c>
    </row>
    <row r="708" spans="1:38" x14ac:dyDescent="0.25">
      <c r="A708" s="2">
        <v>40</v>
      </c>
      <c r="B708" t="s">
        <v>35</v>
      </c>
      <c r="C708" t="s">
        <v>55</v>
      </c>
      <c r="D708" s="2">
        <v>1479</v>
      </c>
      <c r="E708" t="s">
        <v>37</v>
      </c>
      <c r="F708" s="2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 s="2">
        <v>13194</v>
      </c>
      <c r="T708">
        <v>17071</v>
      </c>
      <c r="U708">
        <v>4</v>
      </c>
      <c r="V708" t="s">
        <v>42</v>
      </c>
      <c r="W708" t="s">
        <v>35</v>
      </c>
      <c r="X708" s="2">
        <v>16</v>
      </c>
      <c r="Y708">
        <v>3</v>
      </c>
      <c r="Z708">
        <v>4</v>
      </c>
      <c r="AA708">
        <v>80</v>
      </c>
      <c r="AB708">
        <v>0</v>
      </c>
      <c r="AC708" s="2">
        <v>22</v>
      </c>
      <c r="AD708">
        <v>2</v>
      </c>
      <c r="AE708">
        <v>2</v>
      </c>
      <c r="AF708" s="2">
        <v>1</v>
      </c>
      <c r="AG708">
        <v>0</v>
      </c>
      <c r="AH708">
        <v>0</v>
      </c>
      <c r="AI708">
        <v>0</v>
      </c>
      <c r="AJ708" s="2" t="str">
        <f>IF(A708 A708 &lt;= 25, "18-25", IF(A708 &lt;=35, "26-35", IF(A708 &lt;=45, "36-45", IF(Table3[[#This Row],[Age]] &lt;=55, "46-55", "56+"))))</f>
        <v>36-45</v>
      </c>
      <c r="AK708" t="str">
        <f t="shared" si="11"/>
        <v>High</v>
      </c>
      <c r="AL708" s="2" t="str">
        <f>IF(AF708 &lt; 3, "0-2 Years", IF(AF708 &lt;= 5, "3-5 Years", IF(AF708 &lt;= 10, "6-10 Years",IF(Table3[[#This Row],[Years At Company]]&lt;=20, "11-20 Years","20+ Years"))))</f>
        <v>0-2 Years</v>
      </c>
    </row>
    <row r="709" spans="1:38" x14ac:dyDescent="0.25">
      <c r="A709" s="2">
        <v>47</v>
      </c>
      <c r="B709" t="s">
        <v>43</v>
      </c>
      <c r="C709" t="s">
        <v>44</v>
      </c>
      <c r="D709" s="2">
        <v>1379</v>
      </c>
      <c r="E709" t="s">
        <v>45</v>
      </c>
      <c r="F709" s="2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 s="2">
        <v>5067</v>
      </c>
      <c r="T709">
        <v>6759</v>
      </c>
      <c r="U709">
        <v>1</v>
      </c>
      <c r="V709" t="s">
        <v>42</v>
      </c>
      <c r="W709" t="s">
        <v>35</v>
      </c>
      <c r="X709" s="2">
        <v>19</v>
      </c>
      <c r="Y709">
        <v>3</v>
      </c>
      <c r="Z709">
        <v>3</v>
      </c>
      <c r="AA709">
        <v>80</v>
      </c>
      <c r="AB709">
        <v>0</v>
      </c>
      <c r="AC709" s="2">
        <v>20</v>
      </c>
      <c r="AD709">
        <v>3</v>
      </c>
      <c r="AE709">
        <v>4</v>
      </c>
      <c r="AF709" s="2">
        <v>19</v>
      </c>
      <c r="AG709">
        <v>10</v>
      </c>
      <c r="AH709">
        <v>2</v>
      </c>
      <c r="AI709">
        <v>7</v>
      </c>
      <c r="AJ709" s="2" t="str">
        <f>IF(A709 A709 &lt;= 25, "18-25", IF(A709 &lt;=35, "26-35", IF(A709 &lt;=45, "36-45", IF(Table3[[#This Row],[Age]] &lt;=55, "46-55", "56+"))))</f>
        <v>46-55</v>
      </c>
      <c r="AK709" t="str">
        <f t="shared" si="11"/>
        <v>Medium</v>
      </c>
      <c r="AL709" s="2" t="str">
        <f>IF(AF709 &lt; 3, "0-2 Years", IF(AF709 &lt;= 5, "3-5 Years", IF(AF709 &lt;= 10, "6-10 Years",IF(Table3[[#This Row],[Years At Company]]&lt;=20, "11-20 Years","20+ Years"))))</f>
        <v>11-20 Years</v>
      </c>
    </row>
    <row r="710" spans="1:38" x14ac:dyDescent="0.25">
      <c r="A710" s="2">
        <v>36</v>
      </c>
      <c r="B710" t="s">
        <v>43</v>
      </c>
      <c r="C710" t="s">
        <v>55</v>
      </c>
      <c r="D710" s="2">
        <v>1229</v>
      </c>
      <c r="E710" t="s">
        <v>37</v>
      </c>
      <c r="F710" s="2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 s="2">
        <v>5079</v>
      </c>
      <c r="T710">
        <v>25952</v>
      </c>
      <c r="U710">
        <v>4</v>
      </c>
      <c r="V710" t="s">
        <v>42</v>
      </c>
      <c r="W710" t="s">
        <v>43</v>
      </c>
      <c r="X710" s="2">
        <v>13</v>
      </c>
      <c r="Y710">
        <v>3</v>
      </c>
      <c r="Z710">
        <v>4</v>
      </c>
      <c r="AA710">
        <v>80</v>
      </c>
      <c r="AB710">
        <v>2</v>
      </c>
      <c r="AC710" s="2">
        <v>12</v>
      </c>
      <c r="AD710">
        <v>3</v>
      </c>
      <c r="AE710">
        <v>3</v>
      </c>
      <c r="AF710" s="2">
        <v>7</v>
      </c>
      <c r="AG710">
        <v>7</v>
      </c>
      <c r="AH710">
        <v>0</v>
      </c>
      <c r="AI710">
        <v>7</v>
      </c>
      <c r="AJ710" s="2" t="str">
        <f>IF(A710 A710 &lt;= 25, "18-25", IF(A710 &lt;=35, "26-35", IF(A710 &lt;=45, "36-45", IF(Table3[[#This Row],[Age]] &lt;=55, "46-55", "56+"))))</f>
        <v>36-45</v>
      </c>
      <c r="AK710" t="str">
        <f t="shared" si="11"/>
        <v>Medium</v>
      </c>
      <c r="AL710" s="2" t="str">
        <f>IF(AF710 &lt; 3, "0-2 Years", IF(AF710 &lt;= 5, "3-5 Years", IF(AF710 &lt;= 10, "6-10 Years",IF(Table3[[#This Row],[Years At Company]]&lt;=20, "11-20 Years","20+ Years"))))</f>
        <v>6-10 Years</v>
      </c>
    </row>
    <row r="711" spans="1:38" x14ac:dyDescent="0.25">
      <c r="A711" s="2">
        <v>31</v>
      </c>
      <c r="B711" t="s">
        <v>35</v>
      </c>
      <c r="C711" t="s">
        <v>55</v>
      </c>
      <c r="D711" s="2">
        <v>335</v>
      </c>
      <c r="E711" t="s">
        <v>45</v>
      </c>
      <c r="F711" s="2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 s="2">
        <v>2321</v>
      </c>
      <c r="T711">
        <v>10322</v>
      </c>
      <c r="U711">
        <v>0</v>
      </c>
      <c r="V711" t="s">
        <v>42</v>
      </c>
      <c r="W711" t="s">
        <v>35</v>
      </c>
      <c r="X711" s="2">
        <v>22</v>
      </c>
      <c r="Y711">
        <v>4</v>
      </c>
      <c r="Z711">
        <v>1</v>
      </c>
      <c r="AA711">
        <v>80</v>
      </c>
      <c r="AB711">
        <v>0</v>
      </c>
      <c r="AC711" s="2">
        <v>4</v>
      </c>
      <c r="AD711">
        <v>0</v>
      </c>
      <c r="AE711">
        <v>3</v>
      </c>
      <c r="AF711" s="2">
        <v>3</v>
      </c>
      <c r="AG711">
        <v>2</v>
      </c>
      <c r="AH711">
        <v>1</v>
      </c>
      <c r="AI711">
        <v>2</v>
      </c>
      <c r="AJ711" s="2" t="str">
        <f>IF(A711 A711 &lt;= 25, "18-25", IF(A711 &lt;=35, "26-35", IF(A711 &lt;=45, "36-45", IF(Table3[[#This Row],[Age]] &lt;=55, "46-55", "56+"))))</f>
        <v>26-35</v>
      </c>
      <c r="AK711" t="str">
        <f t="shared" si="11"/>
        <v>Low</v>
      </c>
      <c r="AL711" s="2" t="str">
        <f>IF(AF711 &lt; 3, "0-2 Years", IF(AF711 &lt;= 5, "3-5 Years", IF(AF711 &lt;= 10, "6-10 Years",IF(Table3[[#This Row],[Years At Company]]&lt;=20, "11-20 Years","20+ Years"))))</f>
        <v>3-5 Years</v>
      </c>
    </row>
    <row r="712" spans="1:38" x14ac:dyDescent="0.25">
      <c r="A712" s="2">
        <v>33</v>
      </c>
      <c r="B712" t="s">
        <v>43</v>
      </c>
      <c r="C712" t="s">
        <v>55</v>
      </c>
      <c r="D712" s="2">
        <v>722</v>
      </c>
      <c r="E712" t="s">
        <v>37</v>
      </c>
      <c r="F712" s="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 s="2">
        <v>17444</v>
      </c>
      <c r="T712">
        <v>20489</v>
      </c>
      <c r="U712">
        <v>1</v>
      </c>
      <c r="V712" t="s">
        <v>42</v>
      </c>
      <c r="W712" t="s">
        <v>43</v>
      </c>
      <c r="X712" s="2">
        <v>11</v>
      </c>
      <c r="Y712">
        <v>3</v>
      </c>
      <c r="Z712">
        <v>4</v>
      </c>
      <c r="AA712">
        <v>80</v>
      </c>
      <c r="AB712">
        <v>0</v>
      </c>
      <c r="AC712" s="2">
        <v>10</v>
      </c>
      <c r="AD712">
        <v>2</v>
      </c>
      <c r="AE712">
        <v>3</v>
      </c>
      <c r="AF712" s="2">
        <v>10</v>
      </c>
      <c r="AG712">
        <v>8</v>
      </c>
      <c r="AH712">
        <v>6</v>
      </c>
      <c r="AI712">
        <v>0</v>
      </c>
      <c r="AJ712" s="2" t="str">
        <f>IF(A712 A712 &lt;= 25, "18-25", IF(A712 &lt;=35, "26-35", IF(A712 &lt;=45, "36-45", IF(Table3[[#This Row],[Age]] &lt;=55, "46-55", "56+"))))</f>
        <v>26-35</v>
      </c>
      <c r="AK712" t="str">
        <f t="shared" si="11"/>
        <v>High</v>
      </c>
      <c r="AL712" s="2" t="str">
        <f>IF(AF712 &lt; 3, "0-2 Years", IF(AF712 &lt;= 5, "3-5 Years", IF(AF712 &lt;= 10, "6-10 Years",IF(Table3[[#This Row],[Years At Company]]&lt;=20, "11-20 Years","20+ Years"))))</f>
        <v>6-10 Years</v>
      </c>
    </row>
    <row r="713" spans="1:38" x14ac:dyDescent="0.25">
      <c r="A713" s="2">
        <v>29</v>
      </c>
      <c r="B713" t="s">
        <v>35</v>
      </c>
      <c r="C713" t="s">
        <v>36</v>
      </c>
      <c r="D713" s="2">
        <v>906</v>
      </c>
      <c r="E713" t="s">
        <v>45</v>
      </c>
      <c r="F713" s="2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 s="2">
        <v>2404</v>
      </c>
      <c r="T713">
        <v>11479</v>
      </c>
      <c r="U713">
        <v>6</v>
      </c>
      <c r="V713" t="s">
        <v>42</v>
      </c>
      <c r="W713" t="s">
        <v>35</v>
      </c>
      <c r="X713" s="2">
        <v>20</v>
      </c>
      <c r="Y713">
        <v>4</v>
      </c>
      <c r="Z713">
        <v>3</v>
      </c>
      <c r="AA713">
        <v>80</v>
      </c>
      <c r="AB713">
        <v>0</v>
      </c>
      <c r="AC713" s="2">
        <v>3</v>
      </c>
      <c r="AD713">
        <v>5</v>
      </c>
      <c r="AE713">
        <v>3</v>
      </c>
      <c r="AF713" s="2">
        <v>0</v>
      </c>
      <c r="AG713">
        <v>0</v>
      </c>
      <c r="AH713">
        <v>0</v>
      </c>
      <c r="AI713">
        <v>0</v>
      </c>
      <c r="AJ713" s="2" t="str">
        <f>IF(A713 A713 &lt;= 25, "18-25", IF(A713 &lt;=35, "26-35", IF(A713 &lt;=45, "36-45", IF(Table3[[#This Row],[Age]] &lt;=55, "46-55", "56+"))))</f>
        <v>26-35</v>
      </c>
      <c r="AK713" t="str">
        <f t="shared" si="11"/>
        <v>Low</v>
      </c>
      <c r="AL713" s="2" t="str">
        <f>IF(AF713 &lt; 3, "0-2 Years", IF(AF713 &lt;= 5, "3-5 Years", IF(AF713 &lt;= 10, "6-10 Years",IF(Table3[[#This Row],[Years At Company]]&lt;=20, "11-20 Years","20+ Years"))))</f>
        <v>0-2 Years</v>
      </c>
    </row>
    <row r="714" spans="1:38" x14ac:dyDescent="0.25">
      <c r="A714" s="2">
        <v>33</v>
      </c>
      <c r="B714" t="s">
        <v>43</v>
      </c>
      <c r="C714" t="s">
        <v>36</v>
      </c>
      <c r="D714" s="2">
        <v>461</v>
      </c>
      <c r="E714" t="s">
        <v>45</v>
      </c>
      <c r="F714" s="2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 s="2">
        <v>3452</v>
      </c>
      <c r="T714">
        <v>17241</v>
      </c>
      <c r="U714">
        <v>3</v>
      </c>
      <c r="V714" t="s">
        <v>42</v>
      </c>
      <c r="W714" t="s">
        <v>43</v>
      </c>
      <c r="X714" s="2">
        <v>18</v>
      </c>
      <c r="Y714">
        <v>3</v>
      </c>
      <c r="Z714">
        <v>1</v>
      </c>
      <c r="AA714">
        <v>80</v>
      </c>
      <c r="AB714">
        <v>0</v>
      </c>
      <c r="AC714" s="2">
        <v>5</v>
      </c>
      <c r="AD714">
        <v>4</v>
      </c>
      <c r="AE714">
        <v>3</v>
      </c>
      <c r="AF714" s="2">
        <v>3</v>
      </c>
      <c r="AG714">
        <v>2</v>
      </c>
      <c r="AH714">
        <v>0</v>
      </c>
      <c r="AI714">
        <v>2</v>
      </c>
      <c r="AJ714" s="2" t="str">
        <f>IF(A714 A714 &lt;= 25, "18-25", IF(A714 &lt;=35, "26-35", IF(A714 &lt;=45, "36-45", IF(Table3[[#This Row],[Age]] &lt;=55, "46-55", "56+"))))</f>
        <v>26-35</v>
      </c>
      <c r="AK714" t="str">
        <f t="shared" si="11"/>
        <v>Low</v>
      </c>
      <c r="AL714" s="2" t="str">
        <f>IF(AF714 &lt; 3, "0-2 Years", IF(AF714 &lt;= 5, "3-5 Years", IF(AF714 &lt;= 10, "6-10 Years",IF(Table3[[#This Row],[Years At Company]]&lt;=20, "11-20 Years","20+ Years"))))</f>
        <v>3-5 Years</v>
      </c>
    </row>
    <row r="715" spans="1:38" x14ac:dyDescent="0.25">
      <c r="A715" s="2">
        <v>45</v>
      </c>
      <c r="B715" t="s">
        <v>43</v>
      </c>
      <c r="C715" t="s">
        <v>36</v>
      </c>
      <c r="D715" s="2">
        <v>974</v>
      </c>
      <c r="E715" t="s">
        <v>45</v>
      </c>
      <c r="F715" s="2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 s="2">
        <v>2270</v>
      </c>
      <c r="T715">
        <v>11005</v>
      </c>
      <c r="U715">
        <v>3</v>
      </c>
      <c r="V715" t="s">
        <v>42</v>
      </c>
      <c r="W715" t="s">
        <v>43</v>
      </c>
      <c r="X715" s="2">
        <v>14</v>
      </c>
      <c r="Y715">
        <v>3</v>
      </c>
      <c r="Z715">
        <v>4</v>
      </c>
      <c r="AA715">
        <v>80</v>
      </c>
      <c r="AB715">
        <v>2</v>
      </c>
      <c r="AC715" s="2">
        <v>8</v>
      </c>
      <c r="AD715">
        <v>2</v>
      </c>
      <c r="AE715">
        <v>3</v>
      </c>
      <c r="AF715" s="2">
        <v>5</v>
      </c>
      <c r="AG715">
        <v>3</v>
      </c>
      <c r="AH715">
        <v>0</v>
      </c>
      <c r="AI715">
        <v>2</v>
      </c>
      <c r="AJ715" s="2" t="str">
        <f>IF(A715 A715 &lt;= 25, "18-25", IF(A715 &lt;=35, "26-35", IF(A715 &lt;=45, "36-45", IF(Table3[[#This Row],[Age]] &lt;=55, "46-55", "56+"))))</f>
        <v>36-45</v>
      </c>
      <c r="AK715" t="str">
        <f t="shared" si="11"/>
        <v>Low</v>
      </c>
      <c r="AL715" s="2" t="str">
        <f>IF(AF715 &lt; 3, "0-2 Years", IF(AF715 &lt;= 5, "3-5 Years", IF(AF715 &lt;= 10, "6-10 Years",IF(Table3[[#This Row],[Years At Company]]&lt;=20, "11-20 Years","20+ Years"))))</f>
        <v>3-5 Years</v>
      </c>
    </row>
    <row r="716" spans="1:38" x14ac:dyDescent="0.25">
      <c r="A716" s="2">
        <v>50</v>
      </c>
      <c r="B716" t="s">
        <v>43</v>
      </c>
      <c r="C716" t="s">
        <v>36</v>
      </c>
      <c r="D716" s="2">
        <v>1126</v>
      </c>
      <c r="E716" t="s">
        <v>45</v>
      </c>
      <c r="F716" s="2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 s="2">
        <v>17399</v>
      </c>
      <c r="T716">
        <v>6615</v>
      </c>
      <c r="U716">
        <v>9</v>
      </c>
      <c r="V716" t="s">
        <v>42</v>
      </c>
      <c r="W716" t="s">
        <v>43</v>
      </c>
      <c r="X716" s="2">
        <v>22</v>
      </c>
      <c r="Y716">
        <v>4</v>
      </c>
      <c r="Z716">
        <v>3</v>
      </c>
      <c r="AA716">
        <v>80</v>
      </c>
      <c r="AB716">
        <v>1</v>
      </c>
      <c r="AC716" s="2">
        <v>32</v>
      </c>
      <c r="AD716">
        <v>1</v>
      </c>
      <c r="AE716">
        <v>2</v>
      </c>
      <c r="AF716" s="2">
        <v>5</v>
      </c>
      <c r="AG716">
        <v>4</v>
      </c>
      <c r="AH716">
        <v>1</v>
      </c>
      <c r="AI716">
        <v>3</v>
      </c>
      <c r="AJ716" s="2" t="str">
        <f>IF(A716 A716 &lt;= 25, "18-25", IF(A716 &lt;=35, "26-35", IF(A716 &lt;=45, "36-45", IF(Table3[[#This Row],[Age]] &lt;=55, "46-55", "56+"))))</f>
        <v>46-55</v>
      </c>
      <c r="AK716" t="str">
        <f t="shared" si="11"/>
        <v>High</v>
      </c>
      <c r="AL716" s="2" t="str">
        <f>IF(AF716 &lt; 3, "0-2 Years", IF(AF716 &lt;= 5, "3-5 Years", IF(AF716 &lt;= 10, "6-10 Years",IF(Table3[[#This Row],[Years At Company]]&lt;=20, "11-20 Years","20+ Years"))))</f>
        <v>3-5 Years</v>
      </c>
    </row>
    <row r="717" spans="1:38" x14ac:dyDescent="0.25">
      <c r="A717" s="2">
        <v>33</v>
      </c>
      <c r="B717" t="s">
        <v>43</v>
      </c>
      <c r="C717" t="s">
        <v>44</v>
      </c>
      <c r="D717" s="2">
        <v>827</v>
      </c>
      <c r="E717" t="s">
        <v>45</v>
      </c>
      <c r="F717" s="2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 s="2">
        <v>5488</v>
      </c>
      <c r="T717">
        <v>20161</v>
      </c>
      <c r="U717">
        <v>1</v>
      </c>
      <c r="V717" t="s">
        <v>42</v>
      </c>
      <c r="W717" t="s">
        <v>35</v>
      </c>
      <c r="X717" s="2">
        <v>13</v>
      </c>
      <c r="Y717">
        <v>3</v>
      </c>
      <c r="Z717">
        <v>1</v>
      </c>
      <c r="AA717">
        <v>80</v>
      </c>
      <c r="AB717">
        <v>1</v>
      </c>
      <c r="AC717" s="2">
        <v>6</v>
      </c>
      <c r="AD717">
        <v>2</v>
      </c>
      <c r="AE717">
        <v>3</v>
      </c>
      <c r="AF717" s="2">
        <v>6</v>
      </c>
      <c r="AG717">
        <v>5</v>
      </c>
      <c r="AH717">
        <v>1</v>
      </c>
      <c r="AI717">
        <v>2</v>
      </c>
      <c r="AJ717" s="2" t="str">
        <f>IF(A717 A717 &lt;= 25, "18-25", IF(A717 &lt;=35, "26-35", IF(A717 &lt;=45, "36-45", IF(Table3[[#This Row],[Age]] &lt;=55, "46-55", "56+"))))</f>
        <v>26-35</v>
      </c>
      <c r="AK717" t="str">
        <f t="shared" si="11"/>
        <v>Medium</v>
      </c>
      <c r="AL717" s="2" t="str">
        <f>IF(AF717 &lt; 3, "0-2 Years", IF(AF717 &lt;= 5, "3-5 Years", IF(AF717 &lt;= 10, "6-10 Years",IF(Table3[[#This Row],[Years At Company]]&lt;=20, "11-20 Years","20+ Years"))))</f>
        <v>6-10 Years</v>
      </c>
    </row>
    <row r="718" spans="1:38" x14ac:dyDescent="0.25">
      <c r="A718" s="2">
        <v>41</v>
      </c>
      <c r="B718" t="s">
        <v>43</v>
      </c>
      <c r="C718" t="s">
        <v>44</v>
      </c>
      <c r="D718" s="2">
        <v>840</v>
      </c>
      <c r="E718" t="s">
        <v>45</v>
      </c>
      <c r="F718" s="2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 s="2">
        <v>19419</v>
      </c>
      <c r="T718">
        <v>3735</v>
      </c>
      <c r="U718">
        <v>2</v>
      </c>
      <c r="V718" t="s">
        <v>42</v>
      </c>
      <c r="W718" t="s">
        <v>43</v>
      </c>
      <c r="X718" s="2">
        <v>17</v>
      </c>
      <c r="Y718">
        <v>3</v>
      </c>
      <c r="Z718">
        <v>2</v>
      </c>
      <c r="AA718">
        <v>80</v>
      </c>
      <c r="AB718">
        <v>1</v>
      </c>
      <c r="AC718" s="2">
        <v>21</v>
      </c>
      <c r="AD718">
        <v>2</v>
      </c>
      <c r="AE718">
        <v>4</v>
      </c>
      <c r="AF718" s="2">
        <v>18</v>
      </c>
      <c r="AG718">
        <v>16</v>
      </c>
      <c r="AH718">
        <v>0</v>
      </c>
      <c r="AI718">
        <v>11</v>
      </c>
      <c r="AJ718" s="2" t="str">
        <f>IF(A718 A718 &lt;= 25, "18-25", IF(A718 &lt;=35, "26-35", IF(A718 &lt;=45, "36-45", IF(Table3[[#This Row],[Age]] &lt;=55, "46-55", "56+"))))</f>
        <v>36-45</v>
      </c>
      <c r="AK718" t="str">
        <f t="shared" si="11"/>
        <v>High</v>
      </c>
      <c r="AL718" s="2" t="str">
        <f>IF(AF718 &lt; 3, "0-2 Years", IF(AF718 &lt;= 5, "3-5 Years", IF(AF718 &lt;= 10, "6-10 Years",IF(Table3[[#This Row],[Years At Company]]&lt;=20, "11-20 Years","20+ Years"))))</f>
        <v>11-20 Years</v>
      </c>
    </row>
    <row r="719" spans="1:38" x14ac:dyDescent="0.25">
      <c r="A719" s="2">
        <v>27</v>
      </c>
      <c r="B719" t="s">
        <v>43</v>
      </c>
      <c r="C719" t="s">
        <v>36</v>
      </c>
      <c r="D719" s="2">
        <v>1134</v>
      </c>
      <c r="E719" t="s">
        <v>45</v>
      </c>
      <c r="F719" s="2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 s="2">
        <v>2811</v>
      </c>
      <c r="T719">
        <v>12086</v>
      </c>
      <c r="U719">
        <v>9</v>
      </c>
      <c r="V719" t="s">
        <v>42</v>
      </c>
      <c r="W719" t="s">
        <v>43</v>
      </c>
      <c r="X719" s="2">
        <v>14</v>
      </c>
      <c r="Y719">
        <v>3</v>
      </c>
      <c r="Z719">
        <v>2</v>
      </c>
      <c r="AA719">
        <v>80</v>
      </c>
      <c r="AB719">
        <v>1</v>
      </c>
      <c r="AC719" s="2">
        <v>4</v>
      </c>
      <c r="AD719">
        <v>2</v>
      </c>
      <c r="AE719">
        <v>3</v>
      </c>
      <c r="AF719" s="2">
        <v>2</v>
      </c>
      <c r="AG719">
        <v>2</v>
      </c>
      <c r="AH719">
        <v>2</v>
      </c>
      <c r="AI719">
        <v>2</v>
      </c>
      <c r="AJ719" s="2" t="str">
        <f>IF(A719 A719 &lt;= 25, "18-25", IF(A719 &lt;=35, "26-35", IF(A719 &lt;=45, "36-45", IF(Table3[[#This Row],[Age]] &lt;=55, "46-55", "56+"))))</f>
        <v>26-35</v>
      </c>
      <c r="AK719" t="str">
        <f t="shared" si="11"/>
        <v>Low</v>
      </c>
      <c r="AL719" s="2" t="str">
        <f>IF(AF719 &lt; 3, "0-2 Years", IF(AF719 &lt;= 5, "3-5 Years", IF(AF719 &lt;= 10, "6-10 Years",IF(Table3[[#This Row],[Years At Company]]&lt;=20, "11-20 Years","20+ Years"))))</f>
        <v>0-2 Years</v>
      </c>
    </row>
    <row r="720" spans="1:38" x14ac:dyDescent="0.25">
      <c r="A720" s="2">
        <v>45</v>
      </c>
      <c r="B720" t="s">
        <v>43</v>
      </c>
      <c r="C720" t="s">
        <v>55</v>
      </c>
      <c r="D720" s="2">
        <v>248</v>
      </c>
      <c r="E720" t="s">
        <v>45</v>
      </c>
      <c r="F720" s="2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 s="2">
        <v>3633</v>
      </c>
      <c r="T720">
        <v>14039</v>
      </c>
      <c r="U720">
        <v>1</v>
      </c>
      <c r="V720" t="s">
        <v>42</v>
      </c>
      <c r="W720" t="s">
        <v>35</v>
      </c>
      <c r="X720" s="2">
        <v>15</v>
      </c>
      <c r="Y720">
        <v>3</v>
      </c>
      <c r="Z720">
        <v>3</v>
      </c>
      <c r="AA720">
        <v>80</v>
      </c>
      <c r="AB720">
        <v>1</v>
      </c>
      <c r="AC720" s="2">
        <v>9</v>
      </c>
      <c r="AD720">
        <v>2</v>
      </c>
      <c r="AE720">
        <v>3</v>
      </c>
      <c r="AF720" s="2">
        <v>9</v>
      </c>
      <c r="AG720">
        <v>8</v>
      </c>
      <c r="AH720">
        <v>0</v>
      </c>
      <c r="AI720">
        <v>8</v>
      </c>
      <c r="AJ720" s="2" t="str">
        <f>IF(A720 A720 &lt;= 25, "18-25", IF(A720 &lt;=35, "26-35", IF(A720 &lt;=45, "36-45", IF(Table3[[#This Row],[Age]] &lt;=55, "46-55", "56+"))))</f>
        <v>36-45</v>
      </c>
      <c r="AK720" t="str">
        <f t="shared" si="11"/>
        <v>Low</v>
      </c>
      <c r="AL720" s="2" t="str">
        <f>IF(AF720 &lt; 3, "0-2 Years", IF(AF720 &lt;= 5, "3-5 Years", IF(AF720 &lt;= 10, "6-10 Years",IF(Table3[[#This Row],[Years At Company]]&lt;=20, "11-20 Years","20+ Years"))))</f>
        <v>6-10 Years</v>
      </c>
    </row>
    <row r="721" spans="1:38" x14ac:dyDescent="0.25">
      <c r="A721" s="2">
        <v>47</v>
      </c>
      <c r="B721" t="s">
        <v>43</v>
      </c>
      <c r="C721" t="s">
        <v>36</v>
      </c>
      <c r="D721" s="2">
        <v>955</v>
      </c>
      <c r="E721" t="s">
        <v>37</v>
      </c>
      <c r="F721" s="2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 s="2">
        <v>4163</v>
      </c>
      <c r="T721">
        <v>8571</v>
      </c>
      <c r="U721">
        <v>1</v>
      </c>
      <c r="V721" t="s">
        <v>42</v>
      </c>
      <c r="W721" t="s">
        <v>35</v>
      </c>
      <c r="X721" s="2">
        <v>17</v>
      </c>
      <c r="Y721">
        <v>3</v>
      </c>
      <c r="Z721">
        <v>3</v>
      </c>
      <c r="AA721">
        <v>80</v>
      </c>
      <c r="AB721">
        <v>0</v>
      </c>
      <c r="AC721" s="2">
        <v>9</v>
      </c>
      <c r="AD721">
        <v>0</v>
      </c>
      <c r="AE721">
        <v>3</v>
      </c>
      <c r="AF721" s="2">
        <v>9</v>
      </c>
      <c r="AG721">
        <v>0</v>
      </c>
      <c r="AH721">
        <v>0</v>
      </c>
      <c r="AI721">
        <v>7</v>
      </c>
      <c r="AJ721" s="2" t="str">
        <f>IF(A721 A721 &lt;= 25, "18-25", IF(A721 &lt;=35, "26-35", IF(A721 &lt;=45, "36-45", IF(Table3[[#This Row],[Age]] &lt;=55, "46-55", "56+"))))</f>
        <v>46-55</v>
      </c>
      <c r="AK721" t="str">
        <f t="shared" si="11"/>
        <v>Low</v>
      </c>
      <c r="AL721" s="2" t="str">
        <f>IF(AF721 &lt; 3, "0-2 Years", IF(AF721 &lt;= 5, "3-5 Years", IF(AF721 &lt;= 10, "6-10 Years",IF(Table3[[#This Row],[Years At Company]]&lt;=20, "11-20 Years","20+ Years"))))</f>
        <v>6-10 Years</v>
      </c>
    </row>
    <row r="722" spans="1:38" x14ac:dyDescent="0.25">
      <c r="A722" s="2">
        <v>30</v>
      </c>
      <c r="B722" t="s">
        <v>35</v>
      </c>
      <c r="C722" t="s">
        <v>36</v>
      </c>
      <c r="D722" s="2">
        <v>138</v>
      </c>
      <c r="E722" t="s">
        <v>45</v>
      </c>
      <c r="F722" s="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 s="2">
        <v>2132</v>
      </c>
      <c r="T722">
        <v>11539</v>
      </c>
      <c r="U722">
        <v>4</v>
      </c>
      <c r="V722" t="s">
        <v>42</v>
      </c>
      <c r="W722" t="s">
        <v>35</v>
      </c>
      <c r="X722" s="2">
        <v>11</v>
      </c>
      <c r="Y722">
        <v>3</v>
      </c>
      <c r="Z722">
        <v>2</v>
      </c>
      <c r="AA722">
        <v>80</v>
      </c>
      <c r="AB722">
        <v>0</v>
      </c>
      <c r="AC722" s="2">
        <v>7</v>
      </c>
      <c r="AD722">
        <v>2</v>
      </c>
      <c r="AE722">
        <v>3</v>
      </c>
      <c r="AF722" s="2">
        <v>5</v>
      </c>
      <c r="AG722">
        <v>2</v>
      </c>
      <c r="AH722">
        <v>0</v>
      </c>
      <c r="AI722">
        <v>1</v>
      </c>
      <c r="AJ722" s="2" t="str">
        <f>IF(A722 A722 &lt;= 25, "18-25", IF(A722 &lt;=35, "26-35", IF(A722 &lt;=45, "36-45", IF(Table3[[#This Row],[Age]] &lt;=55, "46-55", "56+"))))</f>
        <v>26-35</v>
      </c>
      <c r="AK722" t="str">
        <f t="shared" si="11"/>
        <v>Low</v>
      </c>
      <c r="AL722" s="2" t="str">
        <f>IF(AF722 &lt; 3, "0-2 Years", IF(AF722 &lt;= 5, "3-5 Years", IF(AF722 &lt;= 10, "6-10 Years",IF(Table3[[#This Row],[Years At Company]]&lt;=20, "11-20 Years","20+ Years"))))</f>
        <v>3-5 Years</v>
      </c>
    </row>
    <row r="723" spans="1:38" x14ac:dyDescent="0.25">
      <c r="A723" s="2">
        <v>50</v>
      </c>
      <c r="B723" t="s">
        <v>43</v>
      </c>
      <c r="C723" t="s">
        <v>36</v>
      </c>
      <c r="D723" s="2">
        <v>939</v>
      </c>
      <c r="E723" t="s">
        <v>45</v>
      </c>
      <c r="F723" s="2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 s="2">
        <v>13973</v>
      </c>
      <c r="T723">
        <v>4161</v>
      </c>
      <c r="U723">
        <v>3</v>
      </c>
      <c r="V723" t="s">
        <v>42</v>
      </c>
      <c r="W723" t="s">
        <v>35</v>
      </c>
      <c r="X723" s="2">
        <v>18</v>
      </c>
      <c r="Y723">
        <v>3</v>
      </c>
      <c r="Z723">
        <v>4</v>
      </c>
      <c r="AA723">
        <v>80</v>
      </c>
      <c r="AB723">
        <v>1</v>
      </c>
      <c r="AC723" s="2">
        <v>22</v>
      </c>
      <c r="AD723">
        <v>2</v>
      </c>
      <c r="AE723">
        <v>3</v>
      </c>
      <c r="AF723" s="2">
        <v>12</v>
      </c>
      <c r="AG723">
        <v>11</v>
      </c>
      <c r="AH723">
        <v>1</v>
      </c>
      <c r="AI723">
        <v>5</v>
      </c>
      <c r="AJ723" s="2" t="str">
        <f>IF(A723 A723 &lt;= 25, "18-25", IF(A723 &lt;=35, "26-35", IF(A723 &lt;=45, "36-45", IF(Table3[[#This Row],[Age]] &lt;=55, "46-55", "56+"))))</f>
        <v>46-55</v>
      </c>
      <c r="AK723" t="str">
        <f t="shared" si="11"/>
        <v>High</v>
      </c>
      <c r="AL723" s="2" t="str">
        <f>IF(AF723 &lt; 3, "0-2 Years", IF(AF723 &lt;= 5, "3-5 Years", IF(AF723 &lt;= 10, "6-10 Years",IF(Table3[[#This Row],[Years At Company]]&lt;=20, "11-20 Years","20+ Years"))))</f>
        <v>11-20 Years</v>
      </c>
    </row>
    <row r="724" spans="1:38" x14ac:dyDescent="0.25">
      <c r="A724" s="2">
        <v>38</v>
      </c>
      <c r="B724" t="s">
        <v>43</v>
      </c>
      <c r="C724" t="s">
        <v>44</v>
      </c>
      <c r="D724" s="2">
        <v>1391</v>
      </c>
      <c r="E724" t="s">
        <v>45</v>
      </c>
      <c r="F724" s="2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 s="2">
        <v>2684</v>
      </c>
      <c r="T724">
        <v>12127</v>
      </c>
      <c r="U724">
        <v>0</v>
      </c>
      <c r="V724" t="s">
        <v>42</v>
      </c>
      <c r="W724" t="s">
        <v>43</v>
      </c>
      <c r="X724" s="2">
        <v>17</v>
      </c>
      <c r="Y724">
        <v>3</v>
      </c>
      <c r="Z724">
        <v>2</v>
      </c>
      <c r="AA724">
        <v>80</v>
      </c>
      <c r="AB724">
        <v>1</v>
      </c>
      <c r="AC724" s="2">
        <v>3</v>
      </c>
      <c r="AD724">
        <v>0</v>
      </c>
      <c r="AE724">
        <v>2</v>
      </c>
      <c r="AF724" s="2">
        <v>2</v>
      </c>
      <c r="AG724">
        <v>1</v>
      </c>
      <c r="AH724">
        <v>0</v>
      </c>
      <c r="AI724">
        <v>2</v>
      </c>
      <c r="AJ724" s="2" t="str">
        <f>IF(A724 A724 &lt;= 25, "18-25", IF(A724 &lt;=35, "26-35", IF(A724 &lt;=45, "36-45", IF(Table3[[#This Row],[Age]] &lt;=55, "46-55", "56+"))))</f>
        <v>36-45</v>
      </c>
      <c r="AK724" t="str">
        <f t="shared" si="11"/>
        <v>Low</v>
      </c>
      <c r="AL724" s="2" t="str">
        <f>IF(AF724 &lt; 3, "0-2 Years", IF(AF724 &lt;= 5, "3-5 Years", IF(AF724 &lt;= 10, "6-10 Years",IF(Table3[[#This Row],[Years At Company]]&lt;=20, "11-20 Years","20+ Years"))))</f>
        <v>0-2 Years</v>
      </c>
    </row>
    <row r="725" spans="1:38" x14ac:dyDescent="0.25">
      <c r="A725" s="2">
        <v>46</v>
      </c>
      <c r="B725" t="s">
        <v>43</v>
      </c>
      <c r="C725" t="s">
        <v>36</v>
      </c>
      <c r="D725" s="2">
        <v>566</v>
      </c>
      <c r="E725" t="s">
        <v>45</v>
      </c>
      <c r="F725" s="2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 s="2">
        <v>10845</v>
      </c>
      <c r="T725">
        <v>24208</v>
      </c>
      <c r="U725">
        <v>6</v>
      </c>
      <c r="V725" t="s">
        <v>42</v>
      </c>
      <c r="W725" t="s">
        <v>43</v>
      </c>
      <c r="X725" s="2">
        <v>13</v>
      </c>
      <c r="Y725">
        <v>3</v>
      </c>
      <c r="Z725">
        <v>2</v>
      </c>
      <c r="AA725">
        <v>80</v>
      </c>
      <c r="AB725">
        <v>1</v>
      </c>
      <c r="AC725" s="2">
        <v>13</v>
      </c>
      <c r="AD725">
        <v>3</v>
      </c>
      <c r="AE725">
        <v>3</v>
      </c>
      <c r="AF725" s="2">
        <v>8</v>
      </c>
      <c r="AG725">
        <v>7</v>
      </c>
      <c r="AH725">
        <v>0</v>
      </c>
      <c r="AI725">
        <v>7</v>
      </c>
      <c r="AJ725" s="2" t="str">
        <f>IF(A725 A725 &lt;= 25, "18-25", IF(A725 &lt;=35, "26-35", IF(A725 &lt;=45, "36-45", IF(Table3[[#This Row],[Age]] &lt;=55, "46-55", "56+"))))</f>
        <v>46-55</v>
      </c>
      <c r="AK725" t="str">
        <f t="shared" si="11"/>
        <v>High</v>
      </c>
      <c r="AL725" s="2" t="str">
        <f>IF(AF725 &lt; 3, "0-2 Years", IF(AF725 &lt;= 5, "3-5 Years", IF(AF725 &lt;= 10, "6-10 Years",IF(Table3[[#This Row],[Years At Company]]&lt;=20, "11-20 Years","20+ Years"))))</f>
        <v>6-10 Years</v>
      </c>
    </row>
    <row r="726" spans="1:38" x14ac:dyDescent="0.25">
      <c r="A726" s="2">
        <v>24</v>
      </c>
      <c r="B726" t="s">
        <v>43</v>
      </c>
      <c r="C726" t="s">
        <v>36</v>
      </c>
      <c r="D726" s="2">
        <v>1206</v>
      </c>
      <c r="E726" t="s">
        <v>45</v>
      </c>
      <c r="F726" s="2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 s="2">
        <v>4377</v>
      </c>
      <c r="T726">
        <v>24117</v>
      </c>
      <c r="U726">
        <v>1</v>
      </c>
      <c r="V726" t="s">
        <v>42</v>
      </c>
      <c r="W726" t="s">
        <v>43</v>
      </c>
      <c r="X726" s="2">
        <v>15</v>
      </c>
      <c r="Y726">
        <v>3</v>
      </c>
      <c r="Z726">
        <v>2</v>
      </c>
      <c r="AA726">
        <v>80</v>
      </c>
      <c r="AB726">
        <v>2</v>
      </c>
      <c r="AC726" s="2">
        <v>5</v>
      </c>
      <c r="AD726">
        <v>6</v>
      </c>
      <c r="AE726">
        <v>3</v>
      </c>
      <c r="AF726" s="2">
        <v>4</v>
      </c>
      <c r="AG726">
        <v>2</v>
      </c>
      <c r="AH726">
        <v>3</v>
      </c>
      <c r="AI726">
        <v>2</v>
      </c>
      <c r="AJ726" s="2" t="str">
        <f>IF(A726 A726 &lt;= 25, "18-25", IF(A726 &lt;=35, "26-35", IF(A726 &lt;=45, "36-45", IF(Table3[[#This Row],[Age]] &lt;=55, "46-55", "56+"))))</f>
        <v>18-25</v>
      </c>
      <c r="AK726" t="str">
        <f t="shared" si="11"/>
        <v>Low</v>
      </c>
      <c r="AL726" s="2" t="str">
        <f>IF(AF726 &lt; 3, "0-2 Years", IF(AF726 &lt;= 5, "3-5 Years", IF(AF726 &lt;= 10, "6-10 Years",IF(Table3[[#This Row],[Years At Company]]&lt;=20, "11-20 Years","20+ Years"))))</f>
        <v>3-5 Years</v>
      </c>
    </row>
    <row r="727" spans="1:38" x14ac:dyDescent="0.25">
      <c r="A727" s="2">
        <v>35</v>
      </c>
      <c r="B727" t="s">
        <v>35</v>
      </c>
      <c r="C727" t="s">
        <v>36</v>
      </c>
      <c r="D727" s="2">
        <v>622</v>
      </c>
      <c r="E727" t="s">
        <v>45</v>
      </c>
      <c r="F727" s="2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 s="2">
        <v>3743</v>
      </c>
      <c r="T727">
        <v>10074</v>
      </c>
      <c r="U727">
        <v>1</v>
      </c>
      <c r="V727" t="s">
        <v>42</v>
      </c>
      <c r="W727" t="s">
        <v>35</v>
      </c>
      <c r="X727" s="2">
        <v>24</v>
      </c>
      <c r="Y727">
        <v>4</v>
      </c>
      <c r="Z727">
        <v>4</v>
      </c>
      <c r="AA727">
        <v>80</v>
      </c>
      <c r="AB727">
        <v>1</v>
      </c>
      <c r="AC727" s="2">
        <v>5</v>
      </c>
      <c r="AD727">
        <v>2</v>
      </c>
      <c r="AE727">
        <v>1</v>
      </c>
      <c r="AF727" s="2">
        <v>4</v>
      </c>
      <c r="AG727">
        <v>2</v>
      </c>
      <c r="AH727">
        <v>0</v>
      </c>
      <c r="AI727">
        <v>2</v>
      </c>
      <c r="AJ727" s="2" t="str">
        <f>IF(A727 A727 &lt;= 25, "18-25", IF(A727 &lt;=35, "26-35", IF(A727 &lt;=45, "36-45", IF(Table3[[#This Row],[Age]] &lt;=55, "46-55", "56+"))))</f>
        <v>26-35</v>
      </c>
      <c r="AK727" t="str">
        <f t="shared" si="11"/>
        <v>Low</v>
      </c>
      <c r="AL727" s="2" t="str">
        <f>IF(AF727 &lt; 3, "0-2 Years", IF(AF727 &lt;= 5, "3-5 Years", IF(AF727 &lt;= 10, "6-10 Years",IF(Table3[[#This Row],[Years At Company]]&lt;=20, "11-20 Years","20+ Years"))))</f>
        <v>3-5 Years</v>
      </c>
    </row>
    <row r="728" spans="1:38" x14ac:dyDescent="0.25">
      <c r="A728" s="2">
        <v>31</v>
      </c>
      <c r="B728" t="s">
        <v>43</v>
      </c>
      <c r="C728" t="s">
        <v>44</v>
      </c>
      <c r="D728" s="2">
        <v>853</v>
      </c>
      <c r="E728" t="s">
        <v>45</v>
      </c>
      <c r="F728" s="2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 s="2">
        <v>4148</v>
      </c>
      <c r="T728">
        <v>11275</v>
      </c>
      <c r="U728">
        <v>1</v>
      </c>
      <c r="V728" t="s">
        <v>42</v>
      </c>
      <c r="W728" t="s">
        <v>43</v>
      </c>
      <c r="X728" s="2">
        <v>12</v>
      </c>
      <c r="Y728">
        <v>3</v>
      </c>
      <c r="Z728">
        <v>3</v>
      </c>
      <c r="AA728">
        <v>80</v>
      </c>
      <c r="AB728">
        <v>1</v>
      </c>
      <c r="AC728" s="2">
        <v>4</v>
      </c>
      <c r="AD728">
        <v>1</v>
      </c>
      <c r="AE728">
        <v>3</v>
      </c>
      <c r="AF728" s="2">
        <v>4</v>
      </c>
      <c r="AG728">
        <v>3</v>
      </c>
      <c r="AH728">
        <v>0</v>
      </c>
      <c r="AI728">
        <v>3</v>
      </c>
      <c r="AJ728" s="2" t="str">
        <f>IF(A728 A728 &lt;= 25, "18-25", IF(A728 &lt;=35, "26-35", IF(A728 &lt;=45, "36-45", IF(Table3[[#This Row],[Age]] &lt;=55, "46-55", "56+"))))</f>
        <v>26-35</v>
      </c>
      <c r="AK728" t="str">
        <f t="shared" si="11"/>
        <v>Low</v>
      </c>
      <c r="AL728" s="2" t="str">
        <f>IF(AF728 &lt; 3, "0-2 Years", IF(AF728 &lt;= 5, "3-5 Years", IF(AF728 &lt;= 10, "6-10 Years",IF(Table3[[#This Row],[Years At Company]]&lt;=20, "11-20 Years","20+ Years"))))</f>
        <v>3-5 Years</v>
      </c>
    </row>
    <row r="729" spans="1:38" x14ac:dyDescent="0.25">
      <c r="A729" s="2">
        <v>18</v>
      </c>
      <c r="B729" t="s">
        <v>43</v>
      </c>
      <c r="C729" t="s">
        <v>55</v>
      </c>
      <c r="D729" s="2">
        <v>287</v>
      </c>
      <c r="E729" t="s">
        <v>45</v>
      </c>
      <c r="F729" s="2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 s="2">
        <v>1051</v>
      </c>
      <c r="T729">
        <v>13493</v>
      </c>
      <c r="U729">
        <v>1</v>
      </c>
      <c r="V729" t="s">
        <v>42</v>
      </c>
      <c r="W729" t="s">
        <v>43</v>
      </c>
      <c r="X729" s="2">
        <v>15</v>
      </c>
      <c r="Y729">
        <v>3</v>
      </c>
      <c r="Z729">
        <v>4</v>
      </c>
      <c r="AA729">
        <v>80</v>
      </c>
      <c r="AB729">
        <v>0</v>
      </c>
      <c r="AC729" s="2">
        <v>0</v>
      </c>
      <c r="AD729">
        <v>2</v>
      </c>
      <c r="AE729">
        <v>3</v>
      </c>
      <c r="AF729" s="2">
        <v>0</v>
      </c>
      <c r="AG729">
        <v>0</v>
      </c>
      <c r="AH729">
        <v>0</v>
      </c>
      <c r="AI729">
        <v>0</v>
      </c>
      <c r="AJ729" s="2" t="str">
        <f>IF(A729 A729 &lt;= 25, "18-25", IF(A729 &lt;=35, "26-35", IF(A729 &lt;=45, "36-45", IF(Table3[[#This Row],[Age]] &lt;=55, "46-55", "56+"))))</f>
        <v>18-25</v>
      </c>
      <c r="AK729" t="str">
        <f t="shared" si="11"/>
        <v>Low</v>
      </c>
      <c r="AL729" s="2" t="str">
        <f>IF(AF729 &lt; 3, "0-2 Years", IF(AF729 &lt;= 5, "3-5 Years", IF(AF729 &lt;= 10, "6-10 Years",IF(Table3[[#This Row],[Years At Company]]&lt;=20, "11-20 Years","20+ Years"))))</f>
        <v>0-2 Years</v>
      </c>
    </row>
    <row r="730" spans="1:38" x14ac:dyDescent="0.25">
      <c r="A730" s="2">
        <v>54</v>
      </c>
      <c r="B730" t="s">
        <v>43</v>
      </c>
      <c r="C730" t="s">
        <v>36</v>
      </c>
      <c r="D730" s="2">
        <v>1441</v>
      </c>
      <c r="E730" t="s">
        <v>45</v>
      </c>
      <c r="F730" s="2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 s="2">
        <v>10739</v>
      </c>
      <c r="T730">
        <v>13943</v>
      </c>
      <c r="U730">
        <v>8</v>
      </c>
      <c r="V730" t="s">
        <v>42</v>
      </c>
      <c r="W730" t="s">
        <v>43</v>
      </c>
      <c r="X730" s="2">
        <v>11</v>
      </c>
      <c r="Y730">
        <v>3</v>
      </c>
      <c r="Z730">
        <v>3</v>
      </c>
      <c r="AA730">
        <v>80</v>
      </c>
      <c r="AB730">
        <v>1</v>
      </c>
      <c r="AC730" s="2">
        <v>22</v>
      </c>
      <c r="AD730">
        <v>2</v>
      </c>
      <c r="AE730">
        <v>3</v>
      </c>
      <c r="AF730" s="2">
        <v>10</v>
      </c>
      <c r="AG730">
        <v>7</v>
      </c>
      <c r="AH730">
        <v>0</v>
      </c>
      <c r="AI730">
        <v>8</v>
      </c>
      <c r="AJ730" s="2" t="str">
        <f>IF(A730 A730 &lt;= 25, "18-25", IF(A730 &lt;=35, "26-35", IF(A730 &lt;=45, "36-45", IF(Table3[[#This Row],[Age]] &lt;=55, "46-55", "56+"))))</f>
        <v>46-55</v>
      </c>
      <c r="AK730" t="str">
        <f t="shared" si="11"/>
        <v>High</v>
      </c>
      <c r="AL730" s="2" t="str">
        <f>IF(AF730 &lt; 3, "0-2 Years", IF(AF730 &lt;= 5, "3-5 Years", IF(AF730 &lt;= 10, "6-10 Years",IF(Table3[[#This Row],[Years At Company]]&lt;=20, "11-20 Years","20+ Years"))))</f>
        <v>6-10 Years</v>
      </c>
    </row>
    <row r="731" spans="1:38" x14ac:dyDescent="0.25">
      <c r="A731" s="2">
        <v>35</v>
      </c>
      <c r="B731" t="s">
        <v>43</v>
      </c>
      <c r="C731" t="s">
        <v>36</v>
      </c>
      <c r="D731" s="2">
        <v>583</v>
      </c>
      <c r="E731" t="s">
        <v>45</v>
      </c>
      <c r="F731" s="2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 s="2">
        <v>10388</v>
      </c>
      <c r="T731">
        <v>6975</v>
      </c>
      <c r="U731">
        <v>1</v>
      </c>
      <c r="V731" t="s">
        <v>42</v>
      </c>
      <c r="W731" t="s">
        <v>35</v>
      </c>
      <c r="X731" s="2">
        <v>11</v>
      </c>
      <c r="Y731">
        <v>3</v>
      </c>
      <c r="Z731">
        <v>3</v>
      </c>
      <c r="AA731">
        <v>80</v>
      </c>
      <c r="AB731">
        <v>1</v>
      </c>
      <c r="AC731" s="2">
        <v>16</v>
      </c>
      <c r="AD731">
        <v>3</v>
      </c>
      <c r="AE731">
        <v>2</v>
      </c>
      <c r="AF731" s="2">
        <v>16</v>
      </c>
      <c r="AG731">
        <v>10</v>
      </c>
      <c r="AH731">
        <v>10</v>
      </c>
      <c r="AI731">
        <v>1</v>
      </c>
      <c r="AJ731" s="2" t="str">
        <f>IF(A731 A731 &lt;= 25, "18-25", IF(A731 &lt;=35, "26-35", IF(A731 &lt;=45, "36-45", IF(Table3[[#This Row],[Age]] &lt;=55, "46-55", "56+"))))</f>
        <v>26-35</v>
      </c>
      <c r="AK731" t="str">
        <f t="shared" si="11"/>
        <v>High</v>
      </c>
      <c r="AL731" s="2" t="str">
        <f>IF(AF731 &lt; 3, "0-2 Years", IF(AF731 &lt;= 5, "3-5 Years", IF(AF731 &lt;= 10, "6-10 Years",IF(Table3[[#This Row],[Years At Company]]&lt;=20, "11-20 Years","20+ Years"))))</f>
        <v>11-20 Years</v>
      </c>
    </row>
    <row r="732" spans="1:38" x14ac:dyDescent="0.25">
      <c r="A732" s="2">
        <v>30</v>
      </c>
      <c r="B732" t="s">
        <v>43</v>
      </c>
      <c r="C732" t="s">
        <v>36</v>
      </c>
      <c r="D732" s="2">
        <v>153</v>
      </c>
      <c r="E732" t="s">
        <v>45</v>
      </c>
      <c r="F732" s="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 s="2">
        <v>11416</v>
      </c>
      <c r="T732">
        <v>17802</v>
      </c>
      <c r="U732">
        <v>0</v>
      </c>
      <c r="V732" t="s">
        <v>42</v>
      </c>
      <c r="W732" t="s">
        <v>35</v>
      </c>
      <c r="X732" s="2">
        <v>12</v>
      </c>
      <c r="Y732">
        <v>3</v>
      </c>
      <c r="Z732">
        <v>3</v>
      </c>
      <c r="AA732">
        <v>80</v>
      </c>
      <c r="AB732">
        <v>3</v>
      </c>
      <c r="AC732" s="2">
        <v>9</v>
      </c>
      <c r="AD732">
        <v>4</v>
      </c>
      <c r="AE732">
        <v>2</v>
      </c>
      <c r="AF732" s="2">
        <v>8</v>
      </c>
      <c r="AG732">
        <v>7</v>
      </c>
      <c r="AH732">
        <v>1</v>
      </c>
      <c r="AI732">
        <v>7</v>
      </c>
      <c r="AJ732" s="2" t="str">
        <f>IF(A732 A732 &lt;= 25, "18-25", IF(A732 &lt;=35, "26-35", IF(A732 &lt;=45, "36-45", IF(Table3[[#This Row],[Age]] &lt;=55, "46-55", "56+"))))</f>
        <v>26-35</v>
      </c>
      <c r="AK732" t="str">
        <f t="shared" si="11"/>
        <v>High</v>
      </c>
      <c r="AL732" s="2" t="str">
        <f>IF(AF732 &lt; 3, "0-2 Years", IF(AF732 &lt;= 5, "3-5 Years", IF(AF732 &lt;= 10, "6-10 Years",IF(Table3[[#This Row],[Years At Company]]&lt;=20, "11-20 Years","20+ Years"))))</f>
        <v>6-10 Years</v>
      </c>
    </row>
    <row r="733" spans="1:38" x14ac:dyDescent="0.25">
      <c r="A733" s="2">
        <v>20</v>
      </c>
      <c r="B733" t="s">
        <v>35</v>
      </c>
      <c r="C733" t="s">
        <v>36</v>
      </c>
      <c r="D733" s="2">
        <v>1097</v>
      </c>
      <c r="E733" t="s">
        <v>45</v>
      </c>
      <c r="F733" s="2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 s="2">
        <v>2600</v>
      </c>
      <c r="T733">
        <v>18275</v>
      </c>
      <c r="U733">
        <v>1</v>
      </c>
      <c r="V733" t="s">
        <v>42</v>
      </c>
      <c r="W733" t="s">
        <v>35</v>
      </c>
      <c r="X733" s="2">
        <v>15</v>
      </c>
      <c r="Y733">
        <v>3</v>
      </c>
      <c r="Z733">
        <v>1</v>
      </c>
      <c r="AA733">
        <v>80</v>
      </c>
      <c r="AB733">
        <v>0</v>
      </c>
      <c r="AC733" s="2">
        <v>1</v>
      </c>
      <c r="AD733">
        <v>2</v>
      </c>
      <c r="AE733">
        <v>3</v>
      </c>
      <c r="AF733" s="2">
        <v>1</v>
      </c>
      <c r="AG733">
        <v>0</v>
      </c>
      <c r="AH733">
        <v>0</v>
      </c>
      <c r="AI733">
        <v>0</v>
      </c>
      <c r="AJ733" s="2" t="str">
        <f>IF(A733 A733 &lt;= 25, "18-25", IF(A733 &lt;=35, "26-35", IF(A733 &lt;=45, "36-45", IF(Table3[[#This Row],[Age]] &lt;=55, "46-55", "56+"))))</f>
        <v>18-25</v>
      </c>
      <c r="AK733" t="str">
        <f t="shared" si="11"/>
        <v>Low</v>
      </c>
      <c r="AL733" s="2" t="str">
        <f>IF(AF733 &lt; 3, "0-2 Years", IF(AF733 &lt;= 5, "3-5 Years", IF(AF733 &lt;= 10, "6-10 Years",IF(Table3[[#This Row],[Years At Company]]&lt;=20, "11-20 Years","20+ Years"))))</f>
        <v>0-2 Years</v>
      </c>
    </row>
    <row r="734" spans="1:38" x14ac:dyDescent="0.25">
      <c r="A734" s="2">
        <v>30</v>
      </c>
      <c r="B734" t="s">
        <v>35</v>
      </c>
      <c r="C734" t="s">
        <v>44</v>
      </c>
      <c r="D734" s="2">
        <v>109</v>
      </c>
      <c r="E734" t="s">
        <v>45</v>
      </c>
      <c r="F734" s="2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 s="2">
        <v>2422</v>
      </c>
      <c r="T734">
        <v>25725</v>
      </c>
      <c r="U734">
        <v>0</v>
      </c>
      <c r="V734" t="s">
        <v>42</v>
      </c>
      <c r="W734" t="s">
        <v>43</v>
      </c>
      <c r="X734" s="2">
        <v>17</v>
      </c>
      <c r="Y734">
        <v>3</v>
      </c>
      <c r="Z734">
        <v>1</v>
      </c>
      <c r="AA734">
        <v>80</v>
      </c>
      <c r="AB734">
        <v>0</v>
      </c>
      <c r="AC734" s="2">
        <v>4</v>
      </c>
      <c r="AD734">
        <v>3</v>
      </c>
      <c r="AE734">
        <v>3</v>
      </c>
      <c r="AF734" s="2">
        <v>3</v>
      </c>
      <c r="AG734">
        <v>2</v>
      </c>
      <c r="AH734">
        <v>1</v>
      </c>
      <c r="AI734">
        <v>2</v>
      </c>
      <c r="AJ734" s="2" t="str">
        <f>IF(A734 A734 &lt;= 25, "18-25", IF(A734 &lt;=35, "26-35", IF(A734 &lt;=45, "36-45", IF(Table3[[#This Row],[Age]] &lt;=55, "46-55", "56+"))))</f>
        <v>26-35</v>
      </c>
      <c r="AK734" t="str">
        <f t="shared" si="11"/>
        <v>Low</v>
      </c>
      <c r="AL734" s="2" t="str">
        <f>IF(AF734 &lt; 3, "0-2 Years", IF(AF734 &lt;= 5, "3-5 Years", IF(AF734 &lt;= 10, "6-10 Years",IF(Table3[[#This Row],[Years At Company]]&lt;=20, "11-20 Years","20+ Years"))))</f>
        <v>3-5 Years</v>
      </c>
    </row>
    <row r="735" spans="1:38" x14ac:dyDescent="0.25">
      <c r="A735" s="2">
        <v>26</v>
      </c>
      <c r="B735" t="s">
        <v>43</v>
      </c>
      <c r="C735" t="s">
        <v>36</v>
      </c>
      <c r="D735" s="2">
        <v>1066</v>
      </c>
      <c r="E735" t="s">
        <v>45</v>
      </c>
      <c r="F735" s="2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 s="2">
        <v>5472</v>
      </c>
      <c r="T735">
        <v>3334</v>
      </c>
      <c r="U735">
        <v>1</v>
      </c>
      <c r="V735" t="s">
        <v>42</v>
      </c>
      <c r="W735" t="s">
        <v>43</v>
      </c>
      <c r="X735" s="2">
        <v>12</v>
      </c>
      <c r="Y735">
        <v>3</v>
      </c>
      <c r="Z735">
        <v>2</v>
      </c>
      <c r="AA735">
        <v>80</v>
      </c>
      <c r="AB735">
        <v>0</v>
      </c>
      <c r="AC735" s="2">
        <v>8</v>
      </c>
      <c r="AD735">
        <v>2</v>
      </c>
      <c r="AE735">
        <v>3</v>
      </c>
      <c r="AF735" s="2">
        <v>8</v>
      </c>
      <c r="AG735">
        <v>7</v>
      </c>
      <c r="AH735">
        <v>1</v>
      </c>
      <c r="AI735">
        <v>3</v>
      </c>
      <c r="AJ735" s="2" t="str">
        <f>IF(A735 A735 &lt;= 25, "18-25", IF(A735 &lt;=35, "26-35", IF(A735 &lt;=45, "36-45", IF(Table3[[#This Row],[Age]] &lt;=55, "46-55", "56+"))))</f>
        <v>26-35</v>
      </c>
      <c r="AK735" t="str">
        <f t="shared" si="11"/>
        <v>Medium</v>
      </c>
      <c r="AL735" s="2" t="str">
        <f>IF(AF735 &lt; 3, "0-2 Years", IF(AF735 &lt;= 5, "3-5 Years", IF(AF735 &lt;= 10, "6-10 Years",IF(Table3[[#This Row],[Years At Company]]&lt;=20, "11-20 Years","20+ Years"))))</f>
        <v>6-10 Years</v>
      </c>
    </row>
    <row r="736" spans="1:38" x14ac:dyDescent="0.25">
      <c r="A736" s="2">
        <v>22</v>
      </c>
      <c r="B736" t="s">
        <v>43</v>
      </c>
      <c r="C736" t="s">
        <v>36</v>
      </c>
      <c r="D736" s="2">
        <v>217</v>
      </c>
      <c r="E736" t="s">
        <v>45</v>
      </c>
      <c r="F736" s="2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 s="2">
        <v>2451</v>
      </c>
      <c r="T736">
        <v>6881</v>
      </c>
      <c r="U736">
        <v>1</v>
      </c>
      <c r="V736" t="s">
        <v>42</v>
      </c>
      <c r="W736" t="s">
        <v>43</v>
      </c>
      <c r="X736" s="2">
        <v>15</v>
      </c>
      <c r="Y736">
        <v>3</v>
      </c>
      <c r="Z736">
        <v>1</v>
      </c>
      <c r="AA736">
        <v>80</v>
      </c>
      <c r="AB736">
        <v>1</v>
      </c>
      <c r="AC736" s="2">
        <v>4</v>
      </c>
      <c r="AD736">
        <v>3</v>
      </c>
      <c r="AE736">
        <v>2</v>
      </c>
      <c r="AF736" s="2">
        <v>4</v>
      </c>
      <c r="AG736">
        <v>3</v>
      </c>
      <c r="AH736">
        <v>1</v>
      </c>
      <c r="AI736">
        <v>1</v>
      </c>
      <c r="AJ736" s="2" t="str">
        <f>IF(A736 A736 &lt;= 25, "18-25", IF(A736 &lt;=35, "26-35", IF(A736 &lt;=45, "36-45", IF(Table3[[#This Row],[Age]] &lt;=55, "46-55", "56+"))))</f>
        <v>18-25</v>
      </c>
      <c r="AK736" t="str">
        <f t="shared" si="11"/>
        <v>Low</v>
      </c>
      <c r="AL736" s="2" t="str">
        <f>IF(AF736 &lt; 3, "0-2 Years", IF(AF736 &lt;= 5, "3-5 Years", IF(AF736 &lt;= 10, "6-10 Years",IF(Table3[[#This Row],[Years At Company]]&lt;=20, "11-20 Years","20+ Years"))))</f>
        <v>3-5 Years</v>
      </c>
    </row>
    <row r="737" spans="1:38" x14ac:dyDescent="0.25">
      <c r="A737" s="2">
        <v>48</v>
      </c>
      <c r="B737" t="s">
        <v>43</v>
      </c>
      <c r="C737" t="s">
        <v>36</v>
      </c>
      <c r="D737" s="2">
        <v>277</v>
      </c>
      <c r="E737" t="s">
        <v>45</v>
      </c>
      <c r="F737" s="2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 s="2">
        <v>4240</v>
      </c>
      <c r="T737">
        <v>13119</v>
      </c>
      <c r="U737">
        <v>2</v>
      </c>
      <c r="V737" t="s">
        <v>42</v>
      </c>
      <c r="W737" t="s">
        <v>43</v>
      </c>
      <c r="X737" s="2">
        <v>13</v>
      </c>
      <c r="Y737">
        <v>3</v>
      </c>
      <c r="Z737">
        <v>4</v>
      </c>
      <c r="AA737">
        <v>80</v>
      </c>
      <c r="AB737">
        <v>0</v>
      </c>
      <c r="AC737" s="2">
        <v>19</v>
      </c>
      <c r="AD737">
        <v>0</v>
      </c>
      <c r="AE737">
        <v>3</v>
      </c>
      <c r="AF737" s="2">
        <v>2</v>
      </c>
      <c r="AG737">
        <v>2</v>
      </c>
      <c r="AH737">
        <v>2</v>
      </c>
      <c r="AI737">
        <v>2</v>
      </c>
      <c r="AJ737" s="2" t="str">
        <f>IF(A737 A737 &lt;= 25, "18-25", IF(A737 &lt;=35, "26-35", IF(A737 &lt;=45, "36-45", IF(Table3[[#This Row],[Age]] &lt;=55, "46-55", "56+"))))</f>
        <v>46-55</v>
      </c>
      <c r="AK737" t="str">
        <f t="shared" si="11"/>
        <v>Low</v>
      </c>
      <c r="AL737" s="2" t="str">
        <f>IF(AF737 &lt; 3, "0-2 Years", IF(AF737 &lt;= 5, "3-5 Years", IF(AF737 &lt;= 10, "6-10 Years",IF(Table3[[#This Row],[Years At Company]]&lt;=20, "11-20 Years","20+ Years"))))</f>
        <v>0-2 Years</v>
      </c>
    </row>
    <row r="738" spans="1:38" x14ac:dyDescent="0.25">
      <c r="A738" s="2">
        <v>48</v>
      </c>
      <c r="B738" t="s">
        <v>43</v>
      </c>
      <c r="C738" t="s">
        <v>36</v>
      </c>
      <c r="D738" s="2">
        <v>1355</v>
      </c>
      <c r="E738" t="s">
        <v>45</v>
      </c>
      <c r="F738" s="2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 s="2">
        <v>10999</v>
      </c>
      <c r="T738">
        <v>22245</v>
      </c>
      <c r="U738">
        <v>7</v>
      </c>
      <c r="V738" t="s">
        <v>42</v>
      </c>
      <c r="W738" t="s">
        <v>43</v>
      </c>
      <c r="X738" s="2">
        <v>14</v>
      </c>
      <c r="Y738">
        <v>3</v>
      </c>
      <c r="Z738">
        <v>2</v>
      </c>
      <c r="AA738">
        <v>80</v>
      </c>
      <c r="AB738">
        <v>0</v>
      </c>
      <c r="AC738" s="2">
        <v>27</v>
      </c>
      <c r="AD738">
        <v>3</v>
      </c>
      <c r="AE738">
        <v>3</v>
      </c>
      <c r="AF738" s="2">
        <v>15</v>
      </c>
      <c r="AG738">
        <v>11</v>
      </c>
      <c r="AH738">
        <v>4</v>
      </c>
      <c r="AI738">
        <v>8</v>
      </c>
      <c r="AJ738" s="2" t="str">
        <f>IF(A738 A738 &lt;= 25, "18-25", IF(A738 &lt;=35, "26-35", IF(A738 &lt;=45, "36-45", IF(Table3[[#This Row],[Age]] &lt;=55, "46-55", "56+"))))</f>
        <v>46-55</v>
      </c>
      <c r="AK738" t="str">
        <f t="shared" si="11"/>
        <v>High</v>
      </c>
      <c r="AL738" s="2" t="str">
        <f>IF(AF738 &lt; 3, "0-2 Years", IF(AF738 &lt;= 5, "3-5 Years", IF(AF738 &lt;= 10, "6-10 Years",IF(Table3[[#This Row],[Years At Company]]&lt;=20, "11-20 Years","20+ Years"))))</f>
        <v>11-20 Years</v>
      </c>
    </row>
    <row r="739" spans="1:38" x14ac:dyDescent="0.25">
      <c r="A739" s="2">
        <v>41</v>
      </c>
      <c r="B739" t="s">
        <v>43</v>
      </c>
      <c r="C739" t="s">
        <v>36</v>
      </c>
      <c r="D739" s="2">
        <v>549</v>
      </c>
      <c r="E739" t="s">
        <v>45</v>
      </c>
      <c r="F739" s="2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 s="2">
        <v>5003</v>
      </c>
      <c r="T739">
        <v>23371</v>
      </c>
      <c r="U739">
        <v>6</v>
      </c>
      <c r="V739" t="s">
        <v>42</v>
      </c>
      <c r="W739" t="s">
        <v>43</v>
      </c>
      <c r="X739" s="2">
        <v>14</v>
      </c>
      <c r="Y739">
        <v>3</v>
      </c>
      <c r="Z739">
        <v>2</v>
      </c>
      <c r="AA739">
        <v>80</v>
      </c>
      <c r="AB739">
        <v>0</v>
      </c>
      <c r="AC739" s="2">
        <v>8</v>
      </c>
      <c r="AD739">
        <v>6</v>
      </c>
      <c r="AE739">
        <v>3</v>
      </c>
      <c r="AF739" s="2">
        <v>2</v>
      </c>
      <c r="AG739">
        <v>2</v>
      </c>
      <c r="AH739">
        <v>2</v>
      </c>
      <c r="AI739">
        <v>1</v>
      </c>
      <c r="AJ739" s="2" t="str">
        <f>IF(A739 A739 &lt;= 25, "18-25", IF(A739 &lt;=35, "26-35", IF(A739 &lt;=45, "36-45", IF(Table3[[#This Row],[Age]] &lt;=55, "46-55", "56+"))))</f>
        <v>36-45</v>
      </c>
      <c r="AK739" t="str">
        <f t="shared" si="11"/>
        <v>Medium</v>
      </c>
      <c r="AL739" s="2" t="str">
        <f>IF(AF739 &lt; 3, "0-2 Years", IF(AF739 &lt;= 5, "3-5 Years", IF(AF739 &lt;= 10, "6-10 Years",IF(Table3[[#This Row],[Years At Company]]&lt;=20, "11-20 Years","20+ Years"))))</f>
        <v>0-2 Years</v>
      </c>
    </row>
    <row r="740" spans="1:38" x14ac:dyDescent="0.25">
      <c r="A740" s="2">
        <v>39</v>
      </c>
      <c r="B740" t="s">
        <v>43</v>
      </c>
      <c r="C740" t="s">
        <v>36</v>
      </c>
      <c r="D740" s="2">
        <v>466</v>
      </c>
      <c r="E740" t="s">
        <v>45</v>
      </c>
      <c r="F740" s="2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 s="2">
        <v>12742</v>
      </c>
      <c r="T740">
        <v>7060</v>
      </c>
      <c r="U740">
        <v>1</v>
      </c>
      <c r="V740" t="s">
        <v>42</v>
      </c>
      <c r="W740" t="s">
        <v>43</v>
      </c>
      <c r="X740" s="2">
        <v>16</v>
      </c>
      <c r="Y740">
        <v>3</v>
      </c>
      <c r="Z740">
        <v>3</v>
      </c>
      <c r="AA740">
        <v>80</v>
      </c>
      <c r="AB740">
        <v>1</v>
      </c>
      <c r="AC740" s="2">
        <v>21</v>
      </c>
      <c r="AD740">
        <v>3</v>
      </c>
      <c r="AE740">
        <v>3</v>
      </c>
      <c r="AF740" s="2">
        <v>21</v>
      </c>
      <c r="AG740">
        <v>6</v>
      </c>
      <c r="AH740">
        <v>11</v>
      </c>
      <c r="AI740">
        <v>8</v>
      </c>
      <c r="AJ740" s="2" t="str">
        <f>IF(A740 A740 &lt;= 25, "18-25", IF(A740 &lt;=35, "26-35", IF(A740 &lt;=45, "36-45", IF(Table3[[#This Row],[Age]] &lt;=55, "46-55", "56+"))))</f>
        <v>36-45</v>
      </c>
      <c r="AK740" t="str">
        <f t="shared" si="11"/>
        <v>High</v>
      </c>
      <c r="AL740" s="2" t="str">
        <f>IF(AF740 &lt; 3, "0-2 Years", IF(AF740 &lt;= 5, "3-5 Years", IF(AF740 &lt;= 10, "6-10 Years",IF(Table3[[#This Row],[Years At Company]]&lt;=20, "11-20 Years","20+ Years"))))</f>
        <v>20+ Years</v>
      </c>
    </row>
    <row r="741" spans="1:38" x14ac:dyDescent="0.25">
      <c r="A741" s="2">
        <v>27</v>
      </c>
      <c r="B741" t="s">
        <v>43</v>
      </c>
      <c r="C741" t="s">
        <v>36</v>
      </c>
      <c r="D741" s="2">
        <v>1055</v>
      </c>
      <c r="E741" t="s">
        <v>45</v>
      </c>
      <c r="F741" s="2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 s="2">
        <v>4227</v>
      </c>
      <c r="T741">
        <v>4658</v>
      </c>
      <c r="U741">
        <v>0</v>
      </c>
      <c r="V741" t="s">
        <v>42</v>
      </c>
      <c r="W741" t="s">
        <v>43</v>
      </c>
      <c r="X741" s="2">
        <v>18</v>
      </c>
      <c r="Y741">
        <v>3</v>
      </c>
      <c r="Z741">
        <v>2</v>
      </c>
      <c r="AA741">
        <v>80</v>
      </c>
      <c r="AB741">
        <v>1</v>
      </c>
      <c r="AC741" s="2">
        <v>4</v>
      </c>
      <c r="AD741">
        <v>2</v>
      </c>
      <c r="AE741">
        <v>3</v>
      </c>
      <c r="AF741" s="2">
        <v>3</v>
      </c>
      <c r="AG741">
        <v>2</v>
      </c>
      <c r="AH741">
        <v>2</v>
      </c>
      <c r="AI741">
        <v>2</v>
      </c>
      <c r="AJ741" s="2" t="str">
        <f>IF(A741 A741 &lt;= 25, "18-25", IF(A741 &lt;=35, "26-35", IF(A741 &lt;=45, "36-45", IF(Table3[[#This Row],[Age]] &lt;=55, "46-55", "56+"))))</f>
        <v>26-35</v>
      </c>
      <c r="AK741" t="str">
        <f t="shared" si="11"/>
        <v>Low</v>
      </c>
      <c r="AL741" s="2" t="str">
        <f>IF(AF741 &lt; 3, "0-2 Years", IF(AF741 &lt;= 5, "3-5 Years", IF(AF741 &lt;= 10, "6-10 Years",IF(Table3[[#This Row],[Years At Company]]&lt;=20, "11-20 Years","20+ Years"))))</f>
        <v>3-5 Years</v>
      </c>
    </row>
    <row r="742" spans="1:38" x14ac:dyDescent="0.25">
      <c r="A742" s="2">
        <v>35</v>
      </c>
      <c r="B742" t="s">
        <v>43</v>
      </c>
      <c r="C742" t="s">
        <v>36</v>
      </c>
      <c r="D742" s="2">
        <v>802</v>
      </c>
      <c r="E742" t="s">
        <v>45</v>
      </c>
      <c r="F742" s="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 s="2">
        <v>3917</v>
      </c>
      <c r="T742">
        <v>9541</v>
      </c>
      <c r="U742">
        <v>1</v>
      </c>
      <c r="V742" t="s">
        <v>42</v>
      </c>
      <c r="W742" t="s">
        <v>43</v>
      </c>
      <c r="X742" s="2">
        <v>20</v>
      </c>
      <c r="Y742">
        <v>4</v>
      </c>
      <c r="Z742">
        <v>1</v>
      </c>
      <c r="AA742">
        <v>80</v>
      </c>
      <c r="AB742">
        <v>1</v>
      </c>
      <c r="AC742" s="2">
        <v>3</v>
      </c>
      <c r="AD742">
        <v>4</v>
      </c>
      <c r="AE742">
        <v>2</v>
      </c>
      <c r="AF742" s="2">
        <v>3</v>
      </c>
      <c r="AG742">
        <v>2</v>
      </c>
      <c r="AH742">
        <v>1</v>
      </c>
      <c r="AI742">
        <v>2</v>
      </c>
      <c r="AJ742" s="2" t="str">
        <f>IF(A742 A742 &lt;= 25, "18-25", IF(A742 &lt;=35, "26-35", IF(A742 &lt;=45, "36-45", IF(Table3[[#This Row],[Age]] &lt;=55, "46-55", "56+"))))</f>
        <v>26-35</v>
      </c>
      <c r="AK742" t="str">
        <f t="shared" si="11"/>
        <v>Low</v>
      </c>
      <c r="AL742" s="2" t="str">
        <f>IF(AF742 &lt; 3, "0-2 Years", IF(AF742 &lt;= 5, "3-5 Years", IF(AF742 &lt;= 10, "6-10 Years",IF(Table3[[#This Row],[Years At Company]]&lt;=20, "11-20 Years","20+ Years"))))</f>
        <v>3-5 Years</v>
      </c>
    </row>
    <row r="743" spans="1:38" x14ac:dyDescent="0.25">
      <c r="A743" s="2">
        <v>42</v>
      </c>
      <c r="B743" t="s">
        <v>43</v>
      </c>
      <c r="C743" t="s">
        <v>36</v>
      </c>
      <c r="D743" s="2">
        <v>265</v>
      </c>
      <c r="E743" t="s">
        <v>37</v>
      </c>
      <c r="F743" s="2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 s="2">
        <v>18303</v>
      </c>
      <c r="T743">
        <v>7770</v>
      </c>
      <c r="U743">
        <v>6</v>
      </c>
      <c r="V743" t="s">
        <v>42</v>
      </c>
      <c r="W743" t="s">
        <v>43</v>
      </c>
      <c r="X743" s="2">
        <v>13</v>
      </c>
      <c r="Y743">
        <v>3</v>
      </c>
      <c r="Z743">
        <v>2</v>
      </c>
      <c r="AA743">
        <v>80</v>
      </c>
      <c r="AB743">
        <v>0</v>
      </c>
      <c r="AC743" s="2">
        <v>21</v>
      </c>
      <c r="AD743">
        <v>3</v>
      </c>
      <c r="AE743">
        <v>4</v>
      </c>
      <c r="AF743" s="2">
        <v>1</v>
      </c>
      <c r="AG743">
        <v>0</v>
      </c>
      <c r="AH743">
        <v>0</v>
      </c>
      <c r="AI743">
        <v>0</v>
      </c>
      <c r="AJ743" s="2" t="str">
        <f>IF(A743 A743 &lt;= 25, "18-25", IF(A743 &lt;=35, "26-35", IF(A743 &lt;=45, "36-45", IF(Table3[[#This Row],[Age]] &lt;=55, "46-55", "56+"))))</f>
        <v>36-45</v>
      </c>
      <c r="AK743" t="str">
        <f t="shared" si="11"/>
        <v>High</v>
      </c>
      <c r="AL743" s="2" t="str">
        <f>IF(AF743 &lt; 3, "0-2 Years", IF(AF743 &lt;= 5, "3-5 Years", IF(AF743 &lt;= 10, "6-10 Years",IF(Table3[[#This Row],[Years At Company]]&lt;=20, "11-20 Years","20+ Years"))))</f>
        <v>0-2 Years</v>
      </c>
    </row>
    <row r="744" spans="1:38" x14ac:dyDescent="0.25">
      <c r="A744" s="2">
        <v>50</v>
      </c>
      <c r="B744" t="s">
        <v>43</v>
      </c>
      <c r="C744" t="s">
        <v>36</v>
      </c>
      <c r="D744" s="2">
        <v>804</v>
      </c>
      <c r="E744" t="s">
        <v>45</v>
      </c>
      <c r="F744" s="2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 s="2">
        <v>2380</v>
      </c>
      <c r="T744">
        <v>20165</v>
      </c>
      <c r="U744">
        <v>4</v>
      </c>
      <c r="V744" t="s">
        <v>42</v>
      </c>
      <c r="W744" t="s">
        <v>43</v>
      </c>
      <c r="X744" s="2">
        <v>18</v>
      </c>
      <c r="Y744">
        <v>3</v>
      </c>
      <c r="Z744">
        <v>2</v>
      </c>
      <c r="AA744">
        <v>80</v>
      </c>
      <c r="AB744">
        <v>0</v>
      </c>
      <c r="AC744" s="2">
        <v>8</v>
      </c>
      <c r="AD744">
        <v>5</v>
      </c>
      <c r="AE744">
        <v>3</v>
      </c>
      <c r="AF744" s="2">
        <v>1</v>
      </c>
      <c r="AG744">
        <v>0</v>
      </c>
      <c r="AH744">
        <v>0</v>
      </c>
      <c r="AI744">
        <v>0</v>
      </c>
      <c r="AJ744" s="2" t="str">
        <f>IF(A744 A744 &lt;= 25, "18-25", IF(A744 &lt;=35, "26-35", IF(A744 &lt;=45, "36-45", IF(Table3[[#This Row],[Age]] &lt;=55, "46-55", "56+"))))</f>
        <v>46-55</v>
      </c>
      <c r="AK744" t="str">
        <f t="shared" si="11"/>
        <v>Low</v>
      </c>
      <c r="AL744" s="2" t="str">
        <f>IF(AF744 &lt; 3, "0-2 Years", IF(AF744 &lt;= 5, "3-5 Years", IF(AF744 &lt;= 10, "6-10 Years",IF(Table3[[#This Row],[Years At Company]]&lt;=20, "11-20 Years","20+ Years"))))</f>
        <v>0-2 Years</v>
      </c>
    </row>
    <row r="745" spans="1:38" x14ac:dyDescent="0.25">
      <c r="A745" s="2">
        <v>59</v>
      </c>
      <c r="B745" t="s">
        <v>43</v>
      </c>
      <c r="C745" t="s">
        <v>36</v>
      </c>
      <c r="D745" s="2">
        <v>715</v>
      </c>
      <c r="E745" t="s">
        <v>45</v>
      </c>
      <c r="F745" s="2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 s="2">
        <v>13726</v>
      </c>
      <c r="T745">
        <v>21829</v>
      </c>
      <c r="U745">
        <v>3</v>
      </c>
      <c r="V745" t="s">
        <v>42</v>
      </c>
      <c r="W745" t="s">
        <v>35</v>
      </c>
      <c r="X745" s="2">
        <v>13</v>
      </c>
      <c r="Y745">
        <v>3</v>
      </c>
      <c r="Z745">
        <v>1</v>
      </c>
      <c r="AA745">
        <v>80</v>
      </c>
      <c r="AB745">
        <v>0</v>
      </c>
      <c r="AC745" s="2">
        <v>30</v>
      </c>
      <c r="AD745">
        <v>4</v>
      </c>
      <c r="AE745">
        <v>3</v>
      </c>
      <c r="AF745" s="2">
        <v>5</v>
      </c>
      <c r="AG745">
        <v>3</v>
      </c>
      <c r="AH745">
        <v>4</v>
      </c>
      <c r="AI745">
        <v>3</v>
      </c>
      <c r="AJ745" s="2" t="str">
        <f>IF(A745 A745 &lt;= 25, "18-25", IF(A745 &lt;=35, "26-35", IF(A745 &lt;=45, "36-45", IF(Table3[[#This Row],[Age]] &lt;=55, "46-55", "56+"))))</f>
        <v>56+</v>
      </c>
      <c r="AK745" t="str">
        <f t="shared" si="11"/>
        <v>High</v>
      </c>
      <c r="AL745" s="2" t="str">
        <f>IF(AF745 &lt; 3, "0-2 Years", IF(AF745 &lt;= 5, "3-5 Years", IF(AF745 &lt;= 10, "6-10 Years",IF(Table3[[#This Row],[Years At Company]]&lt;=20, "11-20 Years","20+ Years"))))</f>
        <v>3-5 Years</v>
      </c>
    </row>
    <row r="746" spans="1:38" x14ac:dyDescent="0.25">
      <c r="A746" s="2">
        <v>37</v>
      </c>
      <c r="B746" t="s">
        <v>35</v>
      </c>
      <c r="C746" t="s">
        <v>36</v>
      </c>
      <c r="D746" s="2">
        <v>1141</v>
      </c>
      <c r="E746" t="s">
        <v>45</v>
      </c>
      <c r="F746" s="2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 s="2">
        <v>4777</v>
      </c>
      <c r="T746">
        <v>14382</v>
      </c>
      <c r="U746">
        <v>5</v>
      </c>
      <c r="V746" t="s">
        <v>42</v>
      </c>
      <c r="W746" t="s">
        <v>43</v>
      </c>
      <c r="X746" s="2">
        <v>15</v>
      </c>
      <c r="Y746">
        <v>3</v>
      </c>
      <c r="Z746">
        <v>1</v>
      </c>
      <c r="AA746">
        <v>80</v>
      </c>
      <c r="AB746">
        <v>0</v>
      </c>
      <c r="AC746" s="2">
        <v>15</v>
      </c>
      <c r="AD746">
        <v>2</v>
      </c>
      <c r="AE746">
        <v>1</v>
      </c>
      <c r="AF746" s="2">
        <v>1</v>
      </c>
      <c r="AG746">
        <v>0</v>
      </c>
      <c r="AH746">
        <v>0</v>
      </c>
      <c r="AI746">
        <v>0</v>
      </c>
      <c r="AJ746" s="2" t="str">
        <f>IF(A746 A746 &lt;= 25, "18-25", IF(A746 &lt;=35, "26-35", IF(A746 &lt;=45, "36-45", IF(Table3[[#This Row],[Age]] &lt;=55, "46-55", "56+"))))</f>
        <v>36-45</v>
      </c>
      <c r="AK746" t="str">
        <f t="shared" si="11"/>
        <v>Low</v>
      </c>
      <c r="AL746" s="2" t="str">
        <f>IF(AF746 &lt; 3, "0-2 Years", IF(AF746 &lt;= 5, "3-5 Years", IF(AF746 &lt;= 10, "6-10 Years",IF(Table3[[#This Row],[Years At Company]]&lt;=20, "11-20 Years","20+ Years"))))</f>
        <v>0-2 Years</v>
      </c>
    </row>
    <row r="747" spans="1:38" x14ac:dyDescent="0.25">
      <c r="A747" s="2">
        <v>55</v>
      </c>
      <c r="B747" t="s">
        <v>43</v>
      </c>
      <c r="C747" t="s">
        <v>44</v>
      </c>
      <c r="D747" s="2">
        <v>135</v>
      </c>
      <c r="E747" t="s">
        <v>45</v>
      </c>
      <c r="F747" s="2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 s="2">
        <v>6385</v>
      </c>
      <c r="T747">
        <v>12992</v>
      </c>
      <c r="U747">
        <v>3</v>
      </c>
      <c r="V747" t="s">
        <v>42</v>
      </c>
      <c r="W747" t="s">
        <v>35</v>
      </c>
      <c r="X747" s="2">
        <v>14</v>
      </c>
      <c r="Y747">
        <v>3</v>
      </c>
      <c r="Z747">
        <v>4</v>
      </c>
      <c r="AA747">
        <v>80</v>
      </c>
      <c r="AB747">
        <v>2</v>
      </c>
      <c r="AC747" s="2">
        <v>17</v>
      </c>
      <c r="AD747">
        <v>3</v>
      </c>
      <c r="AE747">
        <v>3</v>
      </c>
      <c r="AF747" s="2">
        <v>8</v>
      </c>
      <c r="AG747">
        <v>7</v>
      </c>
      <c r="AH747">
        <v>6</v>
      </c>
      <c r="AI747">
        <v>7</v>
      </c>
      <c r="AJ747" s="2" t="str">
        <f>IF(A747 A747 &lt;= 25, "18-25", IF(A747 &lt;=35, "26-35", IF(A747 &lt;=45, "36-45", IF(Table3[[#This Row],[Age]] &lt;=55, "46-55", "56+"))))</f>
        <v>46-55</v>
      </c>
      <c r="AK747" t="str">
        <f t="shared" si="11"/>
        <v>Medium</v>
      </c>
      <c r="AL747" s="2" t="str">
        <f>IF(AF747 &lt; 3, "0-2 Years", IF(AF747 &lt;= 5, "3-5 Years", IF(AF747 &lt;= 10, "6-10 Years",IF(Table3[[#This Row],[Years At Company]]&lt;=20, "11-20 Years","20+ Years"))))</f>
        <v>6-10 Years</v>
      </c>
    </row>
    <row r="748" spans="1:38" x14ac:dyDescent="0.25">
      <c r="A748" s="2">
        <v>41</v>
      </c>
      <c r="B748" t="s">
        <v>43</v>
      </c>
      <c r="C748" t="s">
        <v>55</v>
      </c>
      <c r="D748" s="2">
        <v>247</v>
      </c>
      <c r="E748" t="s">
        <v>45</v>
      </c>
      <c r="F748" s="2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 s="2">
        <v>19973</v>
      </c>
      <c r="T748">
        <v>20284</v>
      </c>
      <c r="U748">
        <v>1</v>
      </c>
      <c r="V748" t="s">
        <v>42</v>
      </c>
      <c r="W748" t="s">
        <v>43</v>
      </c>
      <c r="X748" s="2">
        <v>22</v>
      </c>
      <c r="Y748">
        <v>4</v>
      </c>
      <c r="Z748">
        <v>2</v>
      </c>
      <c r="AA748">
        <v>80</v>
      </c>
      <c r="AB748">
        <v>2</v>
      </c>
      <c r="AC748" s="2">
        <v>21</v>
      </c>
      <c r="AD748">
        <v>3</v>
      </c>
      <c r="AE748">
        <v>3</v>
      </c>
      <c r="AF748" s="2">
        <v>21</v>
      </c>
      <c r="AG748">
        <v>16</v>
      </c>
      <c r="AH748">
        <v>5</v>
      </c>
      <c r="AI748">
        <v>10</v>
      </c>
      <c r="AJ748" s="2" t="str">
        <f>IF(A748 A748 &lt;= 25, "18-25", IF(A748 &lt;=35, "26-35", IF(A748 &lt;=45, "36-45", IF(Table3[[#This Row],[Age]] &lt;=55, "46-55", "56+"))))</f>
        <v>36-45</v>
      </c>
      <c r="AK748" t="str">
        <f t="shared" si="11"/>
        <v>High</v>
      </c>
      <c r="AL748" s="2" t="str">
        <f>IF(AF748 &lt; 3, "0-2 Years", IF(AF748 &lt;= 5, "3-5 Years", IF(AF748 &lt;= 10, "6-10 Years",IF(Table3[[#This Row],[Years At Company]]&lt;=20, "11-20 Years","20+ Years"))))</f>
        <v>20+ Years</v>
      </c>
    </row>
    <row r="749" spans="1:38" x14ac:dyDescent="0.25">
      <c r="A749" s="2">
        <v>38</v>
      </c>
      <c r="B749" t="s">
        <v>43</v>
      </c>
      <c r="C749" t="s">
        <v>36</v>
      </c>
      <c r="D749" s="2">
        <v>1035</v>
      </c>
      <c r="E749" t="s">
        <v>37</v>
      </c>
      <c r="F749" s="2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 s="2">
        <v>6861</v>
      </c>
      <c r="T749">
        <v>4981</v>
      </c>
      <c r="U749">
        <v>8</v>
      </c>
      <c r="V749" t="s">
        <v>42</v>
      </c>
      <c r="W749" t="s">
        <v>35</v>
      </c>
      <c r="X749" s="2">
        <v>12</v>
      </c>
      <c r="Y749">
        <v>3</v>
      </c>
      <c r="Z749">
        <v>3</v>
      </c>
      <c r="AA749">
        <v>80</v>
      </c>
      <c r="AB749">
        <v>0</v>
      </c>
      <c r="AC749" s="2">
        <v>19</v>
      </c>
      <c r="AD749">
        <v>1</v>
      </c>
      <c r="AE749">
        <v>3</v>
      </c>
      <c r="AF749" s="2">
        <v>1</v>
      </c>
      <c r="AG749">
        <v>0</v>
      </c>
      <c r="AH749">
        <v>0</v>
      </c>
      <c r="AI749">
        <v>0</v>
      </c>
      <c r="AJ749" s="2" t="str">
        <f>IF(A749 A749 &lt;= 25, "18-25", IF(A749 &lt;=35, "26-35", IF(A749 &lt;=45, "36-45", IF(Table3[[#This Row],[Age]] &lt;=55, "46-55", "56+"))))</f>
        <v>36-45</v>
      </c>
      <c r="AK749" t="str">
        <f t="shared" si="11"/>
        <v>Medium</v>
      </c>
      <c r="AL749" s="2" t="str">
        <f>IF(AF749 &lt; 3, "0-2 Years", IF(AF749 &lt;= 5, "3-5 Years", IF(AF749 &lt;= 10, "6-10 Years",IF(Table3[[#This Row],[Years At Company]]&lt;=20, "11-20 Years","20+ Years"))))</f>
        <v>0-2 Years</v>
      </c>
    </row>
    <row r="750" spans="1:38" x14ac:dyDescent="0.25">
      <c r="A750" s="2">
        <v>26</v>
      </c>
      <c r="B750" t="s">
        <v>35</v>
      </c>
      <c r="C750" t="s">
        <v>55</v>
      </c>
      <c r="D750" s="2">
        <v>265</v>
      </c>
      <c r="E750" t="s">
        <v>37</v>
      </c>
      <c r="F750" s="2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 s="2">
        <v>4969</v>
      </c>
      <c r="T750">
        <v>21813</v>
      </c>
      <c r="U750">
        <v>8</v>
      </c>
      <c r="V750" t="s">
        <v>42</v>
      </c>
      <c r="W750" t="s">
        <v>43</v>
      </c>
      <c r="X750" s="2">
        <v>18</v>
      </c>
      <c r="Y750">
        <v>3</v>
      </c>
      <c r="Z750">
        <v>4</v>
      </c>
      <c r="AA750">
        <v>80</v>
      </c>
      <c r="AB750">
        <v>0</v>
      </c>
      <c r="AC750" s="2">
        <v>7</v>
      </c>
      <c r="AD750">
        <v>6</v>
      </c>
      <c r="AE750">
        <v>3</v>
      </c>
      <c r="AF750" s="2">
        <v>2</v>
      </c>
      <c r="AG750">
        <v>2</v>
      </c>
      <c r="AH750">
        <v>2</v>
      </c>
      <c r="AI750">
        <v>2</v>
      </c>
      <c r="AJ750" s="2" t="str">
        <f>IF(A750 A750 &lt;= 25, "18-25", IF(A750 &lt;=35, "26-35", IF(A750 &lt;=45, "36-45", IF(Table3[[#This Row],[Age]] &lt;=55, "46-55", "56+"))))</f>
        <v>26-35</v>
      </c>
      <c r="AK750" t="str">
        <f t="shared" si="11"/>
        <v>Low</v>
      </c>
      <c r="AL750" s="2" t="str">
        <f>IF(AF750 &lt; 3, "0-2 Years", IF(AF750 &lt;= 5, "3-5 Years", IF(AF750 &lt;= 10, "6-10 Years",IF(Table3[[#This Row],[Years At Company]]&lt;=20, "11-20 Years","20+ Years"))))</f>
        <v>0-2 Years</v>
      </c>
    </row>
    <row r="751" spans="1:38" x14ac:dyDescent="0.25">
      <c r="A751" s="2">
        <v>52</v>
      </c>
      <c r="B751" t="s">
        <v>35</v>
      </c>
      <c r="C751" t="s">
        <v>36</v>
      </c>
      <c r="D751" s="2">
        <v>266</v>
      </c>
      <c r="E751" t="s">
        <v>37</v>
      </c>
      <c r="F751" s="2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 s="2">
        <v>19845</v>
      </c>
      <c r="T751">
        <v>25846</v>
      </c>
      <c r="U751">
        <v>1</v>
      </c>
      <c r="V751" t="s">
        <v>42</v>
      </c>
      <c r="W751" t="s">
        <v>43</v>
      </c>
      <c r="X751" s="2">
        <v>15</v>
      </c>
      <c r="Y751">
        <v>3</v>
      </c>
      <c r="Z751">
        <v>4</v>
      </c>
      <c r="AA751">
        <v>80</v>
      </c>
      <c r="AB751">
        <v>1</v>
      </c>
      <c r="AC751" s="2">
        <v>33</v>
      </c>
      <c r="AD751">
        <v>3</v>
      </c>
      <c r="AE751">
        <v>3</v>
      </c>
      <c r="AF751" s="2">
        <v>32</v>
      </c>
      <c r="AG751">
        <v>14</v>
      </c>
      <c r="AH751">
        <v>6</v>
      </c>
      <c r="AI751">
        <v>9</v>
      </c>
      <c r="AJ751" s="2" t="str">
        <f>IF(A751 A751 &lt;= 25, "18-25", IF(A751 &lt;=35, "26-35", IF(A751 &lt;=45, "36-45", IF(Table3[[#This Row],[Age]] &lt;=55, "46-55", "56+"))))</f>
        <v>46-55</v>
      </c>
      <c r="AK751" t="str">
        <f t="shared" si="11"/>
        <v>High</v>
      </c>
      <c r="AL751" s="2" t="str">
        <f>IF(AF751 &lt; 3, "0-2 Years", IF(AF751 &lt;= 5, "3-5 Years", IF(AF751 &lt;= 10, "6-10 Years",IF(Table3[[#This Row],[Years At Company]]&lt;=20, "11-20 Years","20+ Years"))))</f>
        <v>20+ Years</v>
      </c>
    </row>
    <row r="752" spans="1:38" x14ac:dyDescent="0.25">
      <c r="A752" s="2">
        <v>44</v>
      </c>
      <c r="B752" t="s">
        <v>43</v>
      </c>
      <c r="C752" t="s">
        <v>36</v>
      </c>
      <c r="D752" s="2">
        <v>1448</v>
      </c>
      <c r="E752" t="s">
        <v>37</v>
      </c>
      <c r="F752" s="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 s="2">
        <v>13320</v>
      </c>
      <c r="T752">
        <v>11737</v>
      </c>
      <c r="U752">
        <v>3</v>
      </c>
      <c r="V752" t="s">
        <v>42</v>
      </c>
      <c r="W752" t="s">
        <v>35</v>
      </c>
      <c r="X752" s="2">
        <v>18</v>
      </c>
      <c r="Y752">
        <v>3</v>
      </c>
      <c r="Z752">
        <v>3</v>
      </c>
      <c r="AA752">
        <v>80</v>
      </c>
      <c r="AB752">
        <v>1</v>
      </c>
      <c r="AC752" s="2">
        <v>23</v>
      </c>
      <c r="AD752">
        <v>2</v>
      </c>
      <c r="AE752">
        <v>3</v>
      </c>
      <c r="AF752" s="2">
        <v>12</v>
      </c>
      <c r="AG752">
        <v>11</v>
      </c>
      <c r="AH752">
        <v>11</v>
      </c>
      <c r="AI752">
        <v>11</v>
      </c>
      <c r="AJ752" s="2" t="str">
        <f>IF(A752 A752 &lt;= 25, "18-25", IF(A752 &lt;=35, "26-35", IF(A752 &lt;=45, "36-45", IF(Table3[[#This Row],[Age]] &lt;=55, "46-55", "56+"))))</f>
        <v>36-45</v>
      </c>
      <c r="AK752" t="str">
        <f t="shared" si="11"/>
        <v>High</v>
      </c>
      <c r="AL752" s="2" t="str">
        <f>IF(AF752 &lt; 3, "0-2 Years", IF(AF752 &lt;= 5, "3-5 Years", IF(AF752 &lt;= 10, "6-10 Years",IF(Table3[[#This Row],[Years At Company]]&lt;=20, "11-20 Years","20+ Years"))))</f>
        <v>11-20 Years</v>
      </c>
    </row>
    <row r="753" spans="1:38" x14ac:dyDescent="0.25">
      <c r="A753" s="2">
        <v>50</v>
      </c>
      <c r="B753" t="s">
        <v>43</v>
      </c>
      <c r="C753" t="s">
        <v>55</v>
      </c>
      <c r="D753" s="2">
        <v>145</v>
      </c>
      <c r="E753" t="s">
        <v>37</v>
      </c>
      <c r="F753" s="2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 s="2">
        <v>6347</v>
      </c>
      <c r="T753">
        <v>24920</v>
      </c>
      <c r="U753">
        <v>0</v>
      </c>
      <c r="V753" t="s">
        <v>42</v>
      </c>
      <c r="W753" t="s">
        <v>43</v>
      </c>
      <c r="X753" s="2">
        <v>12</v>
      </c>
      <c r="Y753">
        <v>3</v>
      </c>
      <c r="Z753">
        <v>1</v>
      </c>
      <c r="AA753">
        <v>80</v>
      </c>
      <c r="AB753">
        <v>1</v>
      </c>
      <c r="AC753" s="2">
        <v>19</v>
      </c>
      <c r="AD753">
        <v>3</v>
      </c>
      <c r="AE753">
        <v>3</v>
      </c>
      <c r="AF753" s="2">
        <v>18</v>
      </c>
      <c r="AG753">
        <v>7</v>
      </c>
      <c r="AH753">
        <v>0</v>
      </c>
      <c r="AI753">
        <v>13</v>
      </c>
      <c r="AJ753" s="2" t="str">
        <f>IF(A753 A753 &lt;= 25, "18-25", IF(A753 &lt;=35, "26-35", IF(A753 &lt;=45, "36-45", IF(Table3[[#This Row],[Age]] &lt;=55, "46-55", "56+"))))</f>
        <v>46-55</v>
      </c>
      <c r="AK753" t="str">
        <f t="shared" si="11"/>
        <v>Medium</v>
      </c>
      <c r="AL753" s="2" t="str">
        <f>IF(AF753 &lt; 3, "0-2 Years", IF(AF753 &lt;= 5, "3-5 Years", IF(AF753 &lt;= 10, "6-10 Years",IF(Table3[[#This Row],[Years At Company]]&lt;=20, "11-20 Years","20+ Years"))))</f>
        <v>11-20 Years</v>
      </c>
    </row>
    <row r="754" spans="1:38" x14ac:dyDescent="0.25">
      <c r="A754" s="2">
        <v>36</v>
      </c>
      <c r="B754" t="s">
        <v>35</v>
      </c>
      <c r="C754" t="s">
        <v>36</v>
      </c>
      <c r="D754" s="2">
        <v>885</v>
      </c>
      <c r="E754" t="s">
        <v>45</v>
      </c>
      <c r="F754" s="2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 s="2">
        <v>2743</v>
      </c>
      <c r="T754">
        <v>8269</v>
      </c>
      <c r="U754">
        <v>1</v>
      </c>
      <c r="V754" t="s">
        <v>42</v>
      </c>
      <c r="W754" t="s">
        <v>43</v>
      </c>
      <c r="X754" s="2">
        <v>16</v>
      </c>
      <c r="Y754">
        <v>3</v>
      </c>
      <c r="Z754">
        <v>3</v>
      </c>
      <c r="AA754">
        <v>80</v>
      </c>
      <c r="AB754">
        <v>0</v>
      </c>
      <c r="AC754" s="2">
        <v>18</v>
      </c>
      <c r="AD754">
        <v>1</v>
      </c>
      <c r="AE754">
        <v>3</v>
      </c>
      <c r="AF754" s="2">
        <v>17</v>
      </c>
      <c r="AG754">
        <v>13</v>
      </c>
      <c r="AH754">
        <v>15</v>
      </c>
      <c r="AI754">
        <v>14</v>
      </c>
      <c r="AJ754" s="2" t="str">
        <f>IF(A754 A754 &lt;= 25, "18-25", IF(A754 &lt;=35, "26-35", IF(A754 &lt;=45, "36-45", IF(Table3[[#This Row],[Age]] &lt;=55, "46-55", "56+"))))</f>
        <v>36-45</v>
      </c>
      <c r="AK754" t="str">
        <f t="shared" si="11"/>
        <v>Low</v>
      </c>
      <c r="AL754" s="2" t="str">
        <f>IF(AF754 &lt; 3, "0-2 Years", IF(AF754 &lt;= 5, "3-5 Years", IF(AF754 &lt;= 10, "6-10 Years",IF(Table3[[#This Row],[Years At Company]]&lt;=20, "11-20 Years","20+ Years"))))</f>
        <v>11-20 Years</v>
      </c>
    </row>
    <row r="755" spans="1:38" x14ac:dyDescent="0.25">
      <c r="A755" s="2">
        <v>39</v>
      </c>
      <c r="B755" t="s">
        <v>43</v>
      </c>
      <c r="C755" t="s">
        <v>44</v>
      </c>
      <c r="D755" s="2">
        <v>945</v>
      </c>
      <c r="E755" t="s">
        <v>45</v>
      </c>
      <c r="F755" s="2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 s="2">
        <v>10880</v>
      </c>
      <c r="T755">
        <v>5083</v>
      </c>
      <c r="U755">
        <v>1</v>
      </c>
      <c r="V755" t="s">
        <v>42</v>
      </c>
      <c r="W755" t="s">
        <v>35</v>
      </c>
      <c r="X755" s="2">
        <v>13</v>
      </c>
      <c r="Y755">
        <v>3</v>
      </c>
      <c r="Z755">
        <v>3</v>
      </c>
      <c r="AA755">
        <v>80</v>
      </c>
      <c r="AB755">
        <v>0</v>
      </c>
      <c r="AC755" s="2">
        <v>21</v>
      </c>
      <c r="AD755">
        <v>2</v>
      </c>
      <c r="AE755">
        <v>3</v>
      </c>
      <c r="AF755" s="2">
        <v>21</v>
      </c>
      <c r="AG755">
        <v>6</v>
      </c>
      <c r="AH755">
        <v>2</v>
      </c>
      <c r="AI755">
        <v>8</v>
      </c>
      <c r="AJ755" s="2" t="str">
        <f>IF(A755 A755 &lt;= 25, "18-25", IF(A755 &lt;=35, "26-35", IF(A755 &lt;=45, "36-45", IF(Table3[[#This Row],[Age]] &lt;=55, "46-55", "56+"))))</f>
        <v>36-45</v>
      </c>
      <c r="AK755" t="str">
        <f t="shared" si="11"/>
        <v>High</v>
      </c>
      <c r="AL755" s="2" t="str">
        <f>IF(AF755 &lt; 3, "0-2 Years", IF(AF755 &lt;= 5, "3-5 Years", IF(AF755 &lt;= 10, "6-10 Years",IF(Table3[[#This Row],[Years At Company]]&lt;=20, "11-20 Years","20+ Years"))))</f>
        <v>20+ Years</v>
      </c>
    </row>
    <row r="756" spans="1:38" x14ac:dyDescent="0.25">
      <c r="A756" s="2">
        <v>33</v>
      </c>
      <c r="B756" t="s">
        <v>43</v>
      </c>
      <c r="C756" t="s">
        <v>55</v>
      </c>
      <c r="D756" s="2">
        <v>1038</v>
      </c>
      <c r="E756" t="s">
        <v>37</v>
      </c>
      <c r="F756" s="2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 s="2">
        <v>2342</v>
      </c>
      <c r="T756">
        <v>21437</v>
      </c>
      <c r="U756">
        <v>0</v>
      </c>
      <c r="V756" t="s">
        <v>42</v>
      </c>
      <c r="W756" t="s">
        <v>43</v>
      </c>
      <c r="X756" s="2">
        <v>19</v>
      </c>
      <c r="Y756">
        <v>3</v>
      </c>
      <c r="Z756">
        <v>4</v>
      </c>
      <c r="AA756">
        <v>80</v>
      </c>
      <c r="AB756">
        <v>0</v>
      </c>
      <c r="AC756" s="2">
        <v>3</v>
      </c>
      <c r="AD756">
        <v>2</v>
      </c>
      <c r="AE756">
        <v>2</v>
      </c>
      <c r="AF756" s="2">
        <v>2</v>
      </c>
      <c r="AG756">
        <v>2</v>
      </c>
      <c r="AH756">
        <v>2</v>
      </c>
      <c r="AI756">
        <v>2</v>
      </c>
      <c r="AJ756" s="2" t="str">
        <f>IF(A756 A756 &lt;= 25, "18-25", IF(A756 &lt;=35, "26-35", IF(A756 &lt;=45, "36-45", IF(Table3[[#This Row],[Age]] &lt;=55, "46-55", "56+"))))</f>
        <v>26-35</v>
      </c>
      <c r="AK756" t="str">
        <f t="shared" si="11"/>
        <v>Low</v>
      </c>
      <c r="AL756" s="2" t="str">
        <f>IF(AF756 &lt; 3, "0-2 Years", IF(AF756 &lt;= 5, "3-5 Years", IF(AF756 &lt;= 10, "6-10 Years",IF(Table3[[#This Row],[Years At Company]]&lt;=20, "11-20 Years","20+ Years"))))</f>
        <v>0-2 Years</v>
      </c>
    </row>
    <row r="757" spans="1:38" x14ac:dyDescent="0.25">
      <c r="A757" s="2">
        <v>45</v>
      </c>
      <c r="B757" t="s">
        <v>43</v>
      </c>
      <c r="C757" t="s">
        <v>36</v>
      </c>
      <c r="D757" s="2">
        <v>1234</v>
      </c>
      <c r="E757" t="s">
        <v>37</v>
      </c>
      <c r="F757" s="2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 s="2">
        <v>17650</v>
      </c>
      <c r="T757">
        <v>5404</v>
      </c>
      <c r="U757">
        <v>3</v>
      </c>
      <c r="V757" t="s">
        <v>42</v>
      </c>
      <c r="W757" t="s">
        <v>43</v>
      </c>
      <c r="X757" s="2">
        <v>13</v>
      </c>
      <c r="Y757">
        <v>3</v>
      </c>
      <c r="Z757">
        <v>2</v>
      </c>
      <c r="AA757">
        <v>80</v>
      </c>
      <c r="AB757">
        <v>1</v>
      </c>
      <c r="AC757" s="2">
        <v>26</v>
      </c>
      <c r="AD757">
        <v>4</v>
      </c>
      <c r="AE757">
        <v>4</v>
      </c>
      <c r="AF757" s="2">
        <v>9</v>
      </c>
      <c r="AG757">
        <v>3</v>
      </c>
      <c r="AH757">
        <v>1</v>
      </c>
      <c r="AI757">
        <v>1</v>
      </c>
      <c r="AJ757" s="2" t="str">
        <f>IF(A757 A757 &lt;= 25, "18-25", IF(A757 &lt;=35, "26-35", IF(A757 &lt;=45, "36-45", IF(Table3[[#This Row],[Age]] &lt;=55, "46-55", "56+"))))</f>
        <v>36-45</v>
      </c>
      <c r="AK757" t="str">
        <f t="shared" si="11"/>
        <v>High</v>
      </c>
      <c r="AL757" s="2" t="str">
        <f>IF(AF757 &lt; 3, "0-2 Years", IF(AF757 &lt;= 5, "3-5 Years", IF(AF757 &lt;= 10, "6-10 Years",IF(Table3[[#This Row],[Years At Company]]&lt;=20, "11-20 Years","20+ Years"))))</f>
        <v>6-10 Years</v>
      </c>
    </row>
    <row r="758" spans="1:38" x14ac:dyDescent="0.25">
      <c r="A758" s="2">
        <v>32</v>
      </c>
      <c r="B758" t="s">
        <v>43</v>
      </c>
      <c r="C758" t="s">
        <v>55</v>
      </c>
      <c r="D758" s="2">
        <v>1109</v>
      </c>
      <c r="E758" t="s">
        <v>45</v>
      </c>
      <c r="F758" s="2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 s="2">
        <v>4025</v>
      </c>
      <c r="T758">
        <v>11135</v>
      </c>
      <c r="U758">
        <v>9</v>
      </c>
      <c r="V758" t="s">
        <v>42</v>
      </c>
      <c r="W758" t="s">
        <v>43</v>
      </c>
      <c r="X758" s="2">
        <v>12</v>
      </c>
      <c r="Y758">
        <v>3</v>
      </c>
      <c r="Z758">
        <v>2</v>
      </c>
      <c r="AA758">
        <v>80</v>
      </c>
      <c r="AB758">
        <v>0</v>
      </c>
      <c r="AC758" s="2">
        <v>10</v>
      </c>
      <c r="AD758">
        <v>2</v>
      </c>
      <c r="AE758">
        <v>3</v>
      </c>
      <c r="AF758" s="2">
        <v>8</v>
      </c>
      <c r="AG758">
        <v>7</v>
      </c>
      <c r="AH758">
        <v>7</v>
      </c>
      <c r="AI758">
        <v>7</v>
      </c>
      <c r="AJ758" s="2" t="str">
        <f>IF(A758 A758 &lt;= 25, "18-25", IF(A758 &lt;=35, "26-35", IF(A758 &lt;=45, "36-45", IF(Table3[[#This Row],[Age]] &lt;=55, "46-55", "56+"))))</f>
        <v>26-35</v>
      </c>
      <c r="AK758" t="str">
        <f t="shared" si="11"/>
        <v>Low</v>
      </c>
      <c r="AL758" s="2" t="str">
        <f>IF(AF758 &lt; 3, "0-2 Years", IF(AF758 &lt;= 5, "3-5 Years", IF(AF758 &lt;= 10, "6-10 Years",IF(Table3[[#This Row],[Years At Company]]&lt;=20, "11-20 Years","20+ Years"))))</f>
        <v>6-10 Years</v>
      </c>
    </row>
    <row r="759" spans="1:38" x14ac:dyDescent="0.25">
      <c r="A759" s="2">
        <v>34</v>
      </c>
      <c r="B759" t="s">
        <v>43</v>
      </c>
      <c r="C759" t="s">
        <v>36</v>
      </c>
      <c r="D759" s="2">
        <v>216</v>
      </c>
      <c r="E759" t="s">
        <v>37</v>
      </c>
      <c r="F759" s="2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 s="2">
        <v>9725</v>
      </c>
      <c r="T759">
        <v>12278</v>
      </c>
      <c r="U759">
        <v>0</v>
      </c>
      <c r="V759" t="s">
        <v>42</v>
      </c>
      <c r="W759" t="s">
        <v>43</v>
      </c>
      <c r="X759" s="2">
        <v>11</v>
      </c>
      <c r="Y759">
        <v>3</v>
      </c>
      <c r="Z759">
        <v>4</v>
      </c>
      <c r="AA759">
        <v>80</v>
      </c>
      <c r="AB759">
        <v>1</v>
      </c>
      <c r="AC759" s="2">
        <v>16</v>
      </c>
      <c r="AD759">
        <v>2</v>
      </c>
      <c r="AE759">
        <v>2</v>
      </c>
      <c r="AF759" s="2">
        <v>15</v>
      </c>
      <c r="AG759">
        <v>1</v>
      </c>
      <c r="AH759">
        <v>0</v>
      </c>
      <c r="AI759">
        <v>9</v>
      </c>
      <c r="AJ759" s="2" t="str">
        <f>IF(A759 A759 &lt;= 25, "18-25", IF(A759 &lt;=35, "26-35", IF(A759 &lt;=45, "36-45", IF(Table3[[#This Row],[Age]] &lt;=55, "46-55", "56+"))))</f>
        <v>26-35</v>
      </c>
      <c r="AK759" t="str">
        <f t="shared" si="11"/>
        <v>Medium</v>
      </c>
      <c r="AL759" s="2" t="str">
        <f>IF(AF759 &lt; 3, "0-2 Years", IF(AF759 &lt;= 5, "3-5 Years", IF(AF759 &lt;= 10, "6-10 Years",IF(Table3[[#This Row],[Years At Company]]&lt;=20, "11-20 Years","20+ Years"))))</f>
        <v>11-20 Years</v>
      </c>
    </row>
    <row r="760" spans="1:38" x14ac:dyDescent="0.25">
      <c r="A760" s="2">
        <v>59</v>
      </c>
      <c r="B760" t="s">
        <v>43</v>
      </c>
      <c r="C760" t="s">
        <v>36</v>
      </c>
      <c r="D760" s="2">
        <v>1089</v>
      </c>
      <c r="E760" t="s">
        <v>37</v>
      </c>
      <c r="F760" s="2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 s="2">
        <v>11904</v>
      </c>
      <c r="T760">
        <v>11038</v>
      </c>
      <c r="U760">
        <v>3</v>
      </c>
      <c r="V760" t="s">
        <v>42</v>
      </c>
      <c r="W760" t="s">
        <v>35</v>
      </c>
      <c r="X760" s="2">
        <v>14</v>
      </c>
      <c r="Y760">
        <v>3</v>
      </c>
      <c r="Z760">
        <v>3</v>
      </c>
      <c r="AA760">
        <v>80</v>
      </c>
      <c r="AB760">
        <v>1</v>
      </c>
      <c r="AC760" s="2">
        <v>14</v>
      </c>
      <c r="AD760">
        <v>1</v>
      </c>
      <c r="AE760">
        <v>1</v>
      </c>
      <c r="AF760" s="2">
        <v>6</v>
      </c>
      <c r="AG760">
        <v>4</v>
      </c>
      <c r="AH760">
        <v>0</v>
      </c>
      <c r="AI760">
        <v>4</v>
      </c>
      <c r="AJ760" s="2" t="str">
        <f>IF(A760 A760 &lt;= 25, "18-25", IF(A760 &lt;=35, "26-35", IF(A760 &lt;=45, "36-45", IF(Table3[[#This Row],[Age]] &lt;=55, "46-55", "56+"))))</f>
        <v>56+</v>
      </c>
      <c r="AK760" t="str">
        <f t="shared" si="11"/>
        <v>High</v>
      </c>
      <c r="AL760" s="2" t="str">
        <f>IF(AF760 &lt; 3, "0-2 Years", IF(AF760 &lt;= 5, "3-5 Years", IF(AF760 &lt;= 10, "6-10 Years",IF(Table3[[#This Row],[Years At Company]]&lt;=20, "11-20 Years","20+ Years"))))</f>
        <v>6-10 Years</v>
      </c>
    </row>
    <row r="761" spans="1:38" x14ac:dyDescent="0.25">
      <c r="A761" s="2">
        <v>45</v>
      </c>
      <c r="B761" t="s">
        <v>43</v>
      </c>
      <c r="C761" t="s">
        <v>36</v>
      </c>
      <c r="D761" s="2">
        <v>788</v>
      </c>
      <c r="E761" t="s">
        <v>61</v>
      </c>
      <c r="F761" s="2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 s="2">
        <v>2177</v>
      </c>
      <c r="T761">
        <v>8318</v>
      </c>
      <c r="U761">
        <v>1</v>
      </c>
      <c r="V761" t="s">
        <v>42</v>
      </c>
      <c r="W761" t="s">
        <v>43</v>
      </c>
      <c r="X761" s="2">
        <v>16</v>
      </c>
      <c r="Y761">
        <v>3</v>
      </c>
      <c r="Z761">
        <v>1</v>
      </c>
      <c r="AA761">
        <v>80</v>
      </c>
      <c r="AB761">
        <v>0</v>
      </c>
      <c r="AC761" s="2">
        <v>6</v>
      </c>
      <c r="AD761">
        <v>3</v>
      </c>
      <c r="AE761">
        <v>3</v>
      </c>
      <c r="AF761" s="2">
        <v>6</v>
      </c>
      <c r="AG761">
        <v>3</v>
      </c>
      <c r="AH761">
        <v>0</v>
      </c>
      <c r="AI761">
        <v>4</v>
      </c>
      <c r="AJ761" s="2" t="str">
        <f>IF(A761 A761 &lt;= 25, "18-25", IF(A761 &lt;=35, "26-35", IF(A761 &lt;=45, "36-45", IF(Table3[[#This Row],[Age]] &lt;=55, "46-55", "56+"))))</f>
        <v>36-45</v>
      </c>
      <c r="AK761" t="str">
        <f t="shared" si="11"/>
        <v>Low</v>
      </c>
      <c r="AL761" s="2" t="str">
        <f>IF(AF761 &lt; 3, "0-2 Years", IF(AF761 &lt;= 5, "3-5 Years", IF(AF761 &lt;= 10, "6-10 Years",IF(Table3[[#This Row],[Years At Company]]&lt;=20, "11-20 Years","20+ Years"))))</f>
        <v>6-10 Years</v>
      </c>
    </row>
    <row r="762" spans="1:38" x14ac:dyDescent="0.25">
      <c r="A762" s="2">
        <v>53</v>
      </c>
      <c r="B762" t="s">
        <v>43</v>
      </c>
      <c r="C762" t="s">
        <v>44</v>
      </c>
      <c r="D762" s="2">
        <v>124</v>
      </c>
      <c r="E762" t="s">
        <v>37</v>
      </c>
      <c r="F762" s="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 s="2">
        <v>7525</v>
      </c>
      <c r="T762">
        <v>23537</v>
      </c>
      <c r="U762">
        <v>2</v>
      </c>
      <c r="V762" t="s">
        <v>42</v>
      </c>
      <c r="W762" t="s">
        <v>43</v>
      </c>
      <c r="X762" s="2">
        <v>12</v>
      </c>
      <c r="Y762">
        <v>3</v>
      </c>
      <c r="Z762">
        <v>1</v>
      </c>
      <c r="AA762">
        <v>80</v>
      </c>
      <c r="AB762">
        <v>1</v>
      </c>
      <c r="AC762" s="2">
        <v>30</v>
      </c>
      <c r="AD762">
        <v>2</v>
      </c>
      <c r="AE762">
        <v>3</v>
      </c>
      <c r="AF762" s="2">
        <v>15</v>
      </c>
      <c r="AG762">
        <v>7</v>
      </c>
      <c r="AH762">
        <v>6</v>
      </c>
      <c r="AI762">
        <v>12</v>
      </c>
      <c r="AJ762" s="2" t="str">
        <f>IF(A762 A762 &lt;= 25, "18-25", IF(A762 &lt;=35, "26-35", IF(A762 &lt;=45, "36-45", IF(Table3[[#This Row],[Age]] &lt;=55, "46-55", "56+"))))</f>
        <v>46-55</v>
      </c>
      <c r="AK762" t="str">
        <f t="shared" si="11"/>
        <v>Medium</v>
      </c>
      <c r="AL762" s="2" t="str">
        <f>IF(AF762 &lt; 3, "0-2 Years", IF(AF762 &lt;= 5, "3-5 Years", IF(AF762 &lt;= 10, "6-10 Years",IF(Table3[[#This Row],[Years At Company]]&lt;=20, "11-20 Years","20+ Years"))))</f>
        <v>11-20 Years</v>
      </c>
    </row>
    <row r="763" spans="1:38" x14ac:dyDescent="0.25">
      <c r="A763" s="2">
        <v>36</v>
      </c>
      <c r="B763" t="s">
        <v>35</v>
      </c>
      <c r="C763" t="s">
        <v>36</v>
      </c>
      <c r="D763" s="2">
        <v>660</v>
      </c>
      <c r="E763" t="s">
        <v>45</v>
      </c>
      <c r="F763" s="2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 s="2">
        <v>4834</v>
      </c>
      <c r="T763">
        <v>7858</v>
      </c>
      <c r="U763">
        <v>7</v>
      </c>
      <c r="V763" t="s">
        <v>42</v>
      </c>
      <c r="W763" t="s">
        <v>43</v>
      </c>
      <c r="X763" s="2">
        <v>14</v>
      </c>
      <c r="Y763">
        <v>3</v>
      </c>
      <c r="Z763">
        <v>2</v>
      </c>
      <c r="AA763">
        <v>80</v>
      </c>
      <c r="AB763">
        <v>1</v>
      </c>
      <c r="AC763" s="2">
        <v>9</v>
      </c>
      <c r="AD763">
        <v>3</v>
      </c>
      <c r="AE763">
        <v>2</v>
      </c>
      <c r="AF763" s="2">
        <v>1</v>
      </c>
      <c r="AG763">
        <v>0</v>
      </c>
      <c r="AH763">
        <v>0</v>
      </c>
      <c r="AI763">
        <v>0</v>
      </c>
      <c r="AJ763" s="2" t="str">
        <f>IF(A763 A763 &lt;= 25, "18-25", IF(A763 &lt;=35, "26-35", IF(A763 &lt;=45, "36-45", IF(Table3[[#This Row],[Age]] &lt;=55, "46-55", "56+"))))</f>
        <v>36-45</v>
      </c>
      <c r="AK763" t="str">
        <f t="shared" si="11"/>
        <v>Low</v>
      </c>
      <c r="AL763" s="2" t="str">
        <f>IF(AF763 &lt; 3, "0-2 Years", IF(AF763 &lt;= 5, "3-5 Years", IF(AF763 &lt;= 10, "6-10 Years",IF(Table3[[#This Row],[Years At Company]]&lt;=20, "11-20 Years","20+ Years"))))</f>
        <v>0-2 Years</v>
      </c>
    </row>
    <row r="764" spans="1:38" x14ac:dyDescent="0.25">
      <c r="A764" s="2">
        <v>26</v>
      </c>
      <c r="B764" t="s">
        <v>35</v>
      </c>
      <c r="C764" t="s">
        <v>44</v>
      </c>
      <c r="D764" s="2">
        <v>342</v>
      </c>
      <c r="E764" t="s">
        <v>45</v>
      </c>
      <c r="F764" s="2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 s="2">
        <v>2042</v>
      </c>
      <c r="T764">
        <v>15346</v>
      </c>
      <c r="U764">
        <v>6</v>
      </c>
      <c r="V764" t="s">
        <v>42</v>
      </c>
      <c r="W764" t="s">
        <v>35</v>
      </c>
      <c r="X764" s="2">
        <v>14</v>
      </c>
      <c r="Y764">
        <v>3</v>
      </c>
      <c r="Z764">
        <v>2</v>
      </c>
      <c r="AA764">
        <v>80</v>
      </c>
      <c r="AB764">
        <v>1</v>
      </c>
      <c r="AC764" s="2">
        <v>6</v>
      </c>
      <c r="AD764">
        <v>2</v>
      </c>
      <c r="AE764">
        <v>3</v>
      </c>
      <c r="AF764" s="2">
        <v>3</v>
      </c>
      <c r="AG764">
        <v>2</v>
      </c>
      <c r="AH764">
        <v>1</v>
      </c>
      <c r="AI764">
        <v>2</v>
      </c>
      <c r="AJ764" s="2" t="str">
        <f>IF(A764 A764 &lt;= 25, "18-25", IF(A764 &lt;=35, "26-35", IF(A764 &lt;=45, "36-45", IF(Table3[[#This Row],[Age]] &lt;=55, "46-55", "56+"))))</f>
        <v>26-35</v>
      </c>
      <c r="AK764" t="str">
        <f t="shared" si="11"/>
        <v>Low</v>
      </c>
      <c r="AL764" s="2" t="str">
        <f>IF(AF764 &lt; 3, "0-2 Years", IF(AF764 &lt;= 5, "3-5 Years", IF(AF764 &lt;= 10, "6-10 Years",IF(Table3[[#This Row],[Years At Company]]&lt;=20, "11-20 Years","20+ Years"))))</f>
        <v>3-5 Years</v>
      </c>
    </row>
    <row r="765" spans="1:38" x14ac:dyDescent="0.25">
      <c r="A765" s="2">
        <v>34</v>
      </c>
      <c r="B765" t="s">
        <v>43</v>
      </c>
      <c r="C765" t="s">
        <v>36</v>
      </c>
      <c r="D765" s="2">
        <v>1333</v>
      </c>
      <c r="E765" t="s">
        <v>37</v>
      </c>
      <c r="F765" s="2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 s="2">
        <v>2220</v>
      </c>
      <c r="T765">
        <v>18410</v>
      </c>
      <c r="U765">
        <v>1</v>
      </c>
      <c r="V765" t="s">
        <v>42</v>
      </c>
      <c r="W765" t="s">
        <v>35</v>
      </c>
      <c r="X765" s="2">
        <v>19</v>
      </c>
      <c r="Y765">
        <v>3</v>
      </c>
      <c r="Z765">
        <v>4</v>
      </c>
      <c r="AA765">
        <v>80</v>
      </c>
      <c r="AB765">
        <v>1</v>
      </c>
      <c r="AC765" s="2">
        <v>1</v>
      </c>
      <c r="AD765">
        <v>2</v>
      </c>
      <c r="AE765">
        <v>3</v>
      </c>
      <c r="AF765" s="2">
        <v>1</v>
      </c>
      <c r="AG765">
        <v>1</v>
      </c>
      <c r="AH765">
        <v>0</v>
      </c>
      <c r="AI765">
        <v>0</v>
      </c>
      <c r="AJ765" s="2" t="str">
        <f>IF(A765 A765 &lt;= 25, "18-25", IF(A765 &lt;=35, "26-35", IF(A765 &lt;=45, "36-45", IF(Table3[[#This Row],[Age]] &lt;=55, "46-55", "56+"))))</f>
        <v>26-35</v>
      </c>
      <c r="AK765" t="str">
        <f t="shared" si="11"/>
        <v>Low</v>
      </c>
      <c r="AL765" s="2" t="str">
        <f>IF(AF765 &lt; 3, "0-2 Years", IF(AF765 &lt;= 5, "3-5 Years", IF(AF765 &lt;= 10, "6-10 Years",IF(Table3[[#This Row],[Years At Company]]&lt;=20, "11-20 Years","20+ Years"))))</f>
        <v>0-2 Years</v>
      </c>
    </row>
    <row r="766" spans="1:38" x14ac:dyDescent="0.25">
      <c r="A766" s="2">
        <v>28</v>
      </c>
      <c r="B766" t="s">
        <v>43</v>
      </c>
      <c r="C766" t="s">
        <v>36</v>
      </c>
      <c r="D766" s="2">
        <v>1144</v>
      </c>
      <c r="E766" t="s">
        <v>37</v>
      </c>
      <c r="F766" s="2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 s="2">
        <v>1052</v>
      </c>
      <c r="T766">
        <v>23384</v>
      </c>
      <c r="U766">
        <v>1</v>
      </c>
      <c r="V766" t="s">
        <v>42</v>
      </c>
      <c r="W766" t="s">
        <v>43</v>
      </c>
      <c r="X766" s="2">
        <v>22</v>
      </c>
      <c r="Y766">
        <v>4</v>
      </c>
      <c r="Z766">
        <v>2</v>
      </c>
      <c r="AA766">
        <v>80</v>
      </c>
      <c r="AB766">
        <v>0</v>
      </c>
      <c r="AC766" s="2">
        <v>1</v>
      </c>
      <c r="AD766">
        <v>5</v>
      </c>
      <c r="AE766">
        <v>3</v>
      </c>
      <c r="AF766" s="2">
        <v>1</v>
      </c>
      <c r="AG766">
        <v>0</v>
      </c>
      <c r="AH766">
        <v>0</v>
      </c>
      <c r="AI766">
        <v>0</v>
      </c>
      <c r="AJ766" s="2" t="str">
        <f>IF(A766 A766 &lt;= 25, "18-25", IF(A766 &lt;=35, "26-35", IF(A766 &lt;=45, "36-45", IF(Table3[[#This Row],[Age]] &lt;=55, "46-55", "56+"))))</f>
        <v>26-35</v>
      </c>
      <c r="AK766" t="str">
        <f t="shared" si="11"/>
        <v>Low</v>
      </c>
      <c r="AL766" s="2" t="str">
        <f>IF(AF766 &lt; 3, "0-2 Years", IF(AF766 &lt;= 5, "3-5 Years", IF(AF766 &lt;= 10, "6-10 Years",IF(Table3[[#This Row],[Years At Company]]&lt;=20, "11-20 Years","20+ Years"))))</f>
        <v>0-2 Years</v>
      </c>
    </row>
    <row r="767" spans="1:38" x14ac:dyDescent="0.25">
      <c r="A767" s="2">
        <v>38</v>
      </c>
      <c r="B767" t="s">
        <v>43</v>
      </c>
      <c r="C767" t="s">
        <v>44</v>
      </c>
      <c r="D767" s="2">
        <v>1186</v>
      </c>
      <c r="E767" t="s">
        <v>45</v>
      </c>
      <c r="F767" s="2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 s="2">
        <v>2821</v>
      </c>
      <c r="T767">
        <v>2997</v>
      </c>
      <c r="U767">
        <v>3</v>
      </c>
      <c r="V767" t="s">
        <v>42</v>
      </c>
      <c r="W767" t="s">
        <v>43</v>
      </c>
      <c r="X767" s="2">
        <v>16</v>
      </c>
      <c r="Y767">
        <v>3</v>
      </c>
      <c r="Z767">
        <v>1</v>
      </c>
      <c r="AA767">
        <v>80</v>
      </c>
      <c r="AB767">
        <v>1</v>
      </c>
      <c r="AC767" s="2">
        <v>8</v>
      </c>
      <c r="AD767">
        <v>2</v>
      </c>
      <c r="AE767">
        <v>3</v>
      </c>
      <c r="AF767" s="2">
        <v>2</v>
      </c>
      <c r="AG767">
        <v>2</v>
      </c>
      <c r="AH767">
        <v>2</v>
      </c>
      <c r="AI767">
        <v>2</v>
      </c>
      <c r="AJ767" s="2" t="str">
        <f>IF(A767 A767 &lt;= 25, "18-25", IF(A767 &lt;=35, "26-35", IF(A767 &lt;=45, "36-45", IF(Table3[[#This Row],[Age]] &lt;=55, "46-55", "56+"))))</f>
        <v>36-45</v>
      </c>
      <c r="AK767" t="str">
        <f t="shared" si="11"/>
        <v>Low</v>
      </c>
      <c r="AL767" s="2" t="str">
        <f>IF(AF767 &lt; 3, "0-2 Years", IF(AF767 &lt;= 5, "3-5 Years", IF(AF767 &lt;= 10, "6-10 Years",IF(Table3[[#This Row],[Years At Company]]&lt;=20, "11-20 Years","20+ Years"))))</f>
        <v>0-2 Years</v>
      </c>
    </row>
    <row r="768" spans="1:38" x14ac:dyDescent="0.25">
      <c r="A768" s="2">
        <v>50</v>
      </c>
      <c r="B768" t="s">
        <v>43</v>
      </c>
      <c r="C768" t="s">
        <v>36</v>
      </c>
      <c r="D768" s="2">
        <v>1464</v>
      </c>
      <c r="E768" t="s">
        <v>45</v>
      </c>
      <c r="F768" s="2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 s="2">
        <v>19237</v>
      </c>
      <c r="T768">
        <v>12853</v>
      </c>
      <c r="U768">
        <v>2</v>
      </c>
      <c r="V768" t="s">
        <v>42</v>
      </c>
      <c r="W768" t="s">
        <v>35</v>
      </c>
      <c r="X768" s="2">
        <v>11</v>
      </c>
      <c r="Y768">
        <v>3</v>
      </c>
      <c r="Z768">
        <v>4</v>
      </c>
      <c r="AA768">
        <v>80</v>
      </c>
      <c r="AB768">
        <v>1</v>
      </c>
      <c r="AC768" s="2">
        <v>29</v>
      </c>
      <c r="AD768">
        <v>2</v>
      </c>
      <c r="AE768">
        <v>2</v>
      </c>
      <c r="AF768" s="2">
        <v>8</v>
      </c>
      <c r="AG768">
        <v>1</v>
      </c>
      <c r="AH768">
        <v>7</v>
      </c>
      <c r="AI768">
        <v>7</v>
      </c>
      <c r="AJ768" s="2" t="str">
        <f>IF(A768 A768 &lt;= 25, "18-25", IF(A768 &lt;=35, "26-35", IF(A768 &lt;=45, "36-45", IF(Table3[[#This Row],[Age]] &lt;=55, "46-55", "56+"))))</f>
        <v>46-55</v>
      </c>
      <c r="AK768" t="str">
        <f t="shared" si="11"/>
        <v>High</v>
      </c>
      <c r="AL768" s="2" t="str">
        <f>IF(AF768 &lt; 3, "0-2 Years", IF(AF768 &lt;= 5, "3-5 Years", IF(AF768 &lt;= 10, "6-10 Years",IF(Table3[[#This Row],[Years At Company]]&lt;=20, "11-20 Years","20+ Years"))))</f>
        <v>6-10 Years</v>
      </c>
    </row>
    <row r="769" spans="1:38" x14ac:dyDescent="0.25">
      <c r="A769" s="2">
        <v>37</v>
      </c>
      <c r="B769" t="s">
        <v>43</v>
      </c>
      <c r="C769" t="s">
        <v>36</v>
      </c>
      <c r="D769" s="2">
        <v>124</v>
      </c>
      <c r="E769" t="s">
        <v>45</v>
      </c>
      <c r="F769" s="2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 s="2">
        <v>4107</v>
      </c>
      <c r="T769">
        <v>13848</v>
      </c>
      <c r="U769">
        <v>3</v>
      </c>
      <c r="V769" t="s">
        <v>42</v>
      </c>
      <c r="W769" t="s">
        <v>43</v>
      </c>
      <c r="X769" s="2">
        <v>15</v>
      </c>
      <c r="Y769">
        <v>3</v>
      </c>
      <c r="Z769">
        <v>1</v>
      </c>
      <c r="AA769">
        <v>80</v>
      </c>
      <c r="AB769">
        <v>0</v>
      </c>
      <c r="AC769" s="2">
        <v>8</v>
      </c>
      <c r="AD769">
        <v>3</v>
      </c>
      <c r="AE769">
        <v>2</v>
      </c>
      <c r="AF769" s="2">
        <v>4</v>
      </c>
      <c r="AG769">
        <v>3</v>
      </c>
      <c r="AH769">
        <v>0</v>
      </c>
      <c r="AI769">
        <v>1</v>
      </c>
      <c r="AJ769" s="2" t="str">
        <f>IF(A769 A769 &lt;= 25, "18-25", IF(A769 &lt;=35, "26-35", IF(A769 &lt;=45, "36-45", IF(Table3[[#This Row],[Age]] &lt;=55, "46-55", "56+"))))</f>
        <v>36-45</v>
      </c>
      <c r="AK769" t="str">
        <f t="shared" si="11"/>
        <v>Low</v>
      </c>
      <c r="AL769" s="2" t="str">
        <f>IF(AF769 &lt; 3, "0-2 Years", IF(AF769 &lt;= 5, "3-5 Years", IF(AF769 &lt;= 10, "6-10 Years",IF(Table3[[#This Row],[Years At Company]]&lt;=20, "11-20 Years","20+ Years"))))</f>
        <v>3-5 Years</v>
      </c>
    </row>
    <row r="770" spans="1:38" x14ac:dyDescent="0.25">
      <c r="A770" s="2">
        <v>40</v>
      </c>
      <c r="B770" t="s">
        <v>43</v>
      </c>
      <c r="C770" t="s">
        <v>36</v>
      </c>
      <c r="D770" s="2">
        <v>300</v>
      </c>
      <c r="E770" t="s">
        <v>37</v>
      </c>
      <c r="F770" s="2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 s="2">
        <v>8396</v>
      </c>
      <c r="T770">
        <v>22217</v>
      </c>
      <c r="U770">
        <v>1</v>
      </c>
      <c r="V770" t="s">
        <v>42</v>
      </c>
      <c r="W770" t="s">
        <v>43</v>
      </c>
      <c r="X770" s="2">
        <v>14</v>
      </c>
      <c r="Y770">
        <v>3</v>
      </c>
      <c r="Z770">
        <v>2</v>
      </c>
      <c r="AA770">
        <v>80</v>
      </c>
      <c r="AB770">
        <v>1</v>
      </c>
      <c r="AC770" s="2">
        <v>8</v>
      </c>
      <c r="AD770">
        <v>3</v>
      </c>
      <c r="AE770">
        <v>2</v>
      </c>
      <c r="AF770" s="2">
        <v>7</v>
      </c>
      <c r="AG770">
        <v>7</v>
      </c>
      <c r="AH770">
        <v>7</v>
      </c>
      <c r="AI770">
        <v>5</v>
      </c>
      <c r="AJ770" s="2" t="str">
        <f>IF(A770 A770 &lt;= 25, "18-25", IF(A770 &lt;=35, "26-35", IF(A770 &lt;=45, "36-45", IF(Table3[[#This Row],[Age]] &lt;=55, "46-55", "56+"))))</f>
        <v>36-45</v>
      </c>
      <c r="AK770" t="str">
        <f t="shared" ref="AK770:AK833" si="12">IF(S770 &lt; 5000, "Low",IF(S770 &lt;=9999, "Medium", "High"))</f>
        <v>Medium</v>
      </c>
      <c r="AL770" s="2" t="str">
        <f>IF(AF770 &lt; 3, "0-2 Years", IF(AF770 &lt;= 5, "3-5 Years", IF(AF770 &lt;= 10, "6-10 Years",IF(Table3[[#This Row],[Years At Company]]&lt;=20, "11-20 Years","20+ Years"))))</f>
        <v>6-10 Years</v>
      </c>
    </row>
    <row r="771" spans="1:38" x14ac:dyDescent="0.25">
      <c r="A771" s="2">
        <v>26</v>
      </c>
      <c r="B771" t="s">
        <v>43</v>
      </c>
      <c r="C771" t="s">
        <v>44</v>
      </c>
      <c r="D771" s="2">
        <v>921</v>
      </c>
      <c r="E771" t="s">
        <v>45</v>
      </c>
      <c r="F771" s="2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 s="2">
        <v>2007</v>
      </c>
      <c r="T771">
        <v>25265</v>
      </c>
      <c r="U771">
        <v>1</v>
      </c>
      <c r="V771" t="s">
        <v>42</v>
      </c>
      <c r="W771" t="s">
        <v>43</v>
      </c>
      <c r="X771" s="2">
        <v>13</v>
      </c>
      <c r="Y771">
        <v>3</v>
      </c>
      <c r="Z771">
        <v>3</v>
      </c>
      <c r="AA771">
        <v>80</v>
      </c>
      <c r="AB771">
        <v>2</v>
      </c>
      <c r="AC771" s="2">
        <v>5</v>
      </c>
      <c r="AD771">
        <v>5</v>
      </c>
      <c r="AE771">
        <v>3</v>
      </c>
      <c r="AF771" s="2">
        <v>5</v>
      </c>
      <c r="AG771">
        <v>3</v>
      </c>
      <c r="AH771">
        <v>1</v>
      </c>
      <c r="AI771">
        <v>3</v>
      </c>
      <c r="AJ771" s="2" t="str">
        <f>IF(A771 A771 &lt;= 25, "18-25", IF(A771 &lt;=35, "26-35", IF(A771 &lt;=45, "36-45", IF(Table3[[#This Row],[Age]] &lt;=55, "46-55", "56+"))))</f>
        <v>26-35</v>
      </c>
      <c r="AK771" t="str">
        <f t="shared" si="12"/>
        <v>Low</v>
      </c>
      <c r="AL771" s="2" t="str">
        <f>IF(AF771 &lt; 3, "0-2 Years", IF(AF771 &lt;= 5, "3-5 Years", IF(AF771 &lt;= 10, "6-10 Years",IF(Table3[[#This Row],[Years At Company]]&lt;=20, "11-20 Years","20+ Years"))))</f>
        <v>3-5 Years</v>
      </c>
    </row>
    <row r="772" spans="1:38" x14ac:dyDescent="0.25">
      <c r="A772" s="2">
        <v>46</v>
      </c>
      <c r="B772" t="s">
        <v>43</v>
      </c>
      <c r="C772" t="s">
        <v>36</v>
      </c>
      <c r="D772" s="2">
        <v>430</v>
      </c>
      <c r="E772" t="s">
        <v>45</v>
      </c>
      <c r="F772" s="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 s="2">
        <v>19627</v>
      </c>
      <c r="T772">
        <v>21445</v>
      </c>
      <c r="U772">
        <v>9</v>
      </c>
      <c r="V772" t="s">
        <v>42</v>
      </c>
      <c r="W772" t="s">
        <v>43</v>
      </c>
      <c r="X772" s="2">
        <v>17</v>
      </c>
      <c r="Y772">
        <v>3</v>
      </c>
      <c r="Z772">
        <v>4</v>
      </c>
      <c r="AA772">
        <v>80</v>
      </c>
      <c r="AB772">
        <v>2</v>
      </c>
      <c r="AC772" s="2">
        <v>23</v>
      </c>
      <c r="AD772">
        <v>0</v>
      </c>
      <c r="AE772">
        <v>3</v>
      </c>
      <c r="AF772" s="2">
        <v>2</v>
      </c>
      <c r="AG772">
        <v>2</v>
      </c>
      <c r="AH772">
        <v>2</v>
      </c>
      <c r="AI772">
        <v>2</v>
      </c>
      <c r="AJ772" s="2" t="str">
        <f>IF(A772 A772 &lt;= 25, "18-25", IF(A772 &lt;=35, "26-35", IF(A772 &lt;=45, "36-45", IF(Table3[[#This Row],[Age]] &lt;=55, "46-55", "56+"))))</f>
        <v>46-55</v>
      </c>
      <c r="AK772" t="str">
        <f t="shared" si="12"/>
        <v>High</v>
      </c>
      <c r="AL772" s="2" t="str">
        <f>IF(AF772 &lt; 3, "0-2 Years", IF(AF772 &lt;= 5, "3-5 Years", IF(AF772 &lt;= 10, "6-10 Years",IF(Table3[[#This Row],[Years At Company]]&lt;=20, "11-20 Years","20+ Years"))))</f>
        <v>0-2 Years</v>
      </c>
    </row>
    <row r="773" spans="1:38" x14ac:dyDescent="0.25">
      <c r="A773" s="2">
        <v>54</v>
      </c>
      <c r="B773" t="s">
        <v>43</v>
      </c>
      <c r="C773" t="s">
        <v>36</v>
      </c>
      <c r="D773" s="2">
        <v>1082</v>
      </c>
      <c r="E773" t="s">
        <v>37</v>
      </c>
      <c r="F773" s="2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 s="2">
        <v>10686</v>
      </c>
      <c r="T773">
        <v>8392</v>
      </c>
      <c r="U773">
        <v>6</v>
      </c>
      <c r="V773" t="s">
        <v>42</v>
      </c>
      <c r="W773" t="s">
        <v>43</v>
      </c>
      <c r="X773" s="2">
        <v>11</v>
      </c>
      <c r="Y773">
        <v>3</v>
      </c>
      <c r="Z773">
        <v>2</v>
      </c>
      <c r="AA773">
        <v>80</v>
      </c>
      <c r="AB773">
        <v>1</v>
      </c>
      <c r="AC773" s="2">
        <v>13</v>
      </c>
      <c r="AD773">
        <v>4</v>
      </c>
      <c r="AE773">
        <v>3</v>
      </c>
      <c r="AF773" s="2">
        <v>9</v>
      </c>
      <c r="AG773">
        <v>4</v>
      </c>
      <c r="AH773">
        <v>7</v>
      </c>
      <c r="AI773">
        <v>0</v>
      </c>
      <c r="AJ773" s="2" t="str">
        <f>IF(A773 A773 &lt;= 25, "18-25", IF(A773 &lt;=35, "26-35", IF(A773 &lt;=45, "36-45", IF(Table3[[#This Row],[Age]] &lt;=55, "46-55", "56+"))))</f>
        <v>46-55</v>
      </c>
      <c r="AK773" t="str">
        <f t="shared" si="12"/>
        <v>High</v>
      </c>
      <c r="AL773" s="2" t="str">
        <f>IF(AF773 &lt; 3, "0-2 Years", IF(AF773 &lt;= 5, "3-5 Years", IF(AF773 &lt;= 10, "6-10 Years",IF(Table3[[#This Row],[Years At Company]]&lt;=20, "11-20 Years","20+ Years"))))</f>
        <v>6-10 Years</v>
      </c>
    </row>
    <row r="774" spans="1:38" x14ac:dyDescent="0.25">
      <c r="A774" s="2">
        <v>56</v>
      </c>
      <c r="B774" t="s">
        <v>43</v>
      </c>
      <c r="C774" t="s">
        <v>44</v>
      </c>
      <c r="D774" s="2">
        <v>1240</v>
      </c>
      <c r="E774" t="s">
        <v>45</v>
      </c>
      <c r="F774" s="2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 s="2">
        <v>2942</v>
      </c>
      <c r="T774">
        <v>12154</v>
      </c>
      <c r="U774">
        <v>2</v>
      </c>
      <c r="V774" t="s">
        <v>42</v>
      </c>
      <c r="W774" t="s">
        <v>43</v>
      </c>
      <c r="X774" s="2">
        <v>19</v>
      </c>
      <c r="Y774">
        <v>3</v>
      </c>
      <c r="Z774">
        <v>2</v>
      </c>
      <c r="AA774">
        <v>80</v>
      </c>
      <c r="AB774">
        <v>1</v>
      </c>
      <c r="AC774" s="2">
        <v>18</v>
      </c>
      <c r="AD774">
        <v>4</v>
      </c>
      <c r="AE774">
        <v>3</v>
      </c>
      <c r="AF774" s="2">
        <v>5</v>
      </c>
      <c r="AG774">
        <v>4</v>
      </c>
      <c r="AH774">
        <v>0</v>
      </c>
      <c r="AI774">
        <v>3</v>
      </c>
      <c r="AJ774" s="2" t="str">
        <f>IF(A774 A774 &lt;= 25, "18-25", IF(A774 &lt;=35, "26-35", IF(A774 &lt;=45, "36-45", IF(Table3[[#This Row],[Age]] &lt;=55, "46-55", "56+"))))</f>
        <v>56+</v>
      </c>
      <c r="AK774" t="str">
        <f t="shared" si="12"/>
        <v>Low</v>
      </c>
      <c r="AL774" s="2" t="str">
        <f>IF(AF774 &lt; 3, "0-2 Years", IF(AF774 &lt;= 5, "3-5 Years", IF(AF774 &lt;= 10, "6-10 Years",IF(Table3[[#This Row],[Years At Company]]&lt;=20, "11-20 Years","20+ Years"))))</f>
        <v>3-5 Years</v>
      </c>
    </row>
    <row r="775" spans="1:38" x14ac:dyDescent="0.25">
      <c r="A775" s="2">
        <v>36</v>
      </c>
      <c r="B775" t="s">
        <v>43</v>
      </c>
      <c r="C775" t="s">
        <v>36</v>
      </c>
      <c r="D775" s="2">
        <v>796</v>
      </c>
      <c r="E775" t="s">
        <v>45</v>
      </c>
      <c r="F775" s="2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 s="2">
        <v>8858</v>
      </c>
      <c r="T775">
        <v>15669</v>
      </c>
      <c r="U775">
        <v>0</v>
      </c>
      <c r="V775" t="s">
        <v>42</v>
      </c>
      <c r="W775" t="s">
        <v>43</v>
      </c>
      <c r="X775" s="2">
        <v>11</v>
      </c>
      <c r="Y775">
        <v>3</v>
      </c>
      <c r="Z775">
        <v>2</v>
      </c>
      <c r="AA775">
        <v>80</v>
      </c>
      <c r="AB775">
        <v>0</v>
      </c>
      <c r="AC775" s="2">
        <v>15</v>
      </c>
      <c r="AD775">
        <v>2</v>
      </c>
      <c r="AE775">
        <v>2</v>
      </c>
      <c r="AF775" s="2">
        <v>14</v>
      </c>
      <c r="AG775">
        <v>8</v>
      </c>
      <c r="AH775">
        <v>7</v>
      </c>
      <c r="AI775">
        <v>8</v>
      </c>
      <c r="AJ775" s="2" t="str">
        <f>IF(A775 A775 &lt;= 25, "18-25", IF(A775 &lt;=35, "26-35", IF(A775 &lt;=45, "36-45", IF(Table3[[#This Row],[Age]] &lt;=55, "46-55", "56+"))))</f>
        <v>36-45</v>
      </c>
      <c r="AK775" t="str">
        <f t="shared" si="12"/>
        <v>Medium</v>
      </c>
      <c r="AL775" s="2" t="str">
        <f>IF(AF775 &lt; 3, "0-2 Years", IF(AF775 &lt;= 5, "3-5 Years", IF(AF775 &lt;= 10, "6-10 Years",IF(Table3[[#This Row],[Years At Company]]&lt;=20, "11-20 Years","20+ Years"))))</f>
        <v>11-20 Years</v>
      </c>
    </row>
    <row r="776" spans="1:38" x14ac:dyDescent="0.25">
      <c r="A776" s="2">
        <v>55</v>
      </c>
      <c r="B776" t="s">
        <v>43</v>
      </c>
      <c r="C776" t="s">
        <v>55</v>
      </c>
      <c r="D776" s="2">
        <v>444</v>
      </c>
      <c r="E776" t="s">
        <v>45</v>
      </c>
      <c r="F776" s="2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 s="2">
        <v>16756</v>
      </c>
      <c r="T776">
        <v>17323</v>
      </c>
      <c r="U776">
        <v>7</v>
      </c>
      <c r="V776" t="s">
        <v>42</v>
      </c>
      <c r="W776" t="s">
        <v>43</v>
      </c>
      <c r="X776" s="2">
        <v>15</v>
      </c>
      <c r="Y776">
        <v>3</v>
      </c>
      <c r="Z776">
        <v>2</v>
      </c>
      <c r="AA776">
        <v>80</v>
      </c>
      <c r="AB776">
        <v>0</v>
      </c>
      <c r="AC776" s="2">
        <v>31</v>
      </c>
      <c r="AD776">
        <v>3</v>
      </c>
      <c r="AE776">
        <v>4</v>
      </c>
      <c r="AF776" s="2">
        <v>9</v>
      </c>
      <c r="AG776">
        <v>7</v>
      </c>
      <c r="AH776">
        <v>6</v>
      </c>
      <c r="AI776">
        <v>2</v>
      </c>
      <c r="AJ776" s="2" t="str">
        <f>IF(A776 A776 &lt;= 25, "18-25", IF(A776 &lt;=35, "26-35", IF(A776 &lt;=45, "36-45", IF(Table3[[#This Row],[Age]] &lt;=55, "46-55", "56+"))))</f>
        <v>46-55</v>
      </c>
      <c r="AK776" t="str">
        <f t="shared" si="12"/>
        <v>High</v>
      </c>
      <c r="AL776" s="2" t="str">
        <f>IF(AF776 &lt; 3, "0-2 Years", IF(AF776 &lt;= 5, "3-5 Years", IF(AF776 &lt;= 10, "6-10 Years",IF(Table3[[#This Row],[Years At Company]]&lt;=20, "11-20 Years","20+ Years"))))</f>
        <v>6-10 Years</v>
      </c>
    </row>
    <row r="777" spans="1:38" x14ac:dyDescent="0.25">
      <c r="A777" s="2">
        <v>43</v>
      </c>
      <c r="B777" t="s">
        <v>43</v>
      </c>
      <c r="C777" t="s">
        <v>36</v>
      </c>
      <c r="D777" s="2">
        <v>415</v>
      </c>
      <c r="E777" t="s">
        <v>37</v>
      </c>
      <c r="F777" s="2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 s="2">
        <v>10798</v>
      </c>
      <c r="T777">
        <v>5268</v>
      </c>
      <c r="U777">
        <v>5</v>
      </c>
      <c r="V777" t="s">
        <v>42</v>
      </c>
      <c r="W777" t="s">
        <v>43</v>
      </c>
      <c r="X777" s="2">
        <v>13</v>
      </c>
      <c r="Y777">
        <v>3</v>
      </c>
      <c r="Z777">
        <v>3</v>
      </c>
      <c r="AA777">
        <v>80</v>
      </c>
      <c r="AB777">
        <v>1</v>
      </c>
      <c r="AC777" s="2">
        <v>18</v>
      </c>
      <c r="AD777">
        <v>5</v>
      </c>
      <c r="AE777">
        <v>3</v>
      </c>
      <c r="AF777" s="2">
        <v>1</v>
      </c>
      <c r="AG777">
        <v>0</v>
      </c>
      <c r="AH777">
        <v>0</v>
      </c>
      <c r="AI777">
        <v>0</v>
      </c>
      <c r="AJ777" s="2" t="str">
        <f>IF(A777 A777 &lt;= 25, "18-25", IF(A777 &lt;=35, "26-35", IF(A777 &lt;=45, "36-45", IF(Table3[[#This Row],[Age]] &lt;=55, "46-55", "56+"))))</f>
        <v>36-45</v>
      </c>
      <c r="AK777" t="str">
        <f t="shared" si="12"/>
        <v>High</v>
      </c>
      <c r="AL777" s="2" t="str">
        <f>IF(AF777 &lt; 3, "0-2 Years", IF(AF777 &lt;= 5, "3-5 Years", IF(AF777 &lt;= 10, "6-10 Years",IF(Table3[[#This Row],[Years At Company]]&lt;=20, "11-20 Years","20+ Years"))))</f>
        <v>0-2 Years</v>
      </c>
    </row>
    <row r="778" spans="1:38" x14ac:dyDescent="0.25">
      <c r="A778" s="2">
        <v>20</v>
      </c>
      <c r="B778" t="s">
        <v>35</v>
      </c>
      <c r="C778" t="s">
        <v>44</v>
      </c>
      <c r="D778" s="2">
        <v>769</v>
      </c>
      <c r="E778" t="s">
        <v>37</v>
      </c>
      <c r="F778" s="2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 s="2">
        <v>2323</v>
      </c>
      <c r="T778">
        <v>17205</v>
      </c>
      <c r="U778">
        <v>1</v>
      </c>
      <c r="V778" t="s">
        <v>42</v>
      </c>
      <c r="W778" t="s">
        <v>35</v>
      </c>
      <c r="X778" s="2">
        <v>14</v>
      </c>
      <c r="Y778">
        <v>3</v>
      </c>
      <c r="Z778">
        <v>2</v>
      </c>
      <c r="AA778">
        <v>80</v>
      </c>
      <c r="AB778">
        <v>0</v>
      </c>
      <c r="AC778" s="2">
        <v>2</v>
      </c>
      <c r="AD778">
        <v>3</v>
      </c>
      <c r="AE778">
        <v>3</v>
      </c>
      <c r="AF778" s="2">
        <v>2</v>
      </c>
      <c r="AG778">
        <v>2</v>
      </c>
      <c r="AH778">
        <v>0</v>
      </c>
      <c r="AI778">
        <v>2</v>
      </c>
      <c r="AJ778" s="2" t="str">
        <f>IF(A778 A778 &lt;= 25, "18-25", IF(A778 &lt;=35, "26-35", IF(A778 &lt;=45, "36-45", IF(Table3[[#This Row],[Age]] &lt;=55, "46-55", "56+"))))</f>
        <v>18-25</v>
      </c>
      <c r="AK778" t="str">
        <f t="shared" si="12"/>
        <v>Low</v>
      </c>
      <c r="AL778" s="2" t="str">
        <f>IF(AF778 &lt; 3, "0-2 Years", IF(AF778 &lt;= 5, "3-5 Years", IF(AF778 &lt;= 10, "6-10 Years",IF(Table3[[#This Row],[Years At Company]]&lt;=20, "11-20 Years","20+ Years"))))</f>
        <v>0-2 Years</v>
      </c>
    </row>
    <row r="779" spans="1:38" x14ac:dyDescent="0.25">
      <c r="A779" s="2">
        <v>21</v>
      </c>
      <c r="B779" t="s">
        <v>35</v>
      </c>
      <c r="C779" t="s">
        <v>36</v>
      </c>
      <c r="D779" s="2">
        <v>1334</v>
      </c>
      <c r="E779" t="s">
        <v>45</v>
      </c>
      <c r="F779" s="2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 s="2">
        <v>1416</v>
      </c>
      <c r="T779">
        <v>17258</v>
      </c>
      <c r="U779">
        <v>1</v>
      </c>
      <c r="V779" t="s">
        <v>42</v>
      </c>
      <c r="W779" t="s">
        <v>43</v>
      </c>
      <c r="X779" s="2">
        <v>13</v>
      </c>
      <c r="Y779">
        <v>3</v>
      </c>
      <c r="Z779">
        <v>1</v>
      </c>
      <c r="AA779">
        <v>80</v>
      </c>
      <c r="AB779">
        <v>0</v>
      </c>
      <c r="AC779" s="2">
        <v>1</v>
      </c>
      <c r="AD779">
        <v>6</v>
      </c>
      <c r="AE779">
        <v>2</v>
      </c>
      <c r="AF779" s="2">
        <v>1</v>
      </c>
      <c r="AG779">
        <v>0</v>
      </c>
      <c r="AH779">
        <v>1</v>
      </c>
      <c r="AI779">
        <v>0</v>
      </c>
      <c r="AJ779" s="2" t="str">
        <f>IF(A779 A779 &lt;= 25, "18-25", IF(A779 &lt;=35, "26-35", IF(A779 &lt;=45, "36-45", IF(Table3[[#This Row],[Age]] &lt;=55, "46-55", "56+"))))</f>
        <v>18-25</v>
      </c>
      <c r="AK779" t="str">
        <f t="shared" si="12"/>
        <v>Low</v>
      </c>
      <c r="AL779" s="2" t="str">
        <f>IF(AF779 &lt; 3, "0-2 Years", IF(AF779 &lt;= 5, "3-5 Years", IF(AF779 &lt;= 10, "6-10 Years",IF(Table3[[#This Row],[Years At Company]]&lt;=20, "11-20 Years","20+ Years"))))</f>
        <v>0-2 Years</v>
      </c>
    </row>
    <row r="780" spans="1:38" x14ac:dyDescent="0.25">
      <c r="A780" s="2">
        <v>46</v>
      </c>
      <c r="B780" t="s">
        <v>43</v>
      </c>
      <c r="C780" t="s">
        <v>36</v>
      </c>
      <c r="D780" s="2">
        <v>1003</v>
      </c>
      <c r="E780" t="s">
        <v>45</v>
      </c>
      <c r="F780" s="2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 s="2">
        <v>4615</v>
      </c>
      <c r="T780">
        <v>21029</v>
      </c>
      <c r="U780">
        <v>8</v>
      </c>
      <c r="V780" t="s">
        <v>42</v>
      </c>
      <c r="W780" t="s">
        <v>35</v>
      </c>
      <c r="X780" s="2">
        <v>23</v>
      </c>
      <c r="Y780">
        <v>4</v>
      </c>
      <c r="Z780">
        <v>1</v>
      </c>
      <c r="AA780">
        <v>80</v>
      </c>
      <c r="AB780">
        <v>3</v>
      </c>
      <c r="AC780" s="2">
        <v>19</v>
      </c>
      <c r="AD780">
        <v>2</v>
      </c>
      <c r="AE780">
        <v>3</v>
      </c>
      <c r="AF780" s="2">
        <v>16</v>
      </c>
      <c r="AG780">
        <v>13</v>
      </c>
      <c r="AH780">
        <v>1</v>
      </c>
      <c r="AI780">
        <v>7</v>
      </c>
      <c r="AJ780" s="2" t="str">
        <f>IF(A780 A780 &lt;= 25, "18-25", IF(A780 &lt;=35, "26-35", IF(A780 &lt;=45, "36-45", IF(Table3[[#This Row],[Age]] &lt;=55, "46-55", "56+"))))</f>
        <v>46-55</v>
      </c>
      <c r="AK780" t="str">
        <f t="shared" si="12"/>
        <v>Low</v>
      </c>
      <c r="AL780" s="2" t="str">
        <f>IF(AF780 &lt; 3, "0-2 Years", IF(AF780 &lt;= 5, "3-5 Years", IF(AF780 &lt;= 10, "6-10 Years",IF(Table3[[#This Row],[Years At Company]]&lt;=20, "11-20 Years","20+ Years"))))</f>
        <v>11-20 Years</v>
      </c>
    </row>
    <row r="781" spans="1:38" x14ac:dyDescent="0.25">
      <c r="A781" s="2">
        <v>51</v>
      </c>
      <c r="B781" t="s">
        <v>35</v>
      </c>
      <c r="C781" t="s">
        <v>36</v>
      </c>
      <c r="D781" s="2">
        <v>1323</v>
      </c>
      <c r="E781" t="s">
        <v>45</v>
      </c>
      <c r="F781" s="2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 s="2">
        <v>2461</v>
      </c>
      <c r="T781">
        <v>10332</v>
      </c>
      <c r="U781">
        <v>9</v>
      </c>
      <c r="V781" t="s">
        <v>42</v>
      </c>
      <c r="W781" t="s">
        <v>35</v>
      </c>
      <c r="X781" s="2">
        <v>12</v>
      </c>
      <c r="Y781">
        <v>3</v>
      </c>
      <c r="Z781">
        <v>3</v>
      </c>
      <c r="AA781">
        <v>80</v>
      </c>
      <c r="AB781">
        <v>3</v>
      </c>
      <c r="AC781" s="2">
        <v>18</v>
      </c>
      <c r="AD781">
        <v>2</v>
      </c>
      <c r="AE781">
        <v>4</v>
      </c>
      <c r="AF781" s="2">
        <v>10</v>
      </c>
      <c r="AG781">
        <v>0</v>
      </c>
      <c r="AH781">
        <v>2</v>
      </c>
      <c r="AI781">
        <v>7</v>
      </c>
      <c r="AJ781" s="2" t="str">
        <f>IF(A781 A781 &lt;= 25, "18-25", IF(A781 &lt;=35, "26-35", IF(A781 &lt;=45, "36-45", IF(Table3[[#This Row],[Age]] &lt;=55, "46-55", "56+"))))</f>
        <v>46-55</v>
      </c>
      <c r="AK781" t="str">
        <f t="shared" si="12"/>
        <v>Low</v>
      </c>
      <c r="AL781" s="2" t="str">
        <f>IF(AF781 &lt; 3, "0-2 Years", IF(AF781 &lt;= 5, "3-5 Years", IF(AF781 &lt;= 10, "6-10 Years",IF(Table3[[#This Row],[Years At Company]]&lt;=20, "11-20 Years","20+ Years"))))</f>
        <v>6-10 Years</v>
      </c>
    </row>
    <row r="782" spans="1:38" x14ac:dyDescent="0.25">
      <c r="A782" s="2">
        <v>28</v>
      </c>
      <c r="B782" t="s">
        <v>35</v>
      </c>
      <c r="C782" t="s">
        <v>55</v>
      </c>
      <c r="D782" s="2">
        <v>1366</v>
      </c>
      <c r="E782" t="s">
        <v>45</v>
      </c>
      <c r="F782" s="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 s="2">
        <v>8722</v>
      </c>
      <c r="T782">
        <v>12355</v>
      </c>
      <c r="U782">
        <v>1</v>
      </c>
      <c r="V782" t="s">
        <v>42</v>
      </c>
      <c r="W782" t="s">
        <v>43</v>
      </c>
      <c r="X782" s="2">
        <v>12</v>
      </c>
      <c r="Y782">
        <v>3</v>
      </c>
      <c r="Z782">
        <v>1</v>
      </c>
      <c r="AA782">
        <v>80</v>
      </c>
      <c r="AB782">
        <v>0</v>
      </c>
      <c r="AC782" s="2">
        <v>10</v>
      </c>
      <c r="AD782">
        <v>2</v>
      </c>
      <c r="AE782">
        <v>2</v>
      </c>
      <c r="AF782" s="2">
        <v>10</v>
      </c>
      <c r="AG782">
        <v>7</v>
      </c>
      <c r="AH782">
        <v>1</v>
      </c>
      <c r="AI782">
        <v>9</v>
      </c>
      <c r="AJ782" s="2" t="str">
        <f>IF(A782 A782 &lt;= 25, "18-25", IF(A782 &lt;=35, "26-35", IF(A782 &lt;=45, "36-45", IF(Table3[[#This Row],[Age]] &lt;=55, "46-55", "56+"))))</f>
        <v>26-35</v>
      </c>
      <c r="AK782" t="str">
        <f t="shared" si="12"/>
        <v>Medium</v>
      </c>
      <c r="AL782" s="2" t="str">
        <f>IF(AF782 &lt; 3, "0-2 Years", IF(AF782 &lt;= 5, "3-5 Years", IF(AF782 &lt;= 10, "6-10 Years",IF(Table3[[#This Row],[Years At Company]]&lt;=20, "11-20 Years","20+ Years"))))</f>
        <v>6-10 Years</v>
      </c>
    </row>
    <row r="783" spans="1:38" x14ac:dyDescent="0.25">
      <c r="A783" s="2">
        <v>26</v>
      </c>
      <c r="B783" t="s">
        <v>43</v>
      </c>
      <c r="C783" t="s">
        <v>36</v>
      </c>
      <c r="D783" s="2">
        <v>192</v>
      </c>
      <c r="E783" t="s">
        <v>45</v>
      </c>
      <c r="F783" s="2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 s="2">
        <v>3955</v>
      </c>
      <c r="T783">
        <v>11141</v>
      </c>
      <c r="U783">
        <v>1</v>
      </c>
      <c r="V783" t="s">
        <v>42</v>
      </c>
      <c r="W783" t="s">
        <v>43</v>
      </c>
      <c r="X783" s="2">
        <v>16</v>
      </c>
      <c r="Y783">
        <v>3</v>
      </c>
      <c r="Z783">
        <v>1</v>
      </c>
      <c r="AA783">
        <v>80</v>
      </c>
      <c r="AB783">
        <v>2</v>
      </c>
      <c r="AC783" s="2">
        <v>6</v>
      </c>
      <c r="AD783">
        <v>2</v>
      </c>
      <c r="AE783">
        <v>3</v>
      </c>
      <c r="AF783" s="2">
        <v>5</v>
      </c>
      <c r="AG783">
        <v>3</v>
      </c>
      <c r="AH783">
        <v>1</v>
      </c>
      <c r="AI783">
        <v>3</v>
      </c>
      <c r="AJ783" s="2" t="str">
        <f>IF(A783 A783 &lt;= 25, "18-25", IF(A783 &lt;=35, "26-35", IF(A783 &lt;=45, "36-45", IF(Table3[[#This Row],[Age]] &lt;=55, "46-55", "56+"))))</f>
        <v>26-35</v>
      </c>
      <c r="AK783" t="str">
        <f t="shared" si="12"/>
        <v>Low</v>
      </c>
      <c r="AL783" s="2" t="str">
        <f>IF(AF783 &lt; 3, "0-2 Years", IF(AF783 &lt;= 5, "3-5 Years", IF(AF783 &lt;= 10, "6-10 Years",IF(Table3[[#This Row],[Years At Company]]&lt;=20, "11-20 Years","20+ Years"))))</f>
        <v>3-5 Years</v>
      </c>
    </row>
    <row r="784" spans="1:38" x14ac:dyDescent="0.25">
      <c r="A784" s="2">
        <v>30</v>
      </c>
      <c r="B784" t="s">
        <v>43</v>
      </c>
      <c r="C784" t="s">
        <v>36</v>
      </c>
      <c r="D784" s="2">
        <v>1176</v>
      </c>
      <c r="E784" t="s">
        <v>45</v>
      </c>
      <c r="F784" s="2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 s="2">
        <v>9957</v>
      </c>
      <c r="T784">
        <v>9096</v>
      </c>
      <c r="U784">
        <v>0</v>
      </c>
      <c r="V784" t="s">
        <v>42</v>
      </c>
      <c r="W784" t="s">
        <v>43</v>
      </c>
      <c r="X784" s="2">
        <v>15</v>
      </c>
      <c r="Y784">
        <v>3</v>
      </c>
      <c r="Z784">
        <v>3</v>
      </c>
      <c r="AA784">
        <v>80</v>
      </c>
      <c r="AB784">
        <v>1</v>
      </c>
      <c r="AC784" s="2">
        <v>7</v>
      </c>
      <c r="AD784">
        <v>1</v>
      </c>
      <c r="AE784">
        <v>2</v>
      </c>
      <c r="AF784" s="2">
        <v>6</v>
      </c>
      <c r="AG784">
        <v>2</v>
      </c>
      <c r="AH784">
        <v>0</v>
      </c>
      <c r="AI784">
        <v>2</v>
      </c>
      <c r="AJ784" s="2" t="str">
        <f>IF(A784 A784 &lt;= 25, "18-25", IF(A784 &lt;=35, "26-35", IF(A784 &lt;=45, "36-45", IF(Table3[[#This Row],[Age]] &lt;=55, "46-55", "56+"))))</f>
        <v>26-35</v>
      </c>
      <c r="AK784" t="str">
        <f t="shared" si="12"/>
        <v>Medium</v>
      </c>
      <c r="AL784" s="2" t="str">
        <f>IF(AF784 &lt; 3, "0-2 Years", IF(AF784 &lt;= 5, "3-5 Years", IF(AF784 &lt;= 10, "6-10 Years",IF(Table3[[#This Row],[Years At Company]]&lt;=20, "11-20 Years","20+ Years"))))</f>
        <v>6-10 Years</v>
      </c>
    </row>
    <row r="785" spans="1:38" x14ac:dyDescent="0.25">
      <c r="A785" s="2">
        <v>41</v>
      </c>
      <c r="B785" t="s">
        <v>43</v>
      </c>
      <c r="C785" t="s">
        <v>36</v>
      </c>
      <c r="D785" s="2">
        <v>509</v>
      </c>
      <c r="E785" t="s">
        <v>45</v>
      </c>
      <c r="F785" s="2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 s="2">
        <v>3376</v>
      </c>
      <c r="T785">
        <v>18863</v>
      </c>
      <c r="U785">
        <v>1</v>
      </c>
      <c r="V785" t="s">
        <v>42</v>
      </c>
      <c r="W785" t="s">
        <v>43</v>
      </c>
      <c r="X785" s="2">
        <v>13</v>
      </c>
      <c r="Y785">
        <v>3</v>
      </c>
      <c r="Z785">
        <v>3</v>
      </c>
      <c r="AA785">
        <v>80</v>
      </c>
      <c r="AB785">
        <v>0</v>
      </c>
      <c r="AC785" s="2">
        <v>10</v>
      </c>
      <c r="AD785">
        <v>3</v>
      </c>
      <c r="AE785">
        <v>3</v>
      </c>
      <c r="AF785" s="2">
        <v>10</v>
      </c>
      <c r="AG785">
        <v>6</v>
      </c>
      <c r="AH785">
        <v>0</v>
      </c>
      <c r="AI785">
        <v>8</v>
      </c>
      <c r="AJ785" s="2" t="str">
        <f>IF(A785 A785 &lt;= 25, "18-25", IF(A785 &lt;=35, "26-35", IF(A785 &lt;=45, "36-45", IF(Table3[[#This Row],[Age]] &lt;=55, "46-55", "56+"))))</f>
        <v>36-45</v>
      </c>
      <c r="AK785" t="str">
        <f t="shared" si="12"/>
        <v>Low</v>
      </c>
      <c r="AL785" s="2" t="str">
        <f>IF(AF785 &lt; 3, "0-2 Years", IF(AF785 &lt;= 5, "3-5 Years", IF(AF785 &lt;= 10, "6-10 Years",IF(Table3[[#This Row],[Years At Company]]&lt;=20, "11-20 Years","20+ Years"))))</f>
        <v>6-10 Years</v>
      </c>
    </row>
    <row r="786" spans="1:38" x14ac:dyDescent="0.25">
      <c r="A786" s="2">
        <v>38</v>
      </c>
      <c r="B786" t="s">
        <v>43</v>
      </c>
      <c r="C786" t="s">
        <v>36</v>
      </c>
      <c r="D786" s="2">
        <v>330</v>
      </c>
      <c r="E786" t="s">
        <v>45</v>
      </c>
      <c r="F786" s="2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 s="2">
        <v>8823</v>
      </c>
      <c r="T786">
        <v>24608</v>
      </c>
      <c r="U786">
        <v>0</v>
      </c>
      <c r="V786" t="s">
        <v>42</v>
      </c>
      <c r="W786" t="s">
        <v>43</v>
      </c>
      <c r="X786" s="2">
        <v>18</v>
      </c>
      <c r="Y786">
        <v>3</v>
      </c>
      <c r="Z786">
        <v>1</v>
      </c>
      <c r="AA786">
        <v>80</v>
      </c>
      <c r="AB786">
        <v>1</v>
      </c>
      <c r="AC786" s="2">
        <v>20</v>
      </c>
      <c r="AD786">
        <v>4</v>
      </c>
      <c r="AE786">
        <v>2</v>
      </c>
      <c r="AF786" s="2">
        <v>19</v>
      </c>
      <c r="AG786">
        <v>9</v>
      </c>
      <c r="AH786">
        <v>1</v>
      </c>
      <c r="AI786">
        <v>9</v>
      </c>
      <c r="AJ786" s="2" t="str">
        <f>IF(A786 A786 &lt;= 25, "18-25", IF(A786 &lt;=35, "26-35", IF(A786 &lt;=45, "36-45", IF(Table3[[#This Row],[Age]] &lt;=55, "46-55", "56+"))))</f>
        <v>36-45</v>
      </c>
      <c r="AK786" t="str">
        <f t="shared" si="12"/>
        <v>Medium</v>
      </c>
      <c r="AL786" s="2" t="str">
        <f>IF(AF786 &lt; 3, "0-2 Years", IF(AF786 &lt;= 5, "3-5 Years", IF(AF786 &lt;= 10, "6-10 Years",IF(Table3[[#This Row],[Years At Company]]&lt;=20, "11-20 Years","20+ Years"))))</f>
        <v>11-20 Years</v>
      </c>
    </row>
    <row r="787" spans="1:38" x14ac:dyDescent="0.25">
      <c r="A787" s="2">
        <v>40</v>
      </c>
      <c r="B787" t="s">
        <v>43</v>
      </c>
      <c r="C787" t="s">
        <v>36</v>
      </c>
      <c r="D787" s="2">
        <v>1492</v>
      </c>
      <c r="E787" t="s">
        <v>45</v>
      </c>
      <c r="F787" s="2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 s="2">
        <v>10322</v>
      </c>
      <c r="T787">
        <v>26542</v>
      </c>
      <c r="U787">
        <v>4</v>
      </c>
      <c r="V787" t="s">
        <v>42</v>
      </c>
      <c r="W787" t="s">
        <v>43</v>
      </c>
      <c r="X787" s="2">
        <v>20</v>
      </c>
      <c r="Y787">
        <v>4</v>
      </c>
      <c r="Z787">
        <v>4</v>
      </c>
      <c r="AA787">
        <v>80</v>
      </c>
      <c r="AB787">
        <v>1</v>
      </c>
      <c r="AC787" s="2">
        <v>14</v>
      </c>
      <c r="AD787">
        <v>6</v>
      </c>
      <c r="AE787">
        <v>3</v>
      </c>
      <c r="AF787" s="2">
        <v>11</v>
      </c>
      <c r="AG787">
        <v>10</v>
      </c>
      <c r="AH787">
        <v>11</v>
      </c>
      <c r="AI787">
        <v>1</v>
      </c>
      <c r="AJ787" s="2" t="str">
        <f>IF(A787 A787 &lt;= 25, "18-25", IF(A787 &lt;=35, "26-35", IF(A787 &lt;=45, "36-45", IF(Table3[[#This Row],[Age]] &lt;=55, "46-55", "56+"))))</f>
        <v>36-45</v>
      </c>
      <c r="AK787" t="str">
        <f t="shared" si="12"/>
        <v>High</v>
      </c>
      <c r="AL787" s="2" t="str">
        <f>IF(AF787 &lt; 3, "0-2 Years", IF(AF787 &lt;= 5, "3-5 Years", IF(AF787 &lt;= 10, "6-10 Years",IF(Table3[[#This Row],[Years At Company]]&lt;=20, "11-20 Years","20+ Years"))))</f>
        <v>11-20 Years</v>
      </c>
    </row>
    <row r="788" spans="1:38" x14ac:dyDescent="0.25">
      <c r="A788" s="2">
        <v>27</v>
      </c>
      <c r="B788" t="s">
        <v>43</v>
      </c>
      <c r="C788" t="s">
        <v>55</v>
      </c>
      <c r="D788" s="2">
        <v>1277</v>
      </c>
      <c r="E788" t="s">
        <v>45</v>
      </c>
      <c r="F788" s="2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 s="2">
        <v>4621</v>
      </c>
      <c r="T788">
        <v>5869</v>
      </c>
      <c r="U788">
        <v>1</v>
      </c>
      <c r="V788" t="s">
        <v>42</v>
      </c>
      <c r="W788" t="s">
        <v>43</v>
      </c>
      <c r="X788" s="2">
        <v>19</v>
      </c>
      <c r="Y788">
        <v>3</v>
      </c>
      <c r="Z788">
        <v>4</v>
      </c>
      <c r="AA788">
        <v>80</v>
      </c>
      <c r="AB788">
        <v>3</v>
      </c>
      <c r="AC788" s="2">
        <v>3</v>
      </c>
      <c r="AD788">
        <v>4</v>
      </c>
      <c r="AE788">
        <v>3</v>
      </c>
      <c r="AF788" s="2">
        <v>3</v>
      </c>
      <c r="AG788">
        <v>2</v>
      </c>
      <c r="AH788">
        <v>1</v>
      </c>
      <c r="AI788">
        <v>2</v>
      </c>
      <c r="AJ788" s="2" t="str">
        <f>IF(A788 A788 &lt;= 25, "18-25", IF(A788 &lt;=35, "26-35", IF(A788 &lt;=45, "36-45", IF(Table3[[#This Row],[Age]] &lt;=55, "46-55", "56+"))))</f>
        <v>26-35</v>
      </c>
      <c r="AK788" t="str">
        <f t="shared" si="12"/>
        <v>Low</v>
      </c>
      <c r="AL788" s="2" t="str">
        <f>IF(AF788 &lt; 3, "0-2 Years", IF(AF788 &lt;= 5, "3-5 Years", IF(AF788 &lt;= 10, "6-10 Years",IF(Table3[[#This Row],[Years At Company]]&lt;=20, "11-20 Years","20+ Years"))))</f>
        <v>3-5 Years</v>
      </c>
    </row>
    <row r="789" spans="1:38" x14ac:dyDescent="0.25">
      <c r="A789" s="2">
        <v>55</v>
      </c>
      <c r="B789" t="s">
        <v>43</v>
      </c>
      <c r="C789" t="s">
        <v>44</v>
      </c>
      <c r="D789" s="2">
        <v>1091</v>
      </c>
      <c r="E789" t="s">
        <v>45</v>
      </c>
      <c r="F789" s="2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 s="2">
        <v>10976</v>
      </c>
      <c r="T789">
        <v>15813</v>
      </c>
      <c r="U789">
        <v>3</v>
      </c>
      <c r="V789" t="s">
        <v>42</v>
      </c>
      <c r="W789" t="s">
        <v>43</v>
      </c>
      <c r="X789" s="2">
        <v>18</v>
      </c>
      <c r="Y789">
        <v>3</v>
      </c>
      <c r="Z789">
        <v>2</v>
      </c>
      <c r="AA789">
        <v>80</v>
      </c>
      <c r="AB789">
        <v>1</v>
      </c>
      <c r="AC789" s="2">
        <v>23</v>
      </c>
      <c r="AD789">
        <v>4</v>
      </c>
      <c r="AE789">
        <v>3</v>
      </c>
      <c r="AF789" s="2">
        <v>3</v>
      </c>
      <c r="AG789">
        <v>2</v>
      </c>
      <c r="AH789">
        <v>1</v>
      </c>
      <c r="AI789">
        <v>2</v>
      </c>
      <c r="AJ789" s="2" t="str">
        <f>IF(A789 A789 &lt;= 25, "18-25", IF(A789 &lt;=35, "26-35", IF(A789 &lt;=45, "36-45", IF(Table3[[#This Row],[Age]] &lt;=55, "46-55", "56+"))))</f>
        <v>46-55</v>
      </c>
      <c r="AK789" t="str">
        <f t="shared" si="12"/>
        <v>High</v>
      </c>
      <c r="AL789" s="2" t="str">
        <f>IF(AF789 &lt; 3, "0-2 Years", IF(AF789 &lt;= 5, "3-5 Years", IF(AF789 &lt;= 10, "6-10 Years",IF(Table3[[#This Row],[Years At Company]]&lt;=20, "11-20 Years","20+ Years"))))</f>
        <v>3-5 Years</v>
      </c>
    </row>
    <row r="790" spans="1:38" x14ac:dyDescent="0.25">
      <c r="A790" s="2">
        <v>28</v>
      </c>
      <c r="B790" t="s">
        <v>43</v>
      </c>
      <c r="C790" t="s">
        <v>36</v>
      </c>
      <c r="D790" s="2">
        <v>857</v>
      </c>
      <c r="E790" t="s">
        <v>45</v>
      </c>
      <c r="F790" s="2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 s="2">
        <v>3660</v>
      </c>
      <c r="T790">
        <v>7909</v>
      </c>
      <c r="U790">
        <v>3</v>
      </c>
      <c r="V790" t="s">
        <v>42</v>
      </c>
      <c r="W790" t="s">
        <v>43</v>
      </c>
      <c r="X790" s="2">
        <v>13</v>
      </c>
      <c r="Y790">
        <v>3</v>
      </c>
      <c r="Z790">
        <v>4</v>
      </c>
      <c r="AA790">
        <v>80</v>
      </c>
      <c r="AB790">
        <v>0</v>
      </c>
      <c r="AC790" s="2">
        <v>10</v>
      </c>
      <c r="AD790">
        <v>4</v>
      </c>
      <c r="AE790">
        <v>4</v>
      </c>
      <c r="AF790" s="2">
        <v>8</v>
      </c>
      <c r="AG790">
        <v>7</v>
      </c>
      <c r="AH790">
        <v>1</v>
      </c>
      <c r="AI790">
        <v>7</v>
      </c>
      <c r="AJ790" s="2" t="str">
        <f>IF(A790 A790 &lt;= 25, "18-25", IF(A790 &lt;=35, "26-35", IF(A790 &lt;=45, "36-45", IF(Table3[[#This Row],[Age]] &lt;=55, "46-55", "56+"))))</f>
        <v>26-35</v>
      </c>
      <c r="AK790" t="str">
        <f t="shared" si="12"/>
        <v>Low</v>
      </c>
      <c r="AL790" s="2" t="str">
        <f>IF(AF790 &lt; 3, "0-2 Years", IF(AF790 &lt;= 5, "3-5 Years", IF(AF790 &lt;= 10, "6-10 Years",IF(Table3[[#This Row],[Years At Company]]&lt;=20, "11-20 Years","20+ Years"))))</f>
        <v>6-10 Years</v>
      </c>
    </row>
    <row r="791" spans="1:38" x14ac:dyDescent="0.25">
      <c r="A791" s="2">
        <v>44</v>
      </c>
      <c r="B791" t="s">
        <v>35</v>
      </c>
      <c r="C791" t="s">
        <v>36</v>
      </c>
      <c r="D791" s="2">
        <v>1376</v>
      </c>
      <c r="E791" t="s">
        <v>61</v>
      </c>
      <c r="F791" s="2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 s="2">
        <v>10482</v>
      </c>
      <c r="T791">
        <v>2326</v>
      </c>
      <c r="U791">
        <v>9</v>
      </c>
      <c r="V791" t="s">
        <v>42</v>
      </c>
      <c r="W791" t="s">
        <v>43</v>
      </c>
      <c r="X791" s="2">
        <v>14</v>
      </c>
      <c r="Y791">
        <v>3</v>
      </c>
      <c r="Z791">
        <v>4</v>
      </c>
      <c r="AA791">
        <v>80</v>
      </c>
      <c r="AB791">
        <v>1</v>
      </c>
      <c r="AC791" s="2">
        <v>24</v>
      </c>
      <c r="AD791">
        <v>1</v>
      </c>
      <c r="AE791">
        <v>3</v>
      </c>
      <c r="AF791" s="2">
        <v>20</v>
      </c>
      <c r="AG791">
        <v>6</v>
      </c>
      <c r="AH791">
        <v>3</v>
      </c>
      <c r="AI791">
        <v>6</v>
      </c>
      <c r="AJ791" s="2" t="str">
        <f>IF(A791 A791 &lt;= 25, "18-25", IF(A791 &lt;=35, "26-35", IF(A791 &lt;=45, "36-45", IF(Table3[[#This Row],[Age]] &lt;=55, "46-55", "56+"))))</f>
        <v>36-45</v>
      </c>
      <c r="AK791" t="str">
        <f t="shared" si="12"/>
        <v>High</v>
      </c>
      <c r="AL791" s="2" t="str">
        <f>IF(AF791 &lt; 3, "0-2 Years", IF(AF791 &lt;= 5, "3-5 Years", IF(AF791 &lt;= 10, "6-10 Years",IF(Table3[[#This Row],[Years At Company]]&lt;=20, "11-20 Years","20+ Years"))))</f>
        <v>11-20 Years</v>
      </c>
    </row>
    <row r="792" spans="1:38" x14ac:dyDescent="0.25">
      <c r="A792" s="2">
        <v>33</v>
      </c>
      <c r="B792" t="s">
        <v>43</v>
      </c>
      <c r="C792" t="s">
        <v>36</v>
      </c>
      <c r="D792" s="2">
        <v>654</v>
      </c>
      <c r="E792" t="s">
        <v>45</v>
      </c>
      <c r="F792" s="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 s="2">
        <v>7119</v>
      </c>
      <c r="T792">
        <v>21214</v>
      </c>
      <c r="U792">
        <v>4</v>
      </c>
      <c r="V792" t="s">
        <v>42</v>
      </c>
      <c r="W792" t="s">
        <v>43</v>
      </c>
      <c r="X792" s="2">
        <v>15</v>
      </c>
      <c r="Y792">
        <v>3</v>
      </c>
      <c r="Z792">
        <v>3</v>
      </c>
      <c r="AA792">
        <v>80</v>
      </c>
      <c r="AB792">
        <v>1</v>
      </c>
      <c r="AC792" s="2">
        <v>9</v>
      </c>
      <c r="AD792">
        <v>2</v>
      </c>
      <c r="AE792">
        <v>3</v>
      </c>
      <c r="AF792" s="2">
        <v>3</v>
      </c>
      <c r="AG792">
        <v>2</v>
      </c>
      <c r="AH792">
        <v>1</v>
      </c>
      <c r="AI792">
        <v>2</v>
      </c>
      <c r="AJ792" s="2" t="str">
        <f>IF(A792 A792 &lt;= 25, "18-25", IF(A792 &lt;=35, "26-35", IF(A792 &lt;=45, "36-45", IF(Table3[[#This Row],[Age]] &lt;=55, "46-55", "56+"))))</f>
        <v>26-35</v>
      </c>
      <c r="AK792" t="str">
        <f t="shared" si="12"/>
        <v>Medium</v>
      </c>
      <c r="AL792" s="2" t="str">
        <f>IF(AF792 &lt; 3, "0-2 Years", IF(AF792 &lt;= 5, "3-5 Years", IF(AF792 &lt;= 10, "6-10 Years",IF(Table3[[#This Row],[Years At Company]]&lt;=20, "11-20 Years","20+ Years"))))</f>
        <v>3-5 Years</v>
      </c>
    </row>
    <row r="793" spans="1:38" x14ac:dyDescent="0.25">
      <c r="A793" s="2">
        <v>35</v>
      </c>
      <c r="B793" t="s">
        <v>35</v>
      </c>
      <c r="C793" t="s">
        <v>36</v>
      </c>
      <c r="D793" s="2">
        <v>1204</v>
      </c>
      <c r="E793" t="s">
        <v>37</v>
      </c>
      <c r="F793" s="2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 s="2">
        <v>9582</v>
      </c>
      <c r="T793">
        <v>10333</v>
      </c>
      <c r="U793">
        <v>0</v>
      </c>
      <c r="V793" t="s">
        <v>42</v>
      </c>
      <c r="W793" t="s">
        <v>35</v>
      </c>
      <c r="X793" s="2">
        <v>22</v>
      </c>
      <c r="Y793">
        <v>4</v>
      </c>
      <c r="Z793">
        <v>1</v>
      </c>
      <c r="AA793">
        <v>80</v>
      </c>
      <c r="AB793">
        <v>0</v>
      </c>
      <c r="AC793" s="2">
        <v>9</v>
      </c>
      <c r="AD793">
        <v>2</v>
      </c>
      <c r="AE793">
        <v>3</v>
      </c>
      <c r="AF793" s="2">
        <v>8</v>
      </c>
      <c r="AG793">
        <v>7</v>
      </c>
      <c r="AH793">
        <v>4</v>
      </c>
      <c r="AI793">
        <v>7</v>
      </c>
      <c r="AJ793" s="2" t="str">
        <f>IF(A793 A793 &lt;= 25, "18-25", IF(A793 &lt;=35, "26-35", IF(A793 &lt;=45, "36-45", IF(Table3[[#This Row],[Age]] &lt;=55, "46-55", "56+"))))</f>
        <v>26-35</v>
      </c>
      <c r="AK793" t="str">
        <f t="shared" si="12"/>
        <v>Medium</v>
      </c>
      <c r="AL793" s="2" t="str">
        <f>IF(AF793 &lt; 3, "0-2 Years", IF(AF793 &lt;= 5, "3-5 Years", IF(AF793 &lt;= 10, "6-10 Years",IF(Table3[[#This Row],[Years At Company]]&lt;=20, "11-20 Years","20+ Years"))))</f>
        <v>6-10 Years</v>
      </c>
    </row>
    <row r="794" spans="1:38" x14ac:dyDescent="0.25">
      <c r="A794" s="2">
        <v>33</v>
      </c>
      <c r="B794" t="s">
        <v>35</v>
      </c>
      <c r="C794" t="s">
        <v>44</v>
      </c>
      <c r="D794" s="2">
        <v>827</v>
      </c>
      <c r="E794" t="s">
        <v>45</v>
      </c>
      <c r="F794" s="2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 s="2">
        <v>4508</v>
      </c>
      <c r="T794">
        <v>3129</v>
      </c>
      <c r="U794">
        <v>1</v>
      </c>
      <c r="V794" t="s">
        <v>42</v>
      </c>
      <c r="W794" t="s">
        <v>43</v>
      </c>
      <c r="X794" s="2">
        <v>22</v>
      </c>
      <c r="Y794">
        <v>4</v>
      </c>
      <c r="Z794">
        <v>2</v>
      </c>
      <c r="AA794">
        <v>80</v>
      </c>
      <c r="AB794">
        <v>0</v>
      </c>
      <c r="AC794" s="2">
        <v>14</v>
      </c>
      <c r="AD794">
        <v>4</v>
      </c>
      <c r="AE794">
        <v>3</v>
      </c>
      <c r="AF794" s="2">
        <v>13</v>
      </c>
      <c r="AG794">
        <v>7</v>
      </c>
      <c r="AH794">
        <v>3</v>
      </c>
      <c r="AI794">
        <v>8</v>
      </c>
      <c r="AJ794" s="2" t="str">
        <f>IF(A794 A794 &lt;= 25, "18-25", IF(A794 &lt;=35, "26-35", IF(A794 &lt;=45, "36-45", IF(Table3[[#This Row],[Age]] &lt;=55, "46-55", "56+"))))</f>
        <v>26-35</v>
      </c>
      <c r="AK794" t="str">
        <f t="shared" si="12"/>
        <v>Low</v>
      </c>
      <c r="AL794" s="2" t="str">
        <f>IF(AF794 &lt; 3, "0-2 Years", IF(AF794 &lt;= 5, "3-5 Years", IF(AF794 &lt;= 10, "6-10 Years",IF(Table3[[#This Row],[Years At Company]]&lt;=20, "11-20 Years","20+ Years"))))</f>
        <v>11-20 Years</v>
      </c>
    </row>
    <row r="795" spans="1:38" x14ac:dyDescent="0.25">
      <c r="A795" s="2">
        <v>28</v>
      </c>
      <c r="B795" t="s">
        <v>43</v>
      </c>
      <c r="C795" t="s">
        <v>36</v>
      </c>
      <c r="D795" s="2">
        <v>895</v>
      </c>
      <c r="E795" t="s">
        <v>45</v>
      </c>
      <c r="F795" s="2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 s="2">
        <v>2207</v>
      </c>
      <c r="T795">
        <v>22482</v>
      </c>
      <c r="U795">
        <v>1</v>
      </c>
      <c r="V795" t="s">
        <v>42</v>
      </c>
      <c r="W795" t="s">
        <v>43</v>
      </c>
      <c r="X795" s="2">
        <v>16</v>
      </c>
      <c r="Y795">
        <v>3</v>
      </c>
      <c r="Z795">
        <v>4</v>
      </c>
      <c r="AA795">
        <v>80</v>
      </c>
      <c r="AB795">
        <v>1</v>
      </c>
      <c r="AC795" s="2">
        <v>4</v>
      </c>
      <c r="AD795">
        <v>5</v>
      </c>
      <c r="AE795">
        <v>2</v>
      </c>
      <c r="AF795" s="2">
        <v>4</v>
      </c>
      <c r="AG795">
        <v>2</v>
      </c>
      <c r="AH795">
        <v>2</v>
      </c>
      <c r="AI795">
        <v>2</v>
      </c>
      <c r="AJ795" s="2" t="str">
        <f>IF(A795 A795 &lt;= 25, "18-25", IF(A795 &lt;=35, "26-35", IF(A795 &lt;=45, "36-45", IF(Table3[[#This Row],[Age]] &lt;=55, "46-55", "56+"))))</f>
        <v>26-35</v>
      </c>
      <c r="AK795" t="str">
        <f t="shared" si="12"/>
        <v>Low</v>
      </c>
      <c r="AL795" s="2" t="str">
        <f>IF(AF795 &lt; 3, "0-2 Years", IF(AF795 &lt;= 5, "3-5 Years", IF(AF795 &lt;= 10, "6-10 Years",IF(Table3[[#This Row],[Years At Company]]&lt;=20, "11-20 Years","20+ Years"))))</f>
        <v>3-5 Years</v>
      </c>
    </row>
    <row r="796" spans="1:38" x14ac:dyDescent="0.25">
      <c r="A796" s="2">
        <v>34</v>
      </c>
      <c r="B796" t="s">
        <v>43</v>
      </c>
      <c r="C796" t="s">
        <v>44</v>
      </c>
      <c r="D796" s="2">
        <v>618</v>
      </c>
      <c r="E796" t="s">
        <v>45</v>
      </c>
      <c r="F796" s="2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 s="2">
        <v>7756</v>
      </c>
      <c r="T796">
        <v>22266</v>
      </c>
      <c r="U796">
        <v>0</v>
      </c>
      <c r="V796" t="s">
        <v>42</v>
      </c>
      <c r="W796" t="s">
        <v>43</v>
      </c>
      <c r="X796" s="2">
        <v>17</v>
      </c>
      <c r="Y796">
        <v>3</v>
      </c>
      <c r="Z796">
        <v>3</v>
      </c>
      <c r="AA796">
        <v>80</v>
      </c>
      <c r="AB796">
        <v>0</v>
      </c>
      <c r="AC796" s="2">
        <v>7</v>
      </c>
      <c r="AD796">
        <v>1</v>
      </c>
      <c r="AE796">
        <v>2</v>
      </c>
      <c r="AF796" s="2">
        <v>6</v>
      </c>
      <c r="AG796">
        <v>2</v>
      </c>
      <c r="AH796">
        <v>0</v>
      </c>
      <c r="AI796">
        <v>4</v>
      </c>
      <c r="AJ796" s="2" t="str">
        <f>IF(A796 A796 &lt;= 25, "18-25", IF(A796 &lt;=35, "26-35", IF(A796 &lt;=45, "36-45", IF(Table3[[#This Row],[Age]] &lt;=55, "46-55", "56+"))))</f>
        <v>26-35</v>
      </c>
      <c r="AK796" t="str">
        <f t="shared" si="12"/>
        <v>Medium</v>
      </c>
      <c r="AL796" s="2" t="str">
        <f>IF(AF796 &lt; 3, "0-2 Years", IF(AF796 &lt;= 5, "3-5 Years", IF(AF796 &lt;= 10, "6-10 Years",IF(Table3[[#This Row],[Years At Company]]&lt;=20, "11-20 Years","20+ Years"))))</f>
        <v>6-10 Years</v>
      </c>
    </row>
    <row r="797" spans="1:38" x14ac:dyDescent="0.25">
      <c r="A797" s="2">
        <v>37</v>
      </c>
      <c r="B797" t="s">
        <v>43</v>
      </c>
      <c r="C797" t="s">
        <v>36</v>
      </c>
      <c r="D797" s="2">
        <v>309</v>
      </c>
      <c r="E797" t="s">
        <v>37</v>
      </c>
      <c r="F797" s="2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 s="2">
        <v>6694</v>
      </c>
      <c r="T797">
        <v>24223</v>
      </c>
      <c r="U797">
        <v>2</v>
      </c>
      <c r="V797" t="s">
        <v>42</v>
      </c>
      <c r="W797" t="s">
        <v>35</v>
      </c>
      <c r="X797" s="2">
        <v>14</v>
      </c>
      <c r="Y797">
        <v>3</v>
      </c>
      <c r="Z797">
        <v>3</v>
      </c>
      <c r="AA797">
        <v>80</v>
      </c>
      <c r="AB797">
        <v>3</v>
      </c>
      <c r="AC797" s="2">
        <v>8</v>
      </c>
      <c r="AD797">
        <v>5</v>
      </c>
      <c r="AE797">
        <v>3</v>
      </c>
      <c r="AF797" s="2">
        <v>1</v>
      </c>
      <c r="AG797">
        <v>0</v>
      </c>
      <c r="AH797">
        <v>0</v>
      </c>
      <c r="AI797">
        <v>0</v>
      </c>
      <c r="AJ797" s="2" t="str">
        <f>IF(A797 A797 &lt;= 25, "18-25", IF(A797 &lt;=35, "26-35", IF(A797 &lt;=45, "36-45", IF(Table3[[#This Row],[Age]] &lt;=55, "46-55", "56+"))))</f>
        <v>36-45</v>
      </c>
      <c r="AK797" t="str">
        <f t="shared" si="12"/>
        <v>Medium</v>
      </c>
      <c r="AL797" s="2" t="str">
        <f>IF(AF797 &lt; 3, "0-2 Years", IF(AF797 &lt;= 5, "3-5 Years", IF(AF797 &lt;= 10, "6-10 Years",IF(Table3[[#This Row],[Years At Company]]&lt;=20, "11-20 Years","20+ Years"))))</f>
        <v>0-2 Years</v>
      </c>
    </row>
    <row r="798" spans="1:38" x14ac:dyDescent="0.25">
      <c r="A798" s="2">
        <v>25</v>
      </c>
      <c r="B798" t="s">
        <v>35</v>
      </c>
      <c r="C798" t="s">
        <v>36</v>
      </c>
      <c r="D798" s="2">
        <v>1219</v>
      </c>
      <c r="E798" t="s">
        <v>45</v>
      </c>
      <c r="F798" s="2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 s="2">
        <v>3691</v>
      </c>
      <c r="T798">
        <v>4605</v>
      </c>
      <c r="U798">
        <v>1</v>
      </c>
      <c r="V798" t="s">
        <v>42</v>
      </c>
      <c r="W798" t="s">
        <v>35</v>
      </c>
      <c r="X798" s="2">
        <v>15</v>
      </c>
      <c r="Y798">
        <v>3</v>
      </c>
      <c r="Z798">
        <v>2</v>
      </c>
      <c r="AA798">
        <v>80</v>
      </c>
      <c r="AB798">
        <v>1</v>
      </c>
      <c r="AC798" s="2">
        <v>7</v>
      </c>
      <c r="AD798">
        <v>3</v>
      </c>
      <c r="AE798">
        <v>4</v>
      </c>
      <c r="AF798" s="2">
        <v>7</v>
      </c>
      <c r="AG798">
        <v>7</v>
      </c>
      <c r="AH798">
        <v>5</v>
      </c>
      <c r="AI798">
        <v>6</v>
      </c>
      <c r="AJ798" s="2" t="str">
        <f>IF(A798 A798 &lt;= 25, "18-25", IF(A798 &lt;=35, "26-35", IF(A798 &lt;=45, "36-45", IF(Table3[[#This Row],[Age]] &lt;=55, "46-55", "56+"))))</f>
        <v>18-25</v>
      </c>
      <c r="AK798" t="str">
        <f t="shared" si="12"/>
        <v>Low</v>
      </c>
      <c r="AL798" s="2" t="str">
        <f>IF(AF798 &lt; 3, "0-2 Years", IF(AF798 &lt;= 5, "3-5 Years", IF(AF798 &lt;= 10, "6-10 Years",IF(Table3[[#This Row],[Years At Company]]&lt;=20, "11-20 Years","20+ Years"))))</f>
        <v>6-10 Years</v>
      </c>
    </row>
    <row r="799" spans="1:38" x14ac:dyDescent="0.25">
      <c r="A799" s="2">
        <v>26</v>
      </c>
      <c r="B799" t="s">
        <v>35</v>
      </c>
      <c r="C799" t="s">
        <v>36</v>
      </c>
      <c r="D799" s="2">
        <v>1330</v>
      </c>
      <c r="E799" t="s">
        <v>45</v>
      </c>
      <c r="F799" s="2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 s="2">
        <v>2377</v>
      </c>
      <c r="T799">
        <v>19373</v>
      </c>
      <c r="U799">
        <v>1</v>
      </c>
      <c r="V799" t="s">
        <v>42</v>
      </c>
      <c r="W799" t="s">
        <v>43</v>
      </c>
      <c r="X799" s="2">
        <v>20</v>
      </c>
      <c r="Y799">
        <v>4</v>
      </c>
      <c r="Z799">
        <v>3</v>
      </c>
      <c r="AA799">
        <v>80</v>
      </c>
      <c r="AB799">
        <v>1</v>
      </c>
      <c r="AC799" s="2">
        <v>1</v>
      </c>
      <c r="AD799">
        <v>0</v>
      </c>
      <c r="AE799">
        <v>2</v>
      </c>
      <c r="AF799" s="2">
        <v>1</v>
      </c>
      <c r="AG799">
        <v>1</v>
      </c>
      <c r="AH799">
        <v>0</v>
      </c>
      <c r="AI799">
        <v>0</v>
      </c>
      <c r="AJ799" s="2" t="str">
        <f>IF(A799 A799 &lt;= 25, "18-25", IF(A799 &lt;=35, "26-35", IF(A799 &lt;=45, "36-45", IF(Table3[[#This Row],[Age]] &lt;=55, "46-55", "56+"))))</f>
        <v>26-35</v>
      </c>
      <c r="AK799" t="str">
        <f t="shared" si="12"/>
        <v>Low</v>
      </c>
      <c r="AL799" s="2" t="str">
        <f>IF(AF799 &lt; 3, "0-2 Years", IF(AF799 &lt;= 5, "3-5 Years", IF(AF799 &lt;= 10, "6-10 Years",IF(Table3[[#This Row],[Years At Company]]&lt;=20, "11-20 Years","20+ Years"))))</f>
        <v>0-2 Years</v>
      </c>
    </row>
    <row r="800" spans="1:38" x14ac:dyDescent="0.25">
      <c r="A800" s="2">
        <v>33</v>
      </c>
      <c r="B800" t="s">
        <v>35</v>
      </c>
      <c r="C800" t="s">
        <v>36</v>
      </c>
      <c r="D800" s="2">
        <v>1017</v>
      </c>
      <c r="E800" t="s">
        <v>45</v>
      </c>
      <c r="F800" s="2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 s="2">
        <v>2313</v>
      </c>
      <c r="T800">
        <v>2993</v>
      </c>
      <c r="U800">
        <v>4</v>
      </c>
      <c r="V800" t="s">
        <v>42</v>
      </c>
      <c r="W800" t="s">
        <v>35</v>
      </c>
      <c r="X800" s="2">
        <v>20</v>
      </c>
      <c r="Y800">
        <v>4</v>
      </c>
      <c r="Z800">
        <v>2</v>
      </c>
      <c r="AA800">
        <v>80</v>
      </c>
      <c r="AB800">
        <v>0</v>
      </c>
      <c r="AC800" s="2">
        <v>5</v>
      </c>
      <c r="AD800">
        <v>0</v>
      </c>
      <c r="AE800">
        <v>3</v>
      </c>
      <c r="AF800" s="2">
        <v>2</v>
      </c>
      <c r="AG800">
        <v>2</v>
      </c>
      <c r="AH800">
        <v>2</v>
      </c>
      <c r="AI800">
        <v>2</v>
      </c>
      <c r="AJ800" s="2" t="str">
        <f>IF(A800 A800 &lt;= 25, "18-25", IF(A800 &lt;=35, "26-35", IF(A800 &lt;=45, "36-45", IF(Table3[[#This Row],[Age]] &lt;=55, "46-55", "56+"))))</f>
        <v>26-35</v>
      </c>
      <c r="AK800" t="str">
        <f t="shared" si="12"/>
        <v>Low</v>
      </c>
      <c r="AL800" s="2" t="str">
        <f>IF(AF800 &lt; 3, "0-2 Years", IF(AF800 &lt;= 5, "3-5 Years", IF(AF800 &lt;= 10, "6-10 Years",IF(Table3[[#This Row],[Years At Company]]&lt;=20, "11-20 Years","20+ Years"))))</f>
        <v>0-2 Years</v>
      </c>
    </row>
    <row r="801" spans="1:38" x14ac:dyDescent="0.25">
      <c r="A801" s="2">
        <v>42</v>
      </c>
      <c r="B801" t="s">
        <v>43</v>
      </c>
      <c r="C801" t="s">
        <v>36</v>
      </c>
      <c r="D801" s="2">
        <v>469</v>
      </c>
      <c r="E801" t="s">
        <v>45</v>
      </c>
      <c r="F801" s="2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 s="2">
        <v>17665</v>
      </c>
      <c r="T801">
        <v>14399</v>
      </c>
      <c r="U801">
        <v>0</v>
      </c>
      <c r="V801" t="s">
        <v>42</v>
      </c>
      <c r="W801" t="s">
        <v>43</v>
      </c>
      <c r="X801" s="2">
        <v>17</v>
      </c>
      <c r="Y801">
        <v>3</v>
      </c>
      <c r="Z801">
        <v>4</v>
      </c>
      <c r="AA801">
        <v>80</v>
      </c>
      <c r="AB801">
        <v>1</v>
      </c>
      <c r="AC801" s="2">
        <v>23</v>
      </c>
      <c r="AD801">
        <v>3</v>
      </c>
      <c r="AE801">
        <v>3</v>
      </c>
      <c r="AF801" s="2">
        <v>22</v>
      </c>
      <c r="AG801">
        <v>6</v>
      </c>
      <c r="AH801">
        <v>13</v>
      </c>
      <c r="AI801">
        <v>7</v>
      </c>
      <c r="AJ801" s="2" t="str">
        <f>IF(A801 A801 &lt;= 25, "18-25", IF(A801 &lt;=35, "26-35", IF(A801 &lt;=45, "36-45", IF(Table3[[#This Row],[Age]] &lt;=55, "46-55", "56+"))))</f>
        <v>36-45</v>
      </c>
      <c r="AK801" t="str">
        <f t="shared" si="12"/>
        <v>High</v>
      </c>
      <c r="AL801" s="2" t="str">
        <f>IF(AF801 &lt; 3, "0-2 Years", IF(AF801 &lt;= 5, "3-5 Years", IF(AF801 &lt;= 10, "6-10 Years",IF(Table3[[#This Row],[Years At Company]]&lt;=20, "11-20 Years","20+ Years"))))</f>
        <v>20+ Years</v>
      </c>
    </row>
    <row r="802" spans="1:38" x14ac:dyDescent="0.25">
      <c r="A802" s="2">
        <v>28</v>
      </c>
      <c r="B802" t="s">
        <v>35</v>
      </c>
      <c r="C802" t="s">
        <v>44</v>
      </c>
      <c r="D802" s="2">
        <v>1009</v>
      </c>
      <c r="E802" t="s">
        <v>45</v>
      </c>
      <c r="F802" s="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 s="2">
        <v>2596</v>
      </c>
      <c r="T802">
        <v>7160</v>
      </c>
      <c r="U802">
        <v>1</v>
      </c>
      <c r="V802" t="s">
        <v>42</v>
      </c>
      <c r="W802" t="s">
        <v>43</v>
      </c>
      <c r="X802" s="2">
        <v>15</v>
      </c>
      <c r="Y802">
        <v>3</v>
      </c>
      <c r="Z802">
        <v>1</v>
      </c>
      <c r="AA802">
        <v>80</v>
      </c>
      <c r="AB802">
        <v>2</v>
      </c>
      <c r="AC802" s="2">
        <v>1</v>
      </c>
      <c r="AD802">
        <v>2</v>
      </c>
      <c r="AE802">
        <v>3</v>
      </c>
      <c r="AF802" s="2">
        <v>1</v>
      </c>
      <c r="AG802">
        <v>0</v>
      </c>
      <c r="AH802">
        <v>0</v>
      </c>
      <c r="AI802">
        <v>0</v>
      </c>
      <c r="AJ802" s="2" t="str">
        <f>IF(A802 A802 &lt;= 25, "18-25", IF(A802 &lt;=35, "26-35", IF(A802 &lt;=45, "36-45", IF(Table3[[#This Row],[Age]] &lt;=55, "46-55", "56+"))))</f>
        <v>26-35</v>
      </c>
      <c r="AK802" t="str">
        <f t="shared" si="12"/>
        <v>Low</v>
      </c>
      <c r="AL802" s="2" t="str">
        <f>IF(AF802 &lt; 3, "0-2 Years", IF(AF802 &lt;= 5, "3-5 Years", IF(AF802 &lt;= 10, "6-10 Years",IF(Table3[[#This Row],[Years At Company]]&lt;=20, "11-20 Years","20+ Years"))))</f>
        <v>0-2 Years</v>
      </c>
    </row>
    <row r="803" spans="1:38" x14ac:dyDescent="0.25">
      <c r="A803" s="2">
        <v>50</v>
      </c>
      <c r="B803" t="s">
        <v>35</v>
      </c>
      <c r="C803" t="s">
        <v>44</v>
      </c>
      <c r="D803" s="2">
        <v>959</v>
      </c>
      <c r="E803" t="s">
        <v>37</v>
      </c>
      <c r="F803" s="2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 s="2">
        <v>4728</v>
      </c>
      <c r="T803">
        <v>17251</v>
      </c>
      <c r="U803">
        <v>3</v>
      </c>
      <c r="V803" t="s">
        <v>42</v>
      </c>
      <c r="W803" t="s">
        <v>35</v>
      </c>
      <c r="X803" s="2">
        <v>14</v>
      </c>
      <c r="Y803">
        <v>3</v>
      </c>
      <c r="Z803">
        <v>4</v>
      </c>
      <c r="AA803">
        <v>80</v>
      </c>
      <c r="AB803">
        <v>0</v>
      </c>
      <c r="AC803" s="2">
        <v>5</v>
      </c>
      <c r="AD803">
        <v>4</v>
      </c>
      <c r="AE803">
        <v>3</v>
      </c>
      <c r="AF803" s="2">
        <v>0</v>
      </c>
      <c r="AG803">
        <v>0</v>
      </c>
      <c r="AH803">
        <v>0</v>
      </c>
      <c r="AI803">
        <v>0</v>
      </c>
      <c r="AJ803" s="2" t="str">
        <f>IF(A803 A803 &lt;= 25, "18-25", IF(A803 &lt;=35, "26-35", IF(A803 &lt;=45, "36-45", IF(Table3[[#This Row],[Age]] &lt;=55, "46-55", "56+"))))</f>
        <v>46-55</v>
      </c>
      <c r="AK803" t="str">
        <f t="shared" si="12"/>
        <v>Low</v>
      </c>
      <c r="AL803" s="2" t="str">
        <f>IF(AF803 &lt; 3, "0-2 Years", IF(AF803 &lt;= 5, "3-5 Years", IF(AF803 &lt;= 10, "6-10 Years",IF(Table3[[#This Row],[Years At Company]]&lt;=20, "11-20 Years","20+ Years"))))</f>
        <v>0-2 Years</v>
      </c>
    </row>
    <row r="804" spans="1:38" x14ac:dyDescent="0.25">
      <c r="A804" s="2">
        <v>33</v>
      </c>
      <c r="B804" t="s">
        <v>43</v>
      </c>
      <c r="C804" t="s">
        <v>44</v>
      </c>
      <c r="D804" s="2">
        <v>970</v>
      </c>
      <c r="E804" t="s">
        <v>37</v>
      </c>
      <c r="F804" s="2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 s="2">
        <v>4302</v>
      </c>
      <c r="T804">
        <v>13401</v>
      </c>
      <c r="U804">
        <v>0</v>
      </c>
      <c r="V804" t="s">
        <v>42</v>
      </c>
      <c r="W804" t="s">
        <v>43</v>
      </c>
      <c r="X804" s="2">
        <v>17</v>
      </c>
      <c r="Y804">
        <v>3</v>
      </c>
      <c r="Z804">
        <v>3</v>
      </c>
      <c r="AA804">
        <v>80</v>
      </c>
      <c r="AB804">
        <v>1</v>
      </c>
      <c r="AC804" s="2">
        <v>4</v>
      </c>
      <c r="AD804">
        <v>3</v>
      </c>
      <c r="AE804">
        <v>3</v>
      </c>
      <c r="AF804" s="2">
        <v>3</v>
      </c>
      <c r="AG804">
        <v>2</v>
      </c>
      <c r="AH804">
        <v>0</v>
      </c>
      <c r="AI804">
        <v>2</v>
      </c>
      <c r="AJ804" s="2" t="str">
        <f>IF(A804 A804 &lt;= 25, "18-25", IF(A804 &lt;=35, "26-35", IF(A804 &lt;=45, "36-45", IF(Table3[[#This Row],[Age]] &lt;=55, "46-55", "56+"))))</f>
        <v>26-35</v>
      </c>
      <c r="AK804" t="str">
        <f t="shared" si="12"/>
        <v>Low</v>
      </c>
      <c r="AL804" s="2" t="str">
        <f>IF(AF804 &lt; 3, "0-2 Years", IF(AF804 &lt;= 5, "3-5 Years", IF(AF804 &lt;= 10, "6-10 Years",IF(Table3[[#This Row],[Years At Company]]&lt;=20, "11-20 Years","20+ Years"))))</f>
        <v>3-5 Years</v>
      </c>
    </row>
    <row r="805" spans="1:38" x14ac:dyDescent="0.25">
      <c r="A805" s="2">
        <v>34</v>
      </c>
      <c r="B805" t="s">
        <v>43</v>
      </c>
      <c r="C805" t="s">
        <v>55</v>
      </c>
      <c r="D805" s="2">
        <v>697</v>
      </c>
      <c r="E805" t="s">
        <v>45</v>
      </c>
      <c r="F805" s="2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 s="2">
        <v>2979</v>
      </c>
      <c r="T805">
        <v>22478</v>
      </c>
      <c r="U805">
        <v>3</v>
      </c>
      <c r="V805" t="s">
        <v>42</v>
      </c>
      <c r="W805" t="s">
        <v>43</v>
      </c>
      <c r="X805" s="2">
        <v>17</v>
      </c>
      <c r="Y805">
        <v>3</v>
      </c>
      <c r="Z805">
        <v>4</v>
      </c>
      <c r="AA805">
        <v>80</v>
      </c>
      <c r="AB805">
        <v>3</v>
      </c>
      <c r="AC805" s="2">
        <v>6</v>
      </c>
      <c r="AD805">
        <v>2</v>
      </c>
      <c r="AE805">
        <v>3</v>
      </c>
      <c r="AF805" s="2">
        <v>0</v>
      </c>
      <c r="AG805">
        <v>0</v>
      </c>
      <c r="AH805">
        <v>0</v>
      </c>
      <c r="AI805">
        <v>0</v>
      </c>
      <c r="AJ805" s="2" t="str">
        <f>IF(A805 A805 &lt;= 25, "18-25", IF(A805 &lt;=35, "26-35", IF(A805 &lt;=45, "36-45", IF(Table3[[#This Row],[Age]] &lt;=55, "46-55", "56+"))))</f>
        <v>26-35</v>
      </c>
      <c r="AK805" t="str">
        <f t="shared" si="12"/>
        <v>Low</v>
      </c>
      <c r="AL805" s="2" t="str">
        <f>IF(AF805 &lt; 3, "0-2 Years", IF(AF805 &lt;= 5, "3-5 Years", IF(AF805 &lt;= 10, "6-10 Years",IF(Table3[[#This Row],[Years At Company]]&lt;=20, "11-20 Years","20+ Years"))))</f>
        <v>0-2 Years</v>
      </c>
    </row>
    <row r="806" spans="1:38" x14ac:dyDescent="0.25">
      <c r="A806" s="2">
        <v>48</v>
      </c>
      <c r="B806" t="s">
        <v>43</v>
      </c>
      <c r="C806" t="s">
        <v>55</v>
      </c>
      <c r="D806" s="2">
        <v>1262</v>
      </c>
      <c r="E806" t="s">
        <v>45</v>
      </c>
      <c r="F806" s="2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 s="2">
        <v>16885</v>
      </c>
      <c r="T806">
        <v>16154</v>
      </c>
      <c r="U806">
        <v>2</v>
      </c>
      <c r="V806" t="s">
        <v>42</v>
      </c>
      <c r="W806" t="s">
        <v>43</v>
      </c>
      <c r="X806" s="2">
        <v>22</v>
      </c>
      <c r="Y806">
        <v>4</v>
      </c>
      <c r="Z806">
        <v>3</v>
      </c>
      <c r="AA806">
        <v>80</v>
      </c>
      <c r="AB806">
        <v>0</v>
      </c>
      <c r="AC806" s="2">
        <v>27</v>
      </c>
      <c r="AD806">
        <v>3</v>
      </c>
      <c r="AE806">
        <v>2</v>
      </c>
      <c r="AF806" s="2">
        <v>5</v>
      </c>
      <c r="AG806">
        <v>4</v>
      </c>
      <c r="AH806">
        <v>2</v>
      </c>
      <c r="AI806">
        <v>1</v>
      </c>
      <c r="AJ806" s="2" t="str">
        <f>IF(A806 A806 &lt;= 25, "18-25", IF(A806 &lt;=35, "26-35", IF(A806 &lt;=45, "36-45", IF(Table3[[#This Row],[Age]] &lt;=55, "46-55", "56+"))))</f>
        <v>46-55</v>
      </c>
      <c r="AK806" t="str">
        <f t="shared" si="12"/>
        <v>High</v>
      </c>
      <c r="AL806" s="2" t="str">
        <f>IF(AF806 &lt; 3, "0-2 Years", IF(AF806 &lt;= 5, "3-5 Years", IF(AF806 &lt;= 10, "6-10 Years",IF(Table3[[#This Row],[Years At Company]]&lt;=20, "11-20 Years","20+ Years"))))</f>
        <v>3-5 Years</v>
      </c>
    </row>
    <row r="807" spans="1:38" x14ac:dyDescent="0.25">
      <c r="A807" s="2">
        <v>45</v>
      </c>
      <c r="B807" t="s">
        <v>43</v>
      </c>
      <c r="C807" t="s">
        <v>55</v>
      </c>
      <c r="D807" s="2">
        <v>1050</v>
      </c>
      <c r="E807" t="s">
        <v>37</v>
      </c>
      <c r="F807" s="2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 s="2">
        <v>5593</v>
      </c>
      <c r="T807">
        <v>17970</v>
      </c>
      <c r="U807">
        <v>1</v>
      </c>
      <c r="V807" t="s">
        <v>42</v>
      </c>
      <c r="W807" t="s">
        <v>43</v>
      </c>
      <c r="X807" s="2">
        <v>13</v>
      </c>
      <c r="Y807">
        <v>3</v>
      </c>
      <c r="Z807">
        <v>4</v>
      </c>
      <c r="AA807">
        <v>80</v>
      </c>
      <c r="AB807">
        <v>1</v>
      </c>
      <c r="AC807" s="2">
        <v>15</v>
      </c>
      <c r="AD807">
        <v>2</v>
      </c>
      <c r="AE807">
        <v>3</v>
      </c>
      <c r="AF807" s="2">
        <v>15</v>
      </c>
      <c r="AG807">
        <v>10</v>
      </c>
      <c r="AH807">
        <v>4</v>
      </c>
      <c r="AI807">
        <v>12</v>
      </c>
      <c r="AJ807" s="2" t="str">
        <f>IF(A807 A807 &lt;= 25, "18-25", IF(A807 &lt;=35, "26-35", IF(A807 &lt;=45, "36-45", IF(Table3[[#This Row],[Age]] &lt;=55, "46-55", "56+"))))</f>
        <v>36-45</v>
      </c>
      <c r="AK807" t="str">
        <f t="shared" si="12"/>
        <v>Medium</v>
      </c>
      <c r="AL807" s="2" t="str">
        <f>IF(AF807 &lt; 3, "0-2 Years", IF(AF807 &lt;= 5, "3-5 Years", IF(AF807 &lt;= 10, "6-10 Years",IF(Table3[[#This Row],[Years At Company]]&lt;=20, "11-20 Years","20+ Years"))))</f>
        <v>11-20 Years</v>
      </c>
    </row>
    <row r="808" spans="1:38" x14ac:dyDescent="0.25">
      <c r="A808" s="2">
        <v>52</v>
      </c>
      <c r="B808" t="s">
        <v>43</v>
      </c>
      <c r="C808" t="s">
        <v>36</v>
      </c>
      <c r="D808" s="2">
        <v>994</v>
      </c>
      <c r="E808" t="s">
        <v>45</v>
      </c>
      <c r="F808" s="2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 s="2">
        <v>10445</v>
      </c>
      <c r="T808">
        <v>15322</v>
      </c>
      <c r="U808">
        <v>7</v>
      </c>
      <c r="V808" t="s">
        <v>42</v>
      </c>
      <c r="W808" t="s">
        <v>43</v>
      </c>
      <c r="X808" s="2">
        <v>19</v>
      </c>
      <c r="Y808">
        <v>3</v>
      </c>
      <c r="Z808">
        <v>4</v>
      </c>
      <c r="AA808">
        <v>80</v>
      </c>
      <c r="AB808">
        <v>0</v>
      </c>
      <c r="AC808" s="2">
        <v>18</v>
      </c>
      <c r="AD808">
        <v>4</v>
      </c>
      <c r="AE808">
        <v>3</v>
      </c>
      <c r="AF808" s="2">
        <v>8</v>
      </c>
      <c r="AG808">
        <v>6</v>
      </c>
      <c r="AH808">
        <v>4</v>
      </c>
      <c r="AI808">
        <v>0</v>
      </c>
      <c r="AJ808" s="2" t="str">
        <f>IF(A808 A808 &lt;= 25, "18-25", IF(A808 &lt;=35, "26-35", IF(A808 &lt;=45, "36-45", IF(Table3[[#This Row],[Age]] &lt;=55, "46-55", "56+"))))</f>
        <v>46-55</v>
      </c>
      <c r="AK808" t="str">
        <f t="shared" si="12"/>
        <v>High</v>
      </c>
      <c r="AL808" s="2" t="str">
        <f>IF(AF808 &lt; 3, "0-2 Years", IF(AF808 &lt;= 5, "3-5 Years", IF(AF808 &lt;= 10, "6-10 Years",IF(Table3[[#This Row],[Years At Company]]&lt;=20, "11-20 Years","20+ Years"))))</f>
        <v>6-10 Years</v>
      </c>
    </row>
    <row r="809" spans="1:38" x14ac:dyDescent="0.25">
      <c r="A809" s="2">
        <v>38</v>
      </c>
      <c r="B809" t="s">
        <v>43</v>
      </c>
      <c r="C809" t="s">
        <v>36</v>
      </c>
      <c r="D809" s="2">
        <v>770</v>
      </c>
      <c r="E809" t="s">
        <v>37</v>
      </c>
      <c r="F809" s="2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 s="2">
        <v>8740</v>
      </c>
      <c r="T809">
        <v>5569</v>
      </c>
      <c r="U809">
        <v>0</v>
      </c>
      <c r="V809" t="s">
        <v>42</v>
      </c>
      <c r="W809" t="s">
        <v>35</v>
      </c>
      <c r="X809" s="2">
        <v>14</v>
      </c>
      <c r="Y809">
        <v>3</v>
      </c>
      <c r="Z809">
        <v>2</v>
      </c>
      <c r="AA809">
        <v>80</v>
      </c>
      <c r="AB809">
        <v>2</v>
      </c>
      <c r="AC809" s="2">
        <v>9</v>
      </c>
      <c r="AD809">
        <v>2</v>
      </c>
      <c r="AE809">
        <v>3</v>
      </c>
      <c r="AF809" s="2">
        <v>8</v>
      </c>
      <c r="AG809">
        <v>7</v>
      </c>
      <c r="AH809">
        <v>2</v>
      </c>
      <c r="AI809">
        <v>7</v>
      </c>
      <c r="AJ809" s="2" t="str">
        <f>IF(A809 A809 &lt;= 25, "18-25", IF(A809 &lt;=35, "26-35", IF(A809 &lt;=45, "36-45", IF(Table3[[#This Row],[Age]] &lt;=55, "46-55", "56+"))))</f>
        <v>36-45</v>
      </c>
      <c r="AK809" t="str">
        <f t="shared" si="12"/>
        <v>Medium</v>
      </c>
      <c r="AL809" s="2" t="str">
        <f>IF(AF809 &lt; 3, "0-2 Years", IF(AF809 &lt;= 5, "3-5 Years", IF(AF809 &lt;= 10, "6-10 Years",IF(Table3[[#This Row],[Years At Company]]&lt;=20, "11-20 Years","20+ Years"))))</f>
        <v>6-10 Years</v>
      </c>
    </row>
    <row r="810" spans="1:38" x14ac:dyDescent="0.25">
      <c r="A810" s="2">
        <v>29</v>
      </c>
      <c r="B810" t="s">
        <v>43</v>
      </c>
      <c r="C810" t="s">
        <v>36</v>
      </c>
      <c r="D810" s="2">
        <v>1107</v>
      </c>
      <c r="E810" t="s">
        <v>45</v>
      </c>
      <c r="F810" s="2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 s="2">
        <v>2514</v>
      </c>
      <c r="T810">
        <v>26968</v>
      </c>
      <c r="U810">
        <v>4</v>
      </c>
      <c r="V810" t="s">
        <v>42</v>
      </c>
      <c r="W810" t="s">
        <v>43</v>
      </c>
      <c r="X810" s="2">
        <v>22</v>
      </c>
      <c r="Y810">
        <v>4</v>
      </c>
      <c r="Z810">
        <v>1</v>
      </c>
      <c r="AA810">
        <v>80</v>
      </c>
      <c r="AB810">
        <v>1</v>
      </c>
      <c r="AC810" s="2">
        <v>11</v>
      </c>
      <c r="AD810">
        <v>1</v>
      </c>
      <c r="AE810">
        <v>3</v>
      </c>
      <c r="AF810" s="2">
        <v>7</v>
      </c>
      <c r="AG810">
        <v>5</v>
      </c>
      <c r="AH810">
        <v>1</v>
      </c>
      <c r="AI810">
        <v>7</v>
      </c>
      <c r="AJ810" s="2" t="str">
        <f>IF(A810 A810 &lt;= 25, "18-25", IF(A810 &lt;=35, "26-35", IF(A810 &lt;=45, "36-45", IF(Table3[[#This Row],[Age]] &lt;=55, "46-55", "56+"))))</f>
        <v>26-35</v>
      </c>
      <c r="AK810" t="str">
        <f t="shared" si="12"/>
        <v>Low</v>
      </c>
      <c r="AL810" s="2" t="str">
        <f>IF(AF810 &lt; 3, "0-2 Years", IF(AF810 &lt;= 5, "3-5 Years", IF(AF810 &lt;= 10, "6-10 Years",IF(Table3[[#This Row],[Years At Company]]&lt;=20, "11-20 Years","20+ Years"))))</f>
        <v>6-10 Years</v>
      </c>
    </row>
    <row r="811" spans="1:38" x14ac:dyDescent="0.25">
      <c r="A811" s="2">
        <v>28</v>
      </c>
      <c r="B811" t="s">
        <v>43</v>
      </c>
      <c r="C811" t="s">
        <v>36</v>
      </c>
      <c r="D811" s="2">
        <v>950</v>
      </c>
      <c r="E811" t="s">
        <v>45</v>
      </c>
      <c r="F811" s="2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 s="2">
        <v>7655</v>
      </c>
      <c r="T811">
        <v>8039</v>
      </c>
      <c r="U811">
        <v>0</v>
      </c>
      <c r="V811" t="s">
        <v>42</v>
      </c>
      <c r="W811" t="s">
        <v>43</v>
      </c>
      <c r="X811" s="2">
        <v>17</v>
      </c>
      <c r="Y811">
        <v>3</v>
      </c>
      <c r="Z811">
        <v>2</v>
      </c>
      <c r="AA811">
        <v>80</v>
      </c>
      <c r="AB811">
        <v>3</v>
      </c>
      <c r="AC811" s="2">
        <v>10</v>
      </c>
      <c r="AD811">
        <v>3</v>
      </c>
      <c r="AE811">
        <v>2</v>
      </c>
      <c r="AF811" s="2">
        <v>9</v>
      </c>
      <c r="AG811">
        <v>7</v>
      </c>
      <c r="AH811">
        <v>1</v>
      </c>
      <c r="AI811">
        <v>7</v>
      </c>
      <c r="AJ811" s="2" t="str">
        <f>IF(A811 A811 &lt;= 25, "18-25", IF(A811 &lt;=35, "26-35", IF(A811 &lt;=45, "36-45", IF(Table3[[#This Row],[Age]] &lt;=55, "46-55", "56+"))))</f>
        <v>26-35</v>
      </c>
      <c r="AK811" t="str">
        <f t="shared" si="12"/>
        <v>Medium</v>
      </c>
      <c r="AL811" s="2" t="str">
        <f>IF(AF811 &lt; 3, "0-2 Years", IF(AF811 &lt;= 5, "3-5 Years", IF(AF811 &lt;= 10, "6-10 Years",IF(Table3[[#This Row],[Years At Company]]&lt;=20, "11-20 Years","20+ Years"))))</f>
        <v>6-10 Years</v>
      </c>
    </row>
    <row r="812" spans="1:38" x14ac:dyDescent="0.25">
      <c r="A812" s="2">
        <v>46</v>
      </c>
      <c r="B812" t="s">
        <v>43</v>
      </c>
      <c r="C812" t="s">
        <v>36</v>
      </c>
      <c r="D812" s="2">
        <v>406</v>
      </c>
      <c r="E812" t="s">
        <v>37</v>
      </c>
      <c r="F812" s="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 s="2">
        <v>17465</v>
      </c>
      <c r="T812">
        <v>15596</v>
      </c>
      <c r="U812">
        <v>3</v>
      </c>
      <c r="V812" t="s">
        <v>42</v>
      </c>
      <c r="W812" t="s">
        <v>43</v>
      </c>
      <c r="X812" s="2">
        <v>12</v>
      </c>
      <c r="Y812">
        <v>3</v>
      </c>
      <c r="Z812">
        <v>4</v>
      </c>
      <c r="AA812">
        <v>80</v>
      </c>
      <c r="AB812">
        <v>1</v>
      </c>
      <c r="AC812" s="2">
        <v>23</v>
      </c>
      <c r="AD812">
        <v>3</v>
      </c>
      <c r="AE812">
        <v>3</v>
      </c>
      <c r="AF812" s="2">
        <v>12</v>
      </c>
      <c r="AG812">
        <v>9</v>
      </c>
      <c r="AH812">
        <v>4</v>
      </c>
      <c r="AI812">
        <v>9</v>
      </c>
      <c r="AJ812" s="2" t="str">
        <f>IF(A812 A812 &lt;= 25, "18-25", IF(A812 &lt;=35, "26-35", IF(A812 &lt;=45, "36-45", IF(Table3[[#This Row],[Age]] &lt;=55, "46-55", "56+"))))</f>
        <v>46-55</v>
      </c>
      <c r="AK812" t="str">
        <f t="shared" si="12"/>
        <v>High</v>
      </c>
      <c r="AL812" s="2" t="str">
        <f>IF(AF812 &lt; 3, "0-2 Years", IF(AF812 &lt;= 5, "3-5 Years", IF(AF812 &lt;= 10, "6-10 Years",IF(Table3[[#This Row],[Years At Company]]&lt;=20, "11-20 Years","20+ Years"))))</f>
        <v>11-20 Years</v>
      </c>
    </row>
    <row r="813" spans="1:38" x14ac:dyDescent="0.25">
      <c r="A813" s="2">
        <v>38</v>
      </c>
      <c r="B813" t="s">
        <v>43</v>
      </c>
      <c r="C813" t="s">
        <v>36</v>
      </c>
      <c r="D813" s="2">
        <v>130</v>
      </c>
      <c r="E813" t="s">
        <v>37</v>
      </c>
      <c r="F813" s="2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 s="2">
        <v>7351</v>
      </c>
      <c r="T813">
        <v>20619</v>
      </c>
      <c r="U813">
        <v>7</v>
      </c>
      <c r="V813" t="s">
        <v>42</v>
      </c>
      <c r="W813" t="s">
        <v>43</v>
      </c>
      <c r="X813" s="2">
        <v>16</v>
      </c>
      <c r="Y813">
        <v>3</v>
      </c>
      <c r="Z813">
        <v>3</v>
      </c>
      <c r="AA813">
        <v>80</v>
      </c>
      <c r="AB813">
        <v>0</v>
      </c>
      <c r="AC813" s="2">
        <v>10</v>
      </c>
      <c r="AD813">
        <v>2</v>
      </c>
      <c r="AE813">
        <v>3</v>
      </c>
      <c r="AF813" s="2">
        <v>1</v>
      </c>
      <c r="AG813">
        <v>0</v>
      </c>
      <c r="AH813">
        <v>0</v>
      </c>
      <c r="AI813">
        <v>0</v>
      </c>
      <c r="AJ813" s="2" t="str">
        <f>IF(A813 A813 &lt;= 25, "18-25", IF(A813 &lt;=35, "26-35", IF(A813 &lt;=45, "36-45", IF(Table3[[#This Row],[Age]] &lt;=55, "46-55", "56+"))))</f>
        <v>36-45</v>
      </c>
      <c r="AK813" t="str">
        <f t="shared" si="12"/>
        <v>Medium</v>
      </c>
      <c r="AL813" s="2" t="str">
        <f>IF(AF813 &lt; 3, "0-2 Years", IF(AF813 &lt;= 5, "3-5 Years", IF(AF813 &lt;= 10, "6-10 Years",IF(Table3[[#This Row],[Years At Company]]&lt;=20, "11-20 Years","20+ Years"))))</f>
        <v>0-2 Years</v>
      </c>
    </row>
    <row r="814" spans="1:38" x14ac:dyDescent="0.25">
      <c r="A814" s="2">
        <v>43</v>
      </c>
      <c r="B814" t="s">
        <v>43</v>
      </c>
      <c r="C814" t="s">
        <v>44</v>
      </c>
      <c r="D814" s="2">
        <v>1082</v>
      </c>
      <c r="E814" t="s">
        <v>45</v>
      </c>
      <c r="F814" s="2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 s="2">
        <v>10820</v>
      </c>
      <c r="T814">
        <v>11535</v>
      </c>
      <c r="U814">
        <v>8</v>
      </c>
      <c r="V814" t="s">
        <v>42</v>
      </c>
      <c r="W814" t="s">
        <v>43</v>
      </c>
      <c r="X814" s="2">
        <v>11</v>
      </c>
      <c r="Y814">
        <v>3</v>
      </c>
      <c r="Z814">
        <v>3</v>
      </c>
      <c r="AA814">
        <v>80</v>
      </c>
      <c r="AB814">
        <v>1</v>
      </c>
      <c r="AC814" s="2">
        <v>18</v>
      </c>
      <c r="AD814">
        <v>1</v>
      </c>
      <c r="AE814">
        <v>3</v>
      </c>
      <c r="AF814" s="2">
        <v>8</v>
      </c>
      <c r="AG814">
        <v>7</v>
      </c>
      <c r="AH814">
        <v>0</v>
      </c>
      <c r="AI814">
        <v>1</v>
      </c>
      <c r="AJ814" s="2" t="str">
        <f>IF(A814 A814 &lt;= 25, "18-25", IF(A814 &lt;=35, "26-35", IF(A814 &lt;=45, "36-45", IF(Table3[[#This Row],[Age]] &lt;=55, "46-55", "56+"))))</f>
        <v>36-45</v>
      </c>
      <c r="AK814" t="str">
        <f t="shared" si="12"/>
        <v>High</v>
      </c>
      <c r="AL814" s="2" t="str">
        <f>IF(AF814 &lt; 3, "0-2 Years", IF(AF814 &lt;= 5, "3-5 Years", IF(AF814 &lt;= 10, "6-10 Years",IF(Table3[[#This Row],[Years At Company]]&lt;=20, "11-20 Years","20+ Years"))))</f>
        <v>6-10 Years</v>
      </c>
    </row>
    <row r="815" spans="1:38" x14ac:dyDescent="0.25">
      <c r="A815" s="2">
        <v>39</v>
      </c>
      <c r="B815" t="s">
        <v>35</v>
      </c>
      <c r="C815" t="s">
        <v>44</v>
      </c>
      <c r="D815" s="2">
        <v>203</v>
      </c>
      <c r="E815" t="s">
        <v>45</v>
      </c>
      <c r="F815" s="2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 s="2">
        <v>12169</v>
      </c>
      <c r="T815">
        <v>13547</v>
      </c>
      <c r="U815">
        <v>7</v>
      </c>
      <c r="V815" t="s">
        <v>42</v>
      </c>
      <c r="W815" t="s">
        <v>43</v>
      </c>
      <c r="X815" s="2">
        <v>11</v>
      </c>
      <c r="Y815">
        <v>3</v>
      </c>
      <c r="Z815">
        <v>4</v>
      </c>
      <c r="AA815">
        <v>80</v>
      </c>
      <c r="AB815">
        <v>3</v>
      </c>
      <c r="AC815" s="2">
        <v>21</v>
      </c>
      <c r="AD815">
        <v>4</v>
      </c>
      <c r="AE815">
        <v>3</v>
      </c>
      <c r="AF815" s="2">
        <v>18</v>
      </c>
      <c r="AG815">
        <v>7</v>
      </c>
      <c r="AH815">
        <v>11</v>
      </c>
      <c r="AI815">
        <v>5</v>
      </c>
      <c r="AJ815" s="2" t="str">
        <f>IF(A815 A815 &lt;= 25, "18-25", IF(A815 &lt;=35, "26-35", IF(A815 &lt;=45, "36-45", IF(Table3[[#This Row],[Age]] &lt;=55, "46-55", "56+"))))</f>
        <v>36-45</v>
      </c>
      <c r="AK815" t="str">
        <f t="shared" si="12"/>
        <v>High</v>
      </c>
      <c r="AL815" s="2" t="str">
        <f>IF(AF815 &lt; 3, "0-2 Years", IF(AF815 &lt;= 5, "3-5 Years", IF(AF815 &lt;= 10, "6-10 Years",IF(Table3[[#This Row],[Years At Company]]&lt;=20, "11-20 Years","20+ Years"))))</f>
        <v>11-20 Years</v>
      </c>
    </row>
    <row r="816" spans="1:38" x14ac:dyDescent="0.25">
      <c r="A816" s="2">
        <v>40</v>
      </c>
      <c r="B816" t="s">
        <v>43</v>
      </c>
      <c r="C816" t="s">
        <v>36</v>
      </c>
      <c r="D816" s="2">
        <v>1308</v>
      </c>
      <c r="E816" t="s">
        <v>45</v>
      </c>
      <c r="F816" s="2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 s="2">
        <v>19626</v>
      </c>
      <c r="T816">
        <v>17544</v>
      </c>
      <c r="U816">
        <v>1</v>
      </c>
      <c r="V816" t="s">
        <v>42</v>
      </c>
      <c r="W816" t="s">
        <v>43</v>
      </c>
      <c r="X816" s="2">
        <v>14</v>
      </c>
      <c r="Y816">
        <v>3</v>
      </c>
      <c r="Z816">
        <v>1</v>
      </c>
      <c r="AA816">
        <v>80</v>
      </c>
      <c r="AB816">
        <v>0</v>
      </c>
      <c r="AC816" s="2">
        <v>21</v>
      </c>
      <c r="AD816">
        <v>2</v>
      </c>
      <c r="AE816">
        <v>4</v>
      </c>
      <c r="AF816" s="2">
        <v>20</v>
      </c>
      <c r="AG816">
        <v>7</v>
      </c>
      <c r="AH816">
        <v>4</v>
      </c>
      <c r="AI816">
        <v>9</v>
      </c>
      <c r="AJ816" s="2" t="str">
        <f>IF(A816 A816 &lt;= 25, "18-25", IF(A816 &lt;=35, "26-35", IF(A816 &lt;=45, "36-45", IF(Table3[[#This Row],[Age]] &lt;=55, "46-55", "56+"))))</f>
        <v>36-45</v>
      </c>
      <c r="AK816" t="str">
        <f t="shared" si="12"/>
        <v>High</v>
      </c>
      <c r="AL816" s="2" t="str">
        <f>IF(AF816 &lt; 3, "0-2 Years", IF(AF816 &lt;= 5, "3-5 Years", IF(AF816 &lt;= 10, "6-10 Years",IF(Table3[[#This Row],[Years At Company]]&lt;=20, "11-20 Years","20+ Years"))))</f>
        <v>11-20 Years</v>
      </c>
    </row>
    <row r="817" spans="1:38" x14ac:dyDescent="0.25">
      <c r="A817" s="2">
        <v>21</v>
      </c>
      <c r="B817" t="s">
        <v>43</v>
      </c>
      <c r="C817" t="s">
        <v>36</v>
      </c>
      <c r="D817" s="2">
        <v>984</v>
      </c>
      <c r="E817" t="s">
        <v>45</v>
      </c>
      <c r="F817" s="2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 s="2">
        <v>2070</v>
      </c>
      <c r="T817">
        <v>25326</v>
      </c>
      <c r="U817">
        <v>1</v>
      </c>
      <c r="V817" t="s">
        <v>42</v>
      </c>
      <c r="W817" t="s">
        <v>35</v>
      </c>
      <c r="X817" s="2">
        <v>11</v>
      </c>
      <c r="Y817">
        <v>3</v>
      </c>
      <c r="Z817">
        <v>3</v>
      </c>
      <c r="AA817">
        <v>80</v>
      </c>
      <c r="AB817">
        <v>0</v>
      </c>
      <c r="AC817" s="2">
        <v>2</v>
      </c>
      <c r="AD817">
        <v>6</v>
      </c>
      <c r="AE817">
        <v>4</v>
      </c>
      <c r="AF817" s="2">
        <v>2</v>
      </c>
      <c r="AG817">
        <v>2</v>
      </c>
      <c r="AH817">
        <v>2</v>
      </c>
      <c r="AI817">
        <v>2</v>
      </c>
      <c r="AJ817" s="2" t="str">
        <f>IF(A817 A817 &lt;= 25, "18-25", IF(A817 &lt;=35, "26-35", IF(A817 &lt;=45, "36-45", IF(Table3[[#This Row],[Age]] &lt;=55, "46-55", "56+"))))</f>
        <v>18-25</v>
      </c>
      <c r="AK817" t="str">
        <f t="shared" si="12"/>
        <v>Low</v>
      </c>
      <c r="AL817" s="2" t="str">
        <f>IF(AF817 &lt; 3, "0-2 Years", IF(AF817 &lt;= 5, "3-5 Years", IF(AF817 &lt;= 10, "6-10 Years",IF(Table3[[#This Row],[Years At Company]]&lt;=20, "11-20 Years","20+ Years"))))</f>
        <v>0-2 Years</v>
      </c>
    </row>
    <row r="818" spans="1:38" x14ac:dyDescent="0.25">
      <c r="A818" s="2">
        <v>39</v>
      </c>
      <c r="B818" t="s">
        <v>43</v>
      </c>
      <c r="C818" t="s">
        <v>55</v>
      </c>
      <c r="D818" s="2">
        <v>439</v>
      </c>
      <c r="E818" t="s">
        <v>45</v>
      </c>
      <c r="F818" s="2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 s="2">
        <v>6782</v>
      </c>
      <c r="T818">
        <v>8770</v>
      </c>
      <c r="U818">
        <v>9</v>
      </c>
      <c r="V818" t="s">
        <v>42</v>
      </c>
      <c r="W818" t="s">
        <v>43</v>
      </c>
      <c r="X818" s="2">
        <v>15</v>
      </c>
      <c r="Y818">
        <v>3</v>
      </c>
      <c r="Z818">
        <v>3</v>
      </c>
      <c r="AA818">
        <v>80</v>
      </c>
      <c r="AB818">
        <v>0</v>
      </c>
      <c r="AC818" s="2">
        <v>9</v>
      </c>
      <c r="AD818">
        <v>2</v>
      </c>
      <c r="AE818">
        <v>2</v>
      </c>
      <c r="AF818" s="2">
        <v>5</v>
      </c>
      <c r="AG818">
        <v>4</v>
      </c>
      <c r="AH818">
        <v>0</v>
      </c>
      <c r="AI818">
        <v>3</v>
      </c>
      <c r="AJ818" s="2" t="str">
        <f>IF(A818 A818 &lt;= 25, "18-25", IF(A818 &lt;=35, "26-35", IF(A818 &lt;=45, "36-45", IF(Table3[[#This Row],[Age]] &lt;=55, "46-55", "56+"))))</f>
        <v>36-45</v>
      </c>
      <c r="AK818" t="str">
        <f t="shared" si="12"/>
        <v>Medium</v>
      </c>
      <c r="AL818" s="2" t="str">
        <f>IF(AF818 &lt; 3, "0-2 Years", IF(AF818 &lt;= 5, "3-5 Years", IF(AF818 &lt;= 10, "6-10 Years",IF(Table3[[#This Row],[Years At Company]]&lt;=20, "11-20 Years","20+ Years"))))</f>
        <v>3-5 Years</v>
      </c>
    </row>
    <row r="819" spans="1:38" x14ac:dyDescent="0.25">
      <c r="A819" s="2">
        <v>36</v>
      </c>
      <c r="B819" t="s">
        <v>43</v>
      </c>
      <c r="C819" t="s">
        <v>55</v>
      </c>
      <c r="D819" s="2">
        <v>217</v>
      </c>
      <c r="E819" t="s">
        <v>45</v>
      </c>
      <c r="F819" s="2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 s="2">
        <v>7779</v>
      </c>
      <c r="T819">
        <v>23238</v>
      </c>
      <c r="U819">
        <v>2</v>
      </c>
      <c r="V819" t="s">
        <v>42</v>
      </c>
      <c r="W819" t="s">
        <v>43</v>
      </c>
      <c r="X819" s="2">
        <v>20</v>
      </c>
      <c r="Y819">
        <v>4</v>
      </c>
      <c r="Z819">
        <v>1</v>
      </c>
      <c r="AA819">
        <v>80</v>
      </c>
      <c r="AB819">
        <v>0</v>
      </c>
      <c r="AC819" s="2">
        <v>18</v>
      </c>
      <c r="AD819">
        <v>0</v>
      </c>
      <c r="AE819">
        <v>3</v>
      </c>
      <c r="AF819" s="2">
        <v>11</v>
      </c>
      <c r="AG819">
        <v>9</v>
      </c>
      <c r="AH819">
        <v>0</v>
      </c>
      <c r="AI819">
        <v>9</v>
      </c>
      <c r="AJ819" s="2" t="str">
        <f>IF(A819 A819 &lt;= 25, "18-25", IF(A819 &lt;=35, "26-35", IF(A819 &lt;=45, "36-45", IF(Table3[[#This Row],[Age]] &lt;=55, "46-55", "56+"))))</f>
        <v>36-45</v>
      </c>
      <c r="AK819" t="str">
        <f t="shared" si="12"/>
        <v>Medium</v>
      </c>
      <c r="AL819" s="2" t="str">
        <f>IF(AF819 &lt; 3, "0-2 Years", IF(AF819 &lt;= 5, "3-5 Years", IF(AF819 &lt;= 10, "6-10 Years",IF(Table3[[#This Row],[Years At Company]]&lt;=20, "11-20 Years","20+ Years"))))</f>
        <v>11-20 Years</v>
      </c>
    </row>
    <row r="820" spans="1:38" x14ac:dyDescent="0.25">
      <c r="A820" s="2">
        <v>31</v>
      </c>
      <c r="B820" t="s">
        <v>43</v>
      </c>
      <c r="C820" t="s">
        <v>44</v>
      </c>
      <c r="D820" s="2">
        <v>793</v>
      </c>
      <c r="E820" t="s">
        <v>37</v>
      </c>
      <c r="F820" s="2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 s="2">
        <v>2791</v>
      </c>
      <c r="T820">
        <v>21981</v>
      </c>
      <c r="U820">
        <v>0</v>
      </c>
      <c r="V820" t="s">
        <v>42</v>
      </c>
      <c r="W820" t="s">
        <v>43</v>
      </c>
      <c r="X820" s="2">
        <v>12</v>
      </c>
      <c r="Y820">
        <v>3</v>
      </c>
      <c r="Z820">
        <v>1</v>
      </c>
      <c r="AA820">
        <v>80</v>
      </c>
      <c r="AB820">
        <v>1</v>
      </c>
      <c r="AC820" s="2">
        <v>3</v>
      </c>
      <c r="AD820">
        <v>4</v>
      </c>
      <c r="AE820">
        <v>3</v>
      </c>
      <c r="AF820" s="2">
        <v>2</v>
      </c>
      <c r="AG820">
        <v>2</v>
      </c>
      <c r="AH820">
        <v>2</v>
      </c>
      <c r="AI820">
        <v>2</v>
      </c>
      <c r="AJ820" s="2" t="str">
        <f>IF(A820 A820 &lt;= 25, "18-25", IF(A820 &lt;=35, "26-35", IF(A820 &lt;=45, "36-45", IF(Table3[[#This Row],[Age]] &lt;=55, "46-55", "56+"))))</f>
        <v>26-35</v>
      </c>
      <c r="AK820" t="str">
        <f t="shared" si="12"/>
        <v>Low</v>
      </c>
      <c r="AL820" s="2" t="str">
        <f>IF(AF820 &lt; 3, "0-2 Years", IF(AF820 &lt;= 5, "3-5 Years", IF(AF820 &lt;= 10, "6-10 Years",IF(Table3[[#This Row],[Years At Company]]&lt;=20, "11-20 Years","20+ Years"))))</f>
        <v>0-2 Years</v>
      </c>
    </row>
    <row r="821" spans="1:38" x14ac:dyDescent="0.25">
      <c r="A821" s="2">
        <v>28</v>
      </c>
      <c r="B821" t="s">
        <v>43</v>
      </c>
      <c r="C821" t="s">
        <v>36</v>
      </c>
      <c r="D821" s="2">
        <v>1451</v>
      </c>
      <c r="E821" t="s">
        <v>45</v>
      </c>
      <c r="F821" s="2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 s="2">
        <v>3201</v>
      </c>
      <c r="T821">
        <v>19911</v>
      </c>
      <c r="U821">
        <v>0</v>
      </c>
      <c r="V821" t="s">
        <v>42</v>
      </c>
      <c r="W821" t="s">
        <v>43</v>
      </c>
      <c r="X821" s="2">
        <v>17</v>
      </c>
      <c r="Y821">
        <v>3</v>
      </c>
      <c r="Z821">
        <v>1</v>
      </c>
      <c r="AA821">
        <v>80</v>
      </c>
      <c r="AB821">
        <v>0</v>
      </c>
      <c r="AC821" s="2">
        <v>6</v>
      </c>
      <c r="AD821">
        <v>2</v>
      </c>
      <c r="AE821">
        <v>1</v>
      </c>
      <c r="AF821" s="2">
        <v>5</v>
      </c>
      <c r="AG821">
        <v>3</v>
      </c>
      <c r="AH821">
        <v>0</v>
      </c>
      <c r="AI821">
        <v>4</v>
      </c>
      <c r="AJ821" s="2" t="str">
        <f>IF(A821 A821 &lt;= 25, "18-25", IF(A821 &lt;=35, "26-35", IF(A821 &lt;=45, "36-45", IF(Table3[[#This Row],[Age]] &lt;=55, "46-55", "56+"))))</f>
        <v>26-35</v>
      </c>
      <c r="AK821" t="str">
        <f t="shared" si="12"/>
        <v>Low</v>
      </c>
      <c r="AL821" s="2" t="str">
        <f>IF(AF821 &lt; 3, "0-2 Years", IF(AF821 &lt;= 5, "3-5 Years", IF(AF821 &lt;= 10, "6-10 Years",IF(Table3[[#This Row],[Years At Company]]&lt;=20, "11-20 Years","20+ Years"))))</f>
        <v>3-5 Years</v>
      </c>
    </row>
    <row r="822" spans="1:38" x14ac:dyDescent="0.25">
      <c r="A822" s="2">
        <v>35</v>
      </c>
      <c r="B822" t="s">
        <v>43</v>
      </c>
      <c r="C822" t="s">
        <v>44</v>
      </c>
      <c r="D822" s="2">
        <v>1182</v>
      </c>
      <c r="E822" t="s">
        <v>37</v>
      </c>
      <c r="F822" s="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 s="2">
        <v>4968</v>
      </c>
      <c r="T822">
        <v>18500</v>
      </c>
      <c r="U822">
        <v>1</v>
      </c>
      <c r="V822" t="s">
        <v>42</v>
      </c>
      <c r="W822" t="s">
        <v>43</v>
      </c>
      <c r="X822" s="2">
        <v>11</v>
      </c>
      <c r="Y822">
        <v>3</v>
      </c>
      <c r="Z822">
        <v>4</v>
      </c>
      <c r="AA822">
        <v>80</v>
      </c>
      <c r="AB822">
        <v>1</v>
      </c>
      <c r="AC822" s="2">
        <v>5</v>
      </c>
      <c r="AD822">
        <v>3</v>
      </c>
      <c r="AE822">
        <v>3</v>
      </c>
      <c r="AF822" s="2">
        <v>5</v>
      </c>
      <c r="AG822">
        <v>2</v>
      </c>
      <c r="AH822">
        <v>0</v>
      </c>
      <c r="AI822">
        <v>2</v>
      </c>
      <c r="AJ822" s="2" t="str">
        <f>IF(A822 A822 &lt;= 25, "18-25", IF(A822 &lt;=35, "26-35", IF(A822 &lt;=45, "36-45", IF(Table3[[#This Row],[Age]] &lt;=55, "46-55", "56+"))))</f>
        <v>26-35</v>
      </c>
      <c r="AK822" t="str">
        <f t="shared" si="12"/>
        <v>Low</v>
      </c>
      <c r="AL822" s="2" t="str">
        <f>IF(AF822 &lt; 3, "0-2 Years", IF(AF822 &lt;= 5, "3-5 Years", IF(AF822 &lt;= 10, "6-10 Years",IF(Table3[[#This Row],[Years At Company]]&lt;=20, "11-20 Years","20+ Years"))))</f>
        <v>3-5 Years</v>
      </c>
    </row>
    <row r="823" spans="1:38" x14ac:dyDescent="0.25">
      <c r="A823" s="2">
        <v>49</v>
      </c>
      <c r="B823" t="s">
        <v>43</v>
      </c>
      <c r="C823" t="s">
        <v>36</v>
      </c>
      <c r="D823" s="2">
        <v>174</v>
      </c>
      <c r="E823" t="s">
        <v>37</v>
      </c>
      <c r="F823" s="2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 s="2">
        <v>13120</v>
      </c>
      <c r="T823">
        <v>11879</v>
      </c>
      <c r="U823">
        <v>6</v>
      </c>
      <c r="V823" t="s">
        <v>42</v>
      </c>
      <c r="W823" t="s">
        <v>43</v>
      </c>
      <c r="X823" s="2">
        <v>17</v>
      </c>
      <c r="Y823">
        <v>3</v>
      </c>
      <c r="Z823">
        <v>2</v>
      </c>
      <c r="AA823">
        <v>80</v>
      </c>
      <c r="AB823">
        <v>1</v>
      </c>
      <c r="AC823" s="2">
        <v>22</v>
      </c>
      <c r="AD823">
        <v>3</v>
      </c>
      <c r="AE823">
        <v>3</v>
      </c>
      <c r="AF823" s="2">
        <v>9</v>
      </c>
      <c r="AG823">
        <v>8</v>
      </c>
      <c r="AH823">
        <v>2</v>
      </c>
      <c r="AI823">
        <v>3</v>
      </c>
      <c r="AJ823" s="2" t="str">
        <f>IF(A823 A823 &lt;= 25, "18-25", IF(A823 &lt;=35, "26-35", IF(A823 &lt;=45, "36-45", IF(Table3[[#This Row],[Age]] &lt;=55, "46-55", "56+"))))</f>
        <v>46-55</v>
      </c>
      <c r="AK823" t="str">
        <f t="shared" si="12"/>
        <v>High</v>
      </c>
      <c r="AL823" s="2" t="str">
        <f>IF(AF823 &lt; 3, "0-2 Years", IF(AF823 &lt;= 5, "3-5 Years", IF(AF823 &lt;= 10, "6-10 Years",IF(Table3[[#This Row],[Years At Company]]&lt;=20, "11-20 Years","20+ Years"))))</f>
        <v>6-10 Years</v>
      </c>
    </row>
    <row r="824" spans="1:38" x14ac:dyDescent="0.25">
      <c r="A824" s="2">
        <v>34</v>
      </c>
      <c r="B824" t="s">
        <v>43</v>
      </c>
      <c r="C824" t="s">
        <v>44</v>
      </c>
      <c r="D824" s="2">
        <v>1003</v>
      </c>
      <c r="E824" t="s">
        <v>45</v>
      </c>
      <c r="F824" s="2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 s="2">
        <v>4033</v>
      </c>
      <c r="T824">
        <v>15834</v>
      </c>
      <c r="U824">
        <v>2</v>
      </c>
      <c r="V824" t="s">
        <v>42</v>
      </c>
      <c r="W824" t="s">
        <v>43</v>
      </c>
      <c r="X824" s="2">
        <v>11</v>
      </c>
      <c r="Y824">
        <v>3</v>
      </c>
      <c r="Z824">
        <v>4</v>
      </c>
      <c r="AA824">
        <v>80</v>
      </c>
      <c r="AB824">
        <v>0</v>
      </c>
      <c r="AC824" s="2">
        <v>5</v>
      </c>
      <c r="AD824">
        <v>3</v>
      </c>
      <c r="AE824">
        <v>2</v>
      </c>
      <c r="AF824" s="2">
        <v>3</v>
      </c>
      <c r="AG824">
        <v>2</v>
      </c>
      <c r="AH824">
        <v>0</v>
      </c>
      <c r="AI824">
        <v>2</v>
      </c>
      <c r="AJ824" s="2" t="str">
        <f>IF(A824 A824 &lt;= 25, "18-25", IF(A824 &lt;=35, "26-35", IF(A824 &lt;=45, "36-45", IF(Table3[[#This Row],[Age]] &lt;=55, "46-55", "56+"))))</f>
        <v>26-35</v>
      </c>
      <c r="AK824" t="str">
        <f t="shared" si="12"/>
        <v>Low</v>
      </c>
      <c r="AL824" s="2" t="str">
        <f>IF(AF824 &lt; 3, "0-2 Years", IF(AF824 &lt;= 5, "3-5 Years", IF(AF824 &lt;= 10, "6-10 Years",IF(Table3[[#This Row],[Years At Company]]&lt;=20, "11-20 Years","20+ Years"))))</f>
        <v>3-5 Years</v>
      </c>
    </row>
    <row r="825" spans="1:38" x14ac:dyDescent="0.25">
      <c r="A825" s="2">
        <v>29</v>
      </c>
      <c r="B825" t="s">
        <v>43</v>
      </c>
      <c r="C825" t="s">
        <v>44</v>
      </c>
      <c r="D825" s="2">
        <v>490</v>
      </c>
      <c r="E825" t="s">
        <v>45</v>
      </c>
      <c r="F825" s="2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 s="2">
        <v>3291</v>
      </c>
      <c r="T825">
        <v>17940</v>
      </c>
      <c r="U825">
        <v>0</v>
      </c>
      <c r="V825" t="s">
        <v>42</v>
      </c>
      <c r="W825" t="s">
        <v>43</v>
      </c>
      <c r="X825" s="2">
        <v>14</v>
      </c>
      <c r="Y825">
        <v>3</v>
      </c>
      <c r="Z825">
        <v>4</v>
      </c>
      <c r="AA825">
        <v>80</v>
      </c>
      <c r="AB825">
        <v>2</v>
      </c>
      <c r="AC825" s="2">
        <v>8</v>
      </c>
      <c r="AD825">
        <v>2</v>
      </c>
      <c r="AE825">
        <v>2</v>
      </c>
      <c r="AF825" s="2">
        <v>7</v>
      </c>
      <c r="AG825">
        <v>5</v>
      </c>
      <c r="AH825">
        <v>1</v>
      </c>
      <c r="AI825">
        <v>1</v>
      </c>
      <c r="AJ825" s="2" t="str">
        <f>IF(A825 A825 &lt;= 25, "18-25", IF(A825 &lt;=35, "26-35", IF(A825 &lt;=45, "36-45", IF(Table3[[#This Row],[Age]] &lt;=55, "46-55", "56+"))))</f>
        <v>26-35</v>
      </c>
      <c r="AK825" t="str">
        <f t="shared" si="12"/>
        <v>Low</v>
      </c>
      <c r="AL825" s="2" t="str">
        <f>IF(AF825 &lt; 3, "0-2 Years", IF(AF825 &lt;= 5, "3-5 Years", IF(AF825 &lt;= 10, "6-10 Years",IF(Table3[[#This Row],[Years At Company]]&lt;=20, "11-20 Years","20+ Years"))))</f>
        <v>6-10 Years</v>
      </c>
    </row>
    <row r="826" spans="1:38" x14ac:dyDescent="0.25">
      <c r="A826" s="2">
        <v>42</v>
      </c>
      <c r="B826" t="s">
        <v>43</v>
      </c>
      <c r="C826" t="s">
        <v>36</v>
      </c>
      <c r="D826" s="2">
        <v>188</v>
      </c>
      <c r="E826" t="s">
        <v>45</v>
      </c>
      <c r="F826" s="2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 s="2">
        <v>4272</v>
      </c>
      <c r="T826">
        <v>9558</v>
      </c>
      <c r="U826">
        <v>4</v>
      </c>
      <c r="V826" t="s">
        <v>42</v>
      </c>
      <c r="W826" t="s">
        <v>43</v>
      </c>
      <c r="X826" s="2">
        <v>19</v>
      </c>
      <c r="Y826">
        <v>3</v>
      </c>
      <c r="Z826">
        <v>1</v>
      </c>
      <c r="AA826">
        <v>80</v>
      </c>
      <c r="AB826">
        <v>0</v>
      </c>
      <c r="AC826" s="2">
        <v>16</v>
      </c>
      <c r="AD826">
        <v>3</v>
      </c>
      <c r="AE826">
        <v>3</v>
      </c>
      <c r="AF826" s="2">
        <v>1</v>
      </c>
      <c r="AG826">
        <v>0</v>
      </c>
      <c r="AH826">
        <v>0</v>
      </c>
      <c r="AI826">
        <v>0</v>
      </c>
      <c r="AJ826" s="2" t="str">
        <f>IF(A826 A826 &lt;= 25, "18-25", IF(A826 &lt;=35, "26-35", IF(A826 &lt;=45, "36-45", IF(Table3[[#This Row],[Age]] &lt;=55, "46-55", "56+"))))</f>
        <v>36-45</v>
      </c>
      <c r="AK826" t="str">
        <f t="shared" si="12"/>
        <v>Low</v>
      </c>
      <c r="AL826" s="2" t="str">
        <f>IF(AF826 &lt; 3, "0-2 Years", IF(AF826 &lt;= 5, "3-5 Years", IF(AF826 &lt;= 10, "6-10 Years",IF(Table3[[#This Row],[Years At Company]]&lt;=20, "11-20 Years","20+ Years"))))</f>
        <v>0-2 Years</v>
      </c>
    </row>
    <row r="827" spans="1:38" x14ac:dyDescent="0.25">
      <c r="A827" s="2">
        <v>29</v>
      </c>
      <c r="B827" t="s">
        <v>43</v>
      </c>
      <c r="C827" t="s">
        <v>36</v>
      </c>
      <c r="D827" s="2">
        <v>718</v>
      </c>
      <c r="E827" t="s">
        <v>45</v>
      </c>
      <c r="F827" s="2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 s="2">
        <v>5056</v>
      </c>
      <c r="T827">
        <v>17689</v>
      </c>
      <c r="U827">
        <v>1</v>
      </c>
      <c r="V827" t="s">
        <v>42</v>
      </c>
      <c r="W827" t="s">
        <v>35</v>
      </c>
      <c r="X827" s="2">
        <v>15</v>
      </c>
      <c r="Y827">
        <v>3</v>
      </c>
      <c r="Z827">
        <v>3</v>
      </c>
      <c r="AA827">
        <v>80</v>
      </c>
      <c r="AB827">
        <v>1</v>
      </c>
      <c r="AC827" s="2">
        <v>10</v>
      </c>
      <c r="AD827">
        <v>2</v>
      </c>
      <c r="AE827">
        <v>2</v>
      </c>
      <c r="AF827" s="2">
        <v>10</v>
      </c>
      <c r="AG827">
        <v>7</v>
      </c>
      <c r="AH827">
        <v>1</v>
      </c>
      <c r="AI827">
        <v>2</v>
      </c>
      <c r="AJ827" s="2" t="str">
        <f>IF(A827 A827 &lt;= 25, "18-25", IF(A827 &lt;=35, "26-35", IF(A827 &lt;=45, "36-45", IF(Table3[[#This Row],[Age]] &lt;=55, "46-55", "56+"))))</f>
        <v>26-35</v>
      </c>
      <c r="AK827" t="str">
        <f t="shared" si="12"/>
        <v>Medium</v>
      </c>
      <c r="AL827" s="2" t="str">
        <f>IF(AF827 &lt; 3, "0-2 Years", IF(AF827 &lt;= 5, "3-5 Years", IF(AF827 &lt;= 10, "6-10 Years",IF(Table3[[#This Row],[Years At Company]]&lt;=20, "11-20 Years","20+ Years"))))</f>
        <v>6-10 Years</v>
      </c>
    </row>
    <row r="828" spans="1:38" x14ac:dyDescent="0.25">
      <c r="A828" s="2">
        <v>38</v>
      </c>
      <c r="B828" t="s">
        <v>43</v>
      </c>
      <c r="C828" t="s">
        <v>36</v>
      </c>
      <c r="D828" s="2">
        <v>433</v>
      </c>
      <c r="E828" t="s">
        <v>61</v>
      </c>
      <c r="F828" s="2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 s="2">
        <v>2844</v>
      </c>
      <c r="T828">
        <v>6004</v>
      </c>
      <c r="U828">
        <v>1</v>
      </c>
      <c r="V828" t="s">
        <v>42</v>
      </c>
      <c r="W828" t="s">
        <v>43</v>
      </c>
      <c r="X828" s="2">
        <v>13</v>
      </c>
      <c r="Y828">
        <v>3</v>
      </c>
      <c r="Z828">
        <v>4</v>
      </c>
      <c r="AA828">
        <v>80</v>
      </c>
      <c r="AB828">
        <v>1</v>
      </c>
      <c r="AC828" s="2">
        <v>7</v>
      </c>
      <c r="AD828">
        <v>2</v>
      </c>
      <c r="AE828">
        <v>4</v>
      </c>
      <c r="AF828" s="2">
        <v>7</v>
      </c>
      <c r="AG828">
        <v>6</v>
      </c>
      <c r="AH828">
        <v>5</v>
      </c>
      <c r="AI828">
        <v>0</v>
      </c>
      <c r="AJ828" s="2" t="str">
        <f>IF(A828 A828 &lt;= 25, "18-25", IF(A828 &lt;=35, "26-35", IF(A828 &lt;=45, "36-45", IF(Table3[[#This Row],[Age]] &lt;=55, "46-55", "56+"))))</f>
        <v>36-45</v>
      </c>
      <c r="AK828" t="str">
        <f t="shared" si="12"/>
        <v>Low</v>
      </c>
      <c r="AL828" s="2" t="str">
        <f>IF(AF828 &lt; 3, "0-2 Years", IF(AF828 &lt;= 5, "3-5 Years", IF(AF828 &lt;= 10, "6-10 Years",IF(Table3[[#This Row],[Years At Company]]&lt;=20, "11-20 Years","20+ Years"))))</f>
        <v>6-10 Years</v>
      </c>
    </row>
    <row r="829" spans="1:38" x14ac:dyDescent="0.25">
      <c r="A829" s="2">
        <v>28</v>
      </c>
      <c r="B829" t="s">
        <v>43</v>
      </c>
      <c r="C829" t="s">
        <v>44</v>
      </c>
      <c r="D829" s="2">
        <v>773</v>
      </c>
      <c r="E829" t="s">
        <v>45</v>
      </c>
      <c r="F829" s="2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 s="2">
        <v>2703</v>
      </c>
      <c r="T829">
        <v>22088</v>
      </c>
      <c r="U829">
        <v>1</v>
      </c>
      <c r="V829" t="s">
        <v>42</v>
      </c>
      <c r="W829" t="s">
        <v>35</v>
      </c>
      <c r="X829" s="2">
        <v>14</v>
      </c>
      <c r="Y829">
        <v>3</v>
      </c>
      <c r="Z829">
        <v>4</v>
      </c>
      <c r="AA829">
        <v>80</v>
      </c>
      <c r="AB829">
        <v>1</v>
      </c>
      <c r="AC829" s="2">
        <v>3</v>
      </c>
      <c r="AD829">
        <v>2</v>
      </c>
      <c r="AE829">
        <v>3</v>
      </c>
      <c r="AF829" s="2">
        <v>3</v>
      </c>
      <c r="AG829">
        <v>1</v>
      </c>
      <c r="AH829">
        <v>0</v>
      </c>
      <c r="AI829">
        <v>2</v>
      </c>
      <c r="AJ829" s="2" t="str">
        <f>IF(A829 A829 &lt;= 25, "18-25", IF(A829 &lt;=35, "26-35", IF(A829 &lt;=45, "36-45", IF(Table3[[#This Row],[Age]] &lt;=55, "46-55", "56+"))))</f>
        <v>26-35</v>
      </c>
      <c r="AK829" t="str">
        <f t="shared" si="12"/>
        <v>Low</v>
      </c>
      <c r="AL829" s="2" t="str">
        <f>IF(AF829 &lt; 3, "0-2 Years", IF(AF829 &lt;= 5, "3-5 Years", IF(AF829 &lt;= 10, "6-10 Years",IF(Table3[[#This Row],[Years At Company]]&lt;=20, "11-20 Years","20+ Years"))))</f>
        <v>3-5 Years</v>
      </c>
    </row>
    <row r="830" spans="1:38" x14ac:dyDescent="0.25">
      <c r="A830" s="2">
        <v>18</v>
      </c>
      <c r="B830" t="s">
        <v>35</v>
      </c>
      <c r="C830" t="s">
        <v>55</v>
      </c>
      <c r="D830" s="2">
        <v>247</v>
      </c>
      <c r="E830" t="s">
        <v>45</v>
      </c>
      <c r="F830" s="2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 s="2">
        <v>1904</v>
      </c>
      <c r="T830">
        <v>13556</v>
      </c>
      <c r="U830">
        <v>1</v>
      </c>
      <c r="V830" t="s">
        <v>42</v>
      </c>
      <c r="W830" t="s">
        <v>43</v>
      </c>
      <c r="X830" s="2">
        <v>12</v>
      </c>
      <c r="Y830">
        <v>3</v>
      </c>
      <c r="Z830">
        <v>4</v>
      </c>
      <c r="AA830">
        <v>80</v>
      </c>
      <c r="AB830">
        <v>0</v>
      </c>
      <c r="AC830" s="2">
        <v>0</v>
      </c>
      <c r="AD830">
        <v>0</v>
      </c>
      <c r="AE830">
        <v>3</v>
      </c>
      <c r="AF830" s="2">
        <v>0</v>
      </c>
      <c r="AG830">
        <v>0</v>
      </c>
      <c r="AH830">
        <v>0</v>
      </c>
      <c r="AI830">
        <v>0</v>
      </c>
      <c r="AJ830" s="2" t="str">
        <f>IF(A830 A830 &lt;= 25, "18-25", IF(A830 &lt;=35, "26-35", IF(A830 &lt;=45, "36-45", IF(Table3[[#This Row],[Age]] &lt;=55, "46-55", "56+"))))</f>
        <v>18-25</v>
      </c>
      <c r="AK830" t="str">
        <f t="shared" si="12"/>
        <v>Low</v>
      </c>
      <c r="AL830" s="2" t="str">
        <f>IF(AF830 &lt; 3, "0-2 Years", IF(AF830 &lt;= 5, "3-5 Years", IF(AF830 &lt;= 10, "6-10 Years",IF(Table3[[#This Row],[Years At Company]]&lt;=20, "11-20 Years","20+ Years"))))</f>
        <v>0-2 Years</v>
      </c>
    </row>
    <row r="831" spans="1:38" x14ac:dyDescent="0.25">
      <c r="A831" s="2">
        <v>33</v>
      </c>
      <c r="B831" t="s">
        <v>35</v>
      </c>
      <c r="C831" t="s">
        <v>36</v>
      </c>
      <c r="D831" s="2">
        <v>603</v>
      </c>
      <c r="E831" t="s">
        <v>37</v>
      </c>
      <c r="F831" s="2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 s="2">
        <v>8224</v>
      </c>
      <c r="T831">
        <v>18385</v>
      </c>
      <c r="U831">
        <v>0</v>
      </c>
      <c r="V831" t="s">
        <v>42</v>
      </c>
      <c r="W831" t="s">
        <v>35</v>
      </c>
      <c r="X831" s="2">
        <v>17</v>
      </c>
      <c r="Y831">
        <v>3</v>
      </c>
      <c r="Z831">
        <v>1</v>
      </c>
      <c r="AA831">
        <v>80</v>
      </c>
      <c r="AB831">
        <v>0</v>
      </c>
      <c r="AC831" s="2">
        <v>6</v>
      </c>
      <c r="AD831">
        <v>3</v>
      </c>
      <c r="AE831">
        <v>3</v>
      </c>
      <c r="AF831" s="2">
        <v>5</v>
      </c>
      <c r="AG831">
        <v>2</v>
      </c>
      <c r="AH831">
        <v>0</v>
      </c>
      <c r="AI831">
        <v>3</v>
      </c>
      <c r="AJ831" s="2" t="str">
        <f>IF(A831 A831 &lt;= 25, "18-25", IF(A831 &lt;=35, "26-35", IF(A831 &lt;=45, "36-45", IF(Table3[[#This Row],[Age]] &lt;=55, "46-55", "56+"))))</f>
        <v>26-35</v>
      </c>
      <c r="AK831" t="str">
        <f t="shared" si="12"/>
        <v>Medium</v>
      </c>
      <c r="AL831" s="2" t="str">
        <f>IF(AF831 &lt; 3, "0-2 Years", IF(AF831 &lt;= 5, "3-5 Years", IF(AF831 &lt;= 10, "6-10 Years",IF(Table3[[#This Row],[Years At Company]]&lt;=20, "11-20 Years","20+ Years"))))</f>
        <v>3-5 Years</v>
      </c>
    </row>
    <row r="832" spans="1:38" x14ac:dyDescent="0.25">
      <c r="A832" s="2">
        <v>41</v>
      </c>
      <c r="B832" t="s">
        <v>43</v>
      </c>
      <c r="C832" t="s">
        <v>36</v>
      </c>
      <c r="D832" s="2">
        <v>167</v>
      </c>
      <c r="E832" t="s">
        <v>45</v>
      </c>
      <c r="F832" s="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 s="2">
        <v>4766</v>
      </c>
      <c r="T832">
        <v>9051</v>
      </c>
      <c r="U832">
        <v>3</v>
      </c>
      <c r="V832" t="s">
        <v>42</v>
      </c>
      <c r="W832" t="s">
        <v>35</v>
      </c>
      <c r="X832" s="2">
        <v>11</v>
      </c>
      <c r="Y832">
        <v>3</v>
      </c>
      <c r="Z832">
        <v>1</v>
      </c>
      <c r="AA832">
        <v>80</v>
      </c>
      <c r="AB832">
        <v>1</v>
      </c>
      <c r="AC832" s="2">
        <v>6</v>
      </c>
      <c r="AD832">
        <v>4</v>
      </c>
      <c r="AE832">
        <v>3</v>
      </c>
      <c r="AF832" s="2">
        <v>1</v>
      </c>
      <c r="AG832">
        <v>0</v>
      </c>
      <c r="AH832">
        <v>0</v>
      </c>
      <c r="AI832">
        <v>0</v>
      </c>
      <c r="AJ832" s="2" t="str">
        <f>IF(A832 A832 &lt;= 25, "18-25", IF(A832 &lt;=35, "26-35", IF(A832 &lt;=45, "36-45", IF(Table3[[#This Row],[Age]] &lt;=55, "46-55", "56+"))))</f>
        <v>36-45</v>
      </c>
      <c r="AK832" t="str">
        <f t="shared" si="12"/>
        <v>Low</v>
      </c>
      <c r="AL832" s="2" t="str">
        <f>IF(AF832 &lt; 3, "0-2 Years", IF(AF832 &lt;= 5, "3-5 Years", IF(AF832 &lt;= 10, "6-10 Years",IF(Table3[[#This Row],[Years At Company]]&lt;=20, "11-20 Years","20+ Years"))))</f>
        <v>0-2 Years</v>
      </c>
    </row>
    <row r="833" spans="1:38" x14ac:dyDescent="0.25">
      <c r="A833" s="2">
        <v>31</v>
      </c>
      <c r="B833" t="s">
        <v>35</v>
      </c>
      <c r="C833" t="s">
        <v>44</v>
      </c>
      <c r="D833" s="2">
        <v>874</v>
      </c>
      <c r="E833" t="s">
        <v>45</v>
      </c>
      <c r="F833" s="2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 s="2">
        <v>2610</v>
      </c>
      <c r="T833">
        <v>6233</v>
      </c>
      <c r="U833">
        <v>1</v>
      </c>
      <c r="V833" t="s">
        <v>42</v>
      </c>
      <c r="W833" t="s">
        <v>43</v>
      </c>
      <c r="X833" s="2">
        <v>12</v>
      </c>
      <c r="Y833">
        <v>3</v>
      </c>
      <c r="Z833">
        <v>3</v>
      </c>
      <c r="AA833">
        <v>80</v>
      </c>
      <c r="AB833">
        <v>1</v>
      </c>
      <c r="AC833" s="2">
        <v>2</v>
      </c>
      <c r="AD833">
        <v>5</v>
      </c>
      <c r="AE833">
        <v>2</v>
      </c>
      <c r="AF833" s="2">
        <v>2</v>
      </c>
      <c r="AG833">
        <v>2</v>
      </c>
      <c r="AH833">
        <v>2</v>
      </c>
      <c r="AI833">
        <v>2</v>
      </c>
      <c r="AJ833" s="2" t="str">
        <f>IF(A833 A833 &lt;= 25, "18-25", IF(A833 &lt;=35, "26-35", IF(A833 &lt;=45, "36-45", IF(Table3[[#This Row],[Age]] &lt;=55, "46-55", "56+"))))</f>
        <v>26-35</v>
      </c>
      <c r="AK833" t="str">
        <f t="shared" si="12"/>
        <v>Low</v>
      </c>
      <c r="AL833" s="2" t="str">
        <f>IF(AF833 &lt; 3, "0-2 Years", IF(AF833 &lt;= 5, "3-5 Years", IF(AF833 &lt;= 10, "6-10 Years",IF(Table3[[#This Row],[Years At Company]]&lt;=20, "11-20 Years","20+ Years"))))</f>
        <v>0-2 Years</v>
      </c>
    </row>
    <row r="834" spans="1:38" x14ac:dyDescent="0.25">
      <c r="A834" s="2">
        <v>37</v>
      </c>
      <c r="B834" t="s">
        <v>43</v>
      </c>
      <c r="C834" t="s">
        <v>36</v>
      </c>
      <c r="D834" s="2">
        <v>367</v>
      </c>
      <c r="E834" t="s">
        <v>45</v>
      </c>
      <c r="F834" s="2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 s="2">
        <v>5731</v>
      </c>
      <c r="T834">
        <v>17171</v>
      </c>
      <c r="U834">
        <v>7</v>
      </c>
      <c r="V834" t="s">
        <v>42</v>
      </c>
      <c r="W834" t="s">
        <v>43</v>
      </c>
      <c r="X834" s="2">
        <v>13</v>
      </c>
      <c r="Y834">
        <v>3</v>
      </c>
      <c r="Z834">
        <v>3</v>
      </c>
      <c r="AA834">
        <v>80</v>
      </c>
      <c r="AB834">
        <v>2</v>
      </c>
      <c r="AC834" s="2">
        <v>9</v>
      </c>
      <c r="AD834">
        <v>2</v>
      </c>
      <c r="AE834">
        <v>3</v>
      </c>
      <c r="AF834" s="2">
        <v>6</v>
      </c>
      <c r="AG834">
        <v>2</v>
      </c>
      <c r="AH834">
        <v>1</v>
      </c>
      <c r="AI834">
        <v>3</v>
      </c>
      <c r="AJ834" s="2" t="str">
        <f>IF(A834 A834 &lt;= 25, "18-25", IF(A834 &lt;=35, "26-35", IF(A834 &lt;=45, "36-45", IF(Table3[[#This Row],[Age]] &lt;=55, "46-55", "56+"))))</f>
        <v>36-45</v>
      </c>
      <c r="AK834" t="str">
        <f t="shared" ref="AK834:AK897" si="13">IF(S834 &lt; 5000, "Low",IF(S834 &lt;=9999, "Medium", "High"))</f>
        <v>Medium</v>
      </c>
      <c r="AL834" s="2" t="str">
        <f>IF(AF834 &lt; 3, "0-2 Years", IF(AF834 &lt;= 5, "3-5 Years", IF(AF834 &lt;= 10, "6-10 Years",IF(Table3[[#This Row],[Years At Company]]&lt;=20, "11-20 Years","20+ Years"))))</f>
        <v>6-10 Years</v>
      </c>
    </row>
    <row r="835" spans="1:38" x14ac:dyDescent="0.25">
      <c r="A835" s="2">
        <v>27</v>
      </c>
      <c r="B835" t="s">
        <v>43</v>
      </c>
      <c r="C835" t="s">
        <v>36</v>
      </c>
      <c r="D835" s="2">
        <v>199</v>
      </c>
      <c r="E835" t="s">
        <v>45</v>
      </c>
      <c r="F835" s="2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 s="2">
        <v>2539</v>
      </c>
      <c r="T835">
        <v>7950</v>
      </c>
      <c r="U835">
        <v>1</v>
      </c>
      <c r="V835" t="s">
        <v>42</v>
      </c>
      <c r="W835" t="s">
        <v>43</v>
      </c>
      <c r="X835" s="2">
        <v>13</v>
      </c>
      <c r="Y835">
        <v>3</v>
      </c>
      <c r="Z835">
        <v>3</v>
      </c>
      <c r="AA835">
        <v>80</v>
      </c>
      <c r="AB835">
        <v>1</v>
      </c>
      <c r="AC835" s="2">
        <v>4</v>
      </c>
      <c r="AD835">
        <v>0</v>
      </c>
      <c r="AE835">
        <v>3</v>
      </c>
      <c r="AF835" s="2">
        <v>4</v>
      </c>
      <c r="AG835">
        <v>2</v>
      </c>
      <c r="AH835">
        <v>2</v>
      </c>
      <c r="AI835">
        <v>2</v>
      </c>
      <c r="AJ835" s="2" t="str">
        <f>IF(A835 A835 &lt;= 25, "18-25", IF(A835 &lt;=35, "26-35", IF(A835 &lt;=45, "36-45", IF(Table3[[#This Row],[Age]] &lt;=55, "46-55", "56+"))))</f>
        <v>26-35</v>
      </c>
      <c r="AK835" t="str">
        <f t="shared" si="13"/>
        <v>Low</v>
      </c>
      <c r="AL835" s="2" t="str">
        <f>IF(AF835 &lt; 3, "0-2 Years", IF(AF835 &lt;= 5, "3-5 Years", IF(AF835 &lt;= 10, "6-10 Years",IF(Table3[[#This Row],[Years At Company]]&lt;=20, "11-20 Years","20+ Years"))))</f>
        <v>3-5 Years</v>
      </c>
    </row>
    <row r="836" spans="1:38" x14ac:dyDescent="0.25">
      <c r="A836" s="2">
        <v>34</v>
      </c>
      <c r="B836" t="s">
        <v>43</v>
      </c>
      <c r="C836" t="s">
        <v>36</v>
      </c>
      <c r="D836" s="2">
        <v>1400</v>
      </c>
      <c r="E836" t="s">
        <v>37</v>
      </c>
      <c r="F836" s="2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 s="2">
        <v>5714</v>
      </c>
      <c r="T836">
        <v>5829</v>
      </c>
      <c r="U836">
        <v>1</v>
      </c>
      <c r="V836" t="s">
        <v>42</v>
      </c>
      <c r="W836" t="s">
        <v>43</v>
      </c>
      <c r="X836" s="2">
        <v>20</v>
      </c>
      <c r="Y836">
        <v>4</v>
      </c>
      <c r="Z836">
        <v>1</v>
      </c>
      <c r="AA836">
        <v>80</v>
      </c>
      <c r="AB836">
        <v>0</v>
      </c>
      <c r="AC836" s="2">
        <v>6</v>
      </c>
      <c r="AD836">
        <v>3</v>
      </c>
      <c r="AE836">
        <v>2</v>
      </c>
      <c r="AF836" s="2">
        <v>6</v>
      </c>
      <c r="AG836">
        <v>5</v>
      </c>
      <c r="AH836">
        <v>1</v>
      </c>
      <c r="AI836">
        <v>3</v>
      </c>
      <c r="AJ836" s="2" t="str">
        <f>IF(A836 A836 &lt;= 25, "18-25", IF(A836 &lt;=35, "26-35", IF(A836 &lt;=45, "36-45", IF(Table3[[#This Row],[Age]] &lt;=55, "46-55", "56+"))))</f>
        <v>26-35</v>
      </c>
      <c r="AK836" t="str">
        <f t="shared" si="13"/>
        <v>Medium</v>
      </c>
      <c r="AL836" s="2" t="str">
        <f>IF(AF836 &lt; 3, "0-2 Years", IF(AF836 &lt;= 5, "3-5 Years", IF(AF836 &lt;= 10, "6-10 Years",IF(Table3[[#This Row],[Years At Company]]&lt;=20, "11-20 Years","20+ Years"))))</f>
        <v>6-10 Years</v>
      </c>
    </row>
    <row r="837" spans="1:38" x14ac:dyDescent="0.25">
      <c r="A837" s="2">
        <v>35</v>
      </c>
      <c r="B837" t="s">
        <v>43</v>
      </c>
      <c r="C837" t="s">
        <v>36</v>
      </c>
      <c r="D837" s="2">
        <v>528</v>
      </c>
      <c r="E837" t="s">
        <v>61</v>
      </c>
      <c r="F837" s="2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 s="2">
        <v>4323</v>
      </c>
      <c r="T837">
        <v>7108</v>
      </c>
      <c r="U837">
        <v>1</v>
      </c>
      <c r="V837" t="s">
        <v>42</v>
      </c>
      <c r="W837" t="s">
        <v>43</v>
      </c>
      <c r="X837" s="2">
        <v>17</v>
      </c>
      <c r="Y837">
        <v>3</v>
      </c>
      <c r="Z837">
        <v>2</v>
      </c>
      <c r="AA837">
        <v>80</v>
      </c>
      <c r="AB837">
        <v>0</v>
      </c>
      <c r="AC837" s="2">
        <v>6</v>
      </c>
      <c r="AD837">
        <v>2</v>
      </c>
      <c r="AE837">
        <v>1</v>
      </c>
      <c r="AF837" s="2">
        <v>5</v>
      </c>
      <c r="AG837">
        <v>4</v>
      </c>
      <c r="AH837">
        <v>1</v>
      </c>
      <c r="AI837">
        <v>4</v>
      </c>
      <c r="AJ837" s="2" t="str">
        <f>IF(A837 A837 &lt;= 25, "18-25", IF(A837 &lt;=35, "26-35", IF(A837 &lt;=45, "36-45", IF(Table3[[#This Row],[Age]] &lt;=55, "46-55", "56+"))))</f>
        <v>26-35</v>
      </c>
      <c r="AK837" t="str">
        <f t="shared" si="13"/>
        <v>Low</v>
      </c>
      <c r="AL837" s="2" t="str">
        <f>IF(AF837 &lt; 3, "0-2 Years", IF(AF837 &lt;= 5, "3-5 Years", IF(AF837 &lt;= 10, "6-10 Years",IF(Table3[[#This Row],[Years At Company]]&lt;=20, "11-20 Years","20+ Years"))))</f>
        <v>3-5 Years</v>
      </c>
    </row>
    <row r="838" spans="1:38" x14ac:dyDescent="0.25">
      <c r="A838" s="2">
        <v>29</v>
      </c>
      <c r="B838" t="s">
        <v>35</v>
      </c>
      <c r="C838" t="s">
        <v>36</v>
      </c>
      <c r="D838" s="2">
        <v>408</v>
      </c>
      <c r="E838" t="s">
        <v>37</v>
      </c>
      <c r="F838" s="2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 s="2">
        <v>7336</v>
      </c>
      <c r="T838">
        <v>11162</v>
      </c>
      <c r="U838">
        <v>1</v>
      </c>
      <c r="V838" t="s">
        <v>42</v>
      </c>
      <c r="W838" t="s">
        <v>43</v>
      </c>
      <c r="X838" s="2">
        <v>13</v>
      </c>
      <c r="Y838">
        <v>3</v>
      </c>
      <c r="Z838">
        <v>1</v>
      </c>
      <c r="AA838">
        <v>80</v>
      </c>
      <c r="AB838">
        <v>1</v>
      </c>
      <c r="AC838" s="2">
        <v>11</v>
      </c>
      <c r="AD838">
        <v>3</v>
      </c>
      <c r="AE838">
        <v>1</v>
      </c>
      <c r="AF838" s="2">
        <v>11</v>
      </c>
      <c r="AG838">
        <v>8</v>
      </c>
      <c r="AH838">
        <v>3</v>
      </c>
      <c r="AI838">
        <v>10</v>
      </c>
      <c r="AJ838" s="2" t="str">
        <f>IF(A838 A838 &lt;= 25, "18-25", IF(A838 &lt;=35, "26-35", IF(A838 &lt;=45, "36-45", IF(Table3[[#This Row],[Age]] &lt;=55, "46-55", "56+"))))</f>
        <v>26-35</v>
      </c>
      <c r="AK838" t="str">
        <f t="shared" si="13"/>
        <v>Medium</v>
      </c>
      <c r="AL838" s="2" t="str">
        <f>IF(AF838 &lt; 3, "0-2 Years", IF(AF838 &lt;= 5, "3-5 Years", IF(AF838 &lt;= 10, "6-10 Years",IF(Table3[[#This Row],[Years At Company]]&lt;=20, "11-20 Years","20+ Years"))))</f>
        <v>11-20 Years</v>
      </c>
    </row>
    <row r="839" spans="1:38" x14ac:dyDescent="0.25">
      <c r="A839" s="2">
        <v>40</v>
      </c>
      <c r="B839" t="s">
        <v>43</v>
      </c>
      <c r="C839" t="s">
        <v>44</v>
      </c>
      <c r="D839" s="2">
        <v>593</v>
      </c>
      <c r="E839" t="s">
        <v>45</v>
      </c>
      <c r="F839" s="2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 s="2">
        <v>13499</v>
      </c>
      <c r="T839">
        <v>13782</v>
      </c>
      <c r="U839">
        <v>9</v>
      </c>
      <c r="V839" t="s">
        <v>42</v>
      </c>
      <c r="W839" t="s">
        <v>43</v>
      </c>
      <c r="X839" s="2">
        <v>17</v>
      </c>
      <c r="Y839">
        <v>3</v>
      </c>
      <c r="Z839">
        <v>3</v>
      </c>
      <c r="AA839">
        <v>80</v>
      </c>
      <c r="AB839">
        <v>0</v>
      </c>
      <c r="AC839" s="2">
        <v>20</v>
      </c>
      <c r="AD839">
        <v>3</v>
      </c>
      <c r="AE839">
        <v>2</v>
      </c>
      <c r="AF839" s="2">
        <v>18</v>
      </c>
      <c r="AG839">
        <v>7</v>
      </c>
      <c r="AH839">
        <v>2</v>
      </c>
      <c r="AI839">
        <v>13</v>
      </c>
      <c r="AJ839" s="2" t="str">
        <f>IF(A839 A839 &lt;= 25, "18-25", IF(A839 &lt;=35, "26-35", IF(A839 &lt;=45, "36-45", IF(Table3[[#This Row],[Age]] &lt;=55, "46-55", "56+"))))</f>
        <v>36-45</v>
      </c>
      <c r="AK839" t="str">
        <f t="shared" si="13"/>
        <v>High</v>
      </c>
      <c r="AL839" s="2" t="str">
        <f>IF(AF839 &lt; 3, "0-2 Years", IF(AF839 &lt;= 5, "3-5 Years", IF(AF839 &lt;= 10, "6-10 Years",IF(Table3[[#This Row],[Years At Company]]&lt;=20, "11-20 Years","20+ Years"))))</f>
        <v>11-20 Years</v>
      </c>
    </row>
    <row r="840" spans="1:38" x14ac:dyDescent="0.25">
      <c r="A840" s="2">
        <v>42</v>
      </c>
      <c r="B840" t="s">
        <v>35</v>
      </c>
      <c r="C840" t="s">
        <v>44</v>
      </c>
      <c r="D840" s="2">
        <v>481</v>
      </c>
      <c r="E840" t="s">
        <v>37</v>
      </c>
      <c r="F840" s="2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 s="2">
        <v>13758</v>
      </c>
      <c r="T840">
        <v>2447</v>
      </c>
      <c r="U840">
        <v>0</v>
      </c>
      <c r="V840" t="s">
        <v>42</v>
      </c>
      <c r="W840" t="s">
        <v>35</v>
      </c>
      <c r="X840" s="2">
        <v>12</v>
      </c>
      <c r="Y840">
        <v>3</v>
      </c>
      <c r="Z840">
        <v>2</v>
      </c>
      <c r="AA840">
        <v>80</v>
      </c>
      <c r="AB840">
        <v>0</v>
      </c>
      <c r="AC840" s="2">
        <v>22</v>
      </c>
      <c r="AD840">
        <v>2</v>
      </c>
      <c r="AE840">
        <v>2</v>
      </c>
      <c r="AF840" s="2">
        <v>21</v>
      </c>
      <c r="AG840">
        <v>9</v>
      </c>
      <c r="AH840">
        <v>13</v>
      </c>
      <c r="AI840">
        <v>14</v>
      </c>
      <c r="AJ840" s="2" t="str">
        <f>IF(A840 A840 &lt;= 25, "18-25", IF(A840 &lt;=35, "26-35", IF(A840 &lt;=45, "36-45", IF(Table3[[#This Row],[Age]] &lt;=55, "46-55", "56+"))))</f>
        <v>36-45</v>
      </c>
      <c r="AK840" t="str">
        <f t="shared" si="13"/>
        <v>High</v>
      </c>
      <c r="AL840" s="2" t="str">
        <f>IF(AF840 &lt; 3, "0-2 Years", IF(AF840 &lt;= 5, "3-5 Years", IF(AF840 &lt;= 10, "6-10 Years",IF(Table3[[#This Row],[Years At Company]]&lt;=20, "11-20 Years","20+ Years"))))</f>
        <v>20+ Years</v>
      </c>
    </row>
    <row r="841" spans="1:38" x14ac:dyDescent="0.25">
      <c r="A841" s="2">
        <v>42</v>
      </c>
      <c r="B841" t="s">
        <v>43</v>
      </c>
      <c r="C841" t="s">
        <v>36</v>
      </c>
      <c r="D841" s="2">
        <v>647</v>
      </c>
      <c r="E841" t="s">
        <v>37</v>
      </c>
      <c r="F841" s="2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 s="2">
        <v>5155</v>
      </c>
      <c r="T841">
        <v>2253</v>
      </c>
      <c r="U841">
        <v>7</v>
      </c>
      <c r="V841" t="s">
        <v>42</v>
      </c>
      <c r="W841" t="s">
        <v>43</v>
      </c>
      <c r="X841" s="2">
        <v>13</v>
      </c>
      <c r="Y841">
        <v>3</v>
      </c>
      <c r="Z841">
        <v>4</v>
      </c>
      <c r="AA841">
        <v>80</v>
      </c>
      <c r="AB841">
        <v>0</v>
      </c>
      <c r="AC841" s="2">
        <v>9</v>
      </c>
      <c r="AD841">
        <v>3</v>
      </c>
      <c r="AE841">
        <v>4</v>
      </c>
      <c r="AF841" s="2">
        <v>6</v>
      </c>
      <c r="AG841">
        <v>4</v>
      </c>
      <c r="AH841">
        <v>1</v>
      </c>
      <c r="AI841">
        <v>5</v>
      </c>
      <c r="AJ841" s="2" t="str">
        <f>IF(A841 A841 &lt;= 25, "18-25", IF(A841 &lt;=35, "26-35", IF(A841 &lt;=45, "36-45", IF(Table3[[#This Row],[Age]] &lt;=55, "46-55", "56+"))))</f>
        <v>36-45</v>
      </c>
      <c r="AK841" t="str">
        <f t="shared" si="13"/>
        <v>Medium</v>
      </c>
      <c r="AL841" s="2" t="str">
        <f>IF(AF841 &lt; 3, "0-2 Years", IF(AF841 &lt;= 5, "3-5 Years", IF(AF841 &lt;= 10, "6-10 Years",IF(Table3[[#This Row],[Years At Company]]&lt;=20, "11-20 Years","20+ Years"))))</f>
        <v>6-10 Years</v>
      </c>
    </row>
    <row r="842" spans="1:38" x14ac:dyDescent="0.25">
      <c r="A842" s="2">
        <v>35</v>
      </c>
      <c r="B842" t="s">
        <v>43</v>
      </c>
      <c r="C842" t="s">
        <v>36</v>
      </c>
      <c r="D842" s="2">
        <v>982</v>
      </c>
      <c r="E842" t="s">
        <v>45</v>
      </c>
      <c r="F842" s="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 s="2">
        <v>2258</v>
      </c>
      <c r="T842">
        <v>16340</v>
      </c>
      <c r="U842">
        <v>6</v>
      </c>
      <c r="V842" t="s">
        <v>42</v>
      </c>
      <c r="W842" t="s">
        <v>43</v>
      </c>
      <c r="X842" s="2">
        <v>12</v>
      </c>
      <c r="Y842">
        <v>3</v>
      </c>
      <c r="Z842">
        <v>2</v>
      </c>
      <c r="AA842">
        <v>80</v>
      </c>
      <c r="AB842">
        <v>1</v>
      </c>
      <c r="AC842" s="2">
        <v>10</v>
      </c>
      <c r="AD842">
        <v>2</v>
      </c>
      <c r="AE842">
        <v>3</v>
      </c>
      <c r="AF842" s="2">
        <v>8</v>
      </c>
      <c r="AG842">
        <v>0</v>
      </c>
      <c r="AH842">
        <v>1</v>
      </c>
      <c r="AI842">
        <v>7</v>
      </c>
      <c r="AJ842" s="2" t="str">
        <f>IF(A842 A842 &lt;= 25, "18-25", IF(A842 &lt;=35, "26-35", IF(A842 &lt;=45, "36-45", IF(Table3[[#This Row],[Age]] &lt;=55, "46-55", "56+"))))</f>
        <v>26-35</v>
      </c>
      <c r="AK842" t="str">
        <f t="shared" si="13"/>
        <v>Low</v>
      </c>
      <c r="AL842" s="2" t="str">
        <f>IF(AF842 &lt; 3, "0-2 Years", IF(AF842 &lt;= 5, "3-5 Years", IF(AF842 &lt;= 10, "6-10 Years",IF(Table3[[#This Row],[Years At Company]]&lt;=20, "11-20 Years","20+ Years"))))</f>
        <v>6-10 Years</v>
      </c>
    </row>
    <row r="843" spans="1:38" x14ac:dyDescent="0.25">
      <c r="A843" s="2">
        <v>24</v>
      </c>
      <c r="B843" t="s">
        <v>43</v>
      </c>
      <c r="C843" t="s">
        <v>36</v>
      </c>
      <c r="D843" s="2">
        <v>477</v>
      </c>
      <c r="E843" t="s">
        <v>45</v>
      </c>
      <c r="F843" s="2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 s="2">
        <v>3597</v>
      </c>
      <c r="T843">
        <v>6409</v>
      </c>
      <c r="U843">
        <v>8</v>
      </c>
      <c r="V843" t="s">
        <v>42</v>
      </c>
      <c r="W843" t="s">
        <v>43</v>
      </c>
      <c r="X843" s="2">
        <v>22</v>
      </c>
      <c r="Y843">
        <v>4</v>
      </c>
      <c r="Z843">
        <v>4</v>
      </c>
      <c r="AA843">
        <v>80</v>
      </c>
      <c r="AB843">
        <v>0</v>
      </c>
      <c r="AC843" s="2">
        <v>6</v>
      </c>
      <c r="AD843">
        <v>2</v>
      </c>
      <c r="AE843">
        <v>3</v>
      </c>
      <c r="AF843" s="2">
        <v>4</v>
      </c>
      <c r="AG843">
        <v>3</v>
      </c>
      <c r="AH843">
        <v>1</v>
      </c>
      <c r="AI843">
        <v>2</v>
      </c>
      <c r="AJ843" s="2" t="str">
        <f>IF(A843 A843 &lt;= 25, "18-25", IF(A843 &lt;=35, "26-35", IF(A843 &lt;=45, "36-45", IF(Table3[[#This Row],[Age]] &lt;=55, "46-55", "56+"))))</f>
        <v>18-25</v>
      </c>
      <c r="AK843" t="str">
        <f t="shared" si="13"/>
        <v>Low</v>
      </c>
      <c r="AL843" s="2" t="str">
        <f>IF(AF843 &lt; 3, "0-2 Years", IF(AF843 &lt;= 5, "3-5 Years", IF(AF843 &lt;= 10, "6-10 Years",IF(Table3[[#This Row],[Years At Company]]&lt;=20, "11-20 Years","20+ Years"))))</f>
        <v>3-5 Years</v>
      </c>
    </row>
    <row r="844" spans="1:38" x14ac:dyDescent="0.25">
      <c r="A844" s="2">
        <v>28</v>
      </c>
      <c r="B844" t="s">
        <v>35</v>
      </c>
      <c r="C844" t="s">
        <v>36</v>
      </c>
      <c r="D844" s="2">
        <v>1485</v>
      </c>
      <c r="E844" t="s">
        <v>45</v>
      </c>
      <c r="F844" s="2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 s="2">
        <v>2515</v>
      </c>
      <c r="T844">
        <v>22955</v>
      </c>
      <c r="U844">
        <v>1</v>
      </c>
      <c r="V844" t="s">
        <v>42</v>
      </c>
      <c r="W844" t="s">
        <v>35</v>
      </c>
      <c r="X844" s="2">
        <v>11</v>
      </c>
      <c r="Y844">
        <v>3</v>
      </c>
      <c r="Z844">
        <v>4</v>
      </c>
      <c r="AA844">
        <v>80</v>
      </c>
      <c r="AB844">
        <v>0</v>
      </c>
      <c r="AC844" s="2">
        <v>1</v>
      </c>
      <c r="AD844">
        <v>4</v>
      </c>
      <c r="AE844">
        <v>2</v>
      </c>
      <c r="AF844" s="2">
        <v>1</v>
      </c>
      <c r="AG844">
        <v>1</v>
      </c>
      <c r="AH844">
        <v>0</v>
      </c>
      <c r="AI844">
        <v>0</v>
      </c>
      <c r="AJ844" s="2" t="str">
        <f>IF(A844 A844 &lt;= 25, "18-25", IF(A844 &lt;=35, "26-35", IF(A844 &lt;=45, "36-45", IF(Table3[[#This Row],[Age]] &lt;=55, "46-55", "56+"))))</f>
        <v>26-35</v>
      </c>
      <c r="AK844" t="str">
        <f t="shared" si="13"/>
        <v>Low</v>
      </c>
      <c r="AL844" s="2" t="str">
        <f>IF(AF844 &lt; 3, "0-2 Years", IF(AF844 &lt;= 5, "3-5 Years", IF(AF844 &lt;= 10, "6-10 Years",IF(Table3[[#This Row],[Years At Company]]&lt;=20, "11-20 Years","20+ Years"))))</f>
        <v>0-2 Years</v>
      </c>
    </row>
    <row r="845" spans="1:38" x14ac:dyDescent="0.25">
      <c r="A845" s="2">
        <v>26</v>
      </c>
      <c r="B845" t="s">
        <v>43</v>
      </c>
      <c r="C845" t="s">
        <v>36</v>
      </c>
      <c r="D845" s="2">
        <v>1384</v>
      </c>
      <c r="E845" t="s">
        <v>45</v>
      </c>
      <c r="F845" s="2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 s="2">
        <v>4420</v>
      </c>
      <c r="T845">
        <v>13421</v>
      </c>
      <c r="U845">
        <v>1</v>
      </c>
      <c r="V845" t="s">
        <v>42</v>
      </c>
      <c r="W845" t="s">
        <v>43</v>
      </c>
      <c r="X845" s="2">
        <v>22</v>
      </c>
      <c r="Y845">
        <v>4</v>
      </c>
      <c r="Z845">
        <v>2</v>
      </c>
      <c r="AA845">
        <v>80</v>
      </c>
      <c r="AB845">
        <v>1</v>
      </c>
      <c r="AC845" s="2">
        <v>8</v>
      </c>
      <c r="AD845">
        <v>2</v>
      </c>
      <c r="AE845">
        <v>3</v>
      </c>
      <c r="AF845" s="2">
        <v>8</v>
      </c>
      <c r="AG845">
        <v>7</v>
      </c>
      <c r="AH845">
        <v>0</v>
      </c>
      <c r="AI845">
        <v>7</v>
      </c>
      <c r="AJ845" s="2" t="str">
        <f>IF(A845 A845 &lt;= 25, "18-25", IF(A845 &lt;=35, "26-35", IF(A845 &lt;=45, "36-45", IF(Table3[[#This Row],[Age]] &lt;=55, "46-55", "56+"))))</f>
        <v>26-35</v>
      </c>
      <c r="AK845" t="str">
        <f t="shared" si="13"/>
        <v>Low</v>
      </c>
      <c r="AL845" s="2" t="str">
        <f>IF(AF845 &lt; 3, "0-2 Years", IF(AF845 &lt;= 5, "3-5 Years", IF(AF845 &lt;= 10, "6-10 Years",IF(Table3[[#This Row],[Years At Company]]&lt;=20, "11-20 Years","20+ Years"))))</f>
        <v>6-10 Years</v>
      </c>
    </row>
    <row r="846" spans="1:38" x14ac:dyDescent="0.25">
      <c r="A846" s="2">
        <v>30</v>
      </c>
      <c r="B846" t="s">
        <v>43</v>
      </c>
      <c r="C846" t="s">
        <v>36</v>
      </c>
      <c r="D846" s="2">
        <v>852</v>
      </c>
      <c r="E846" t="s">
        <v>37</v>
      </c>
      <c r="F846" s="2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 s="2">
        <v>6578</v>
      </c>
      <c r="T846">
        <v>2706</v>
      </c>
      <c r="U846">
        <v>1</v>
      </c>
      <c r="V846" t="s">
        <v>42</v>
      </c>
      <c r="W846" t="s">
        <v>43</v>
      </c>
      <c r="X846" s="2">
        <v>18</v>
      </c>
      <c r="Y846">
        <v>3</v>
      </c>
      <c r="Z846">
        <v>1</v>
      </c>
      <c r="AA846">
        <v>80</v>
      </c>
      <c r="AB846">
        <v>1</v>
      </c>
      <c r="AC846" s="2">
        <v>10</v>
      </c>
      <c r="AD846">
        <v>3</v>
      </c>
      <c r="AE846">
        <v>3</v>
      </c>
      <c r="AF846" s="2">
        <v>10</v>
      </c>
      <c r="AG846">
        <v>3</v>
      </c>
      <c r="AH846">
        <v>1</v>
      </c>
      <c r="AI846">
        <v>4</v>
      </c>
      <c r="AJ846" s="2" t="str">
        <f>IF(A846 A846 &lt;= 25, "18-25", IF(A846 &lt;=35, "26-35", IF(A846 &lt;=45, "36-45", IF(Table3[[#This Row],[Age]] &lt;=55, "46-55", "56+"))))</f>
        <v>26-35</v>
      </c>
      <c r="AK846" t="str">
        <f t="shared" si="13"/>
        <v>Medium</v>
      </c>
      <c r="AL846" s="2" t="str">
        <f>IF(AF846 &lt; 3, "0-2 Years", IF(AF846 &lt;= 5, "3-5 Years", IF(AF846 &lt;= 10, "6-10 Years",IF(Table3[[#This Row],[Years At Company]]&lt;=20, "11-20 Years","20+ Years"))))</f>
        <v>6-10 Years</v>
      </c>
    </row>
    <row r="847" spans="1:38" x14ac:dyDescent="0.25">
      <c r="A847" s="2">
        <v>40</v>
      </c>
      <c r="B847" t="s">
        <v>43</v>
      </c>
      <c r="C847" t="s">
        <v>44</v>
      </c>
      <c r="D847" s="2">
        <v>902</v>
      </c>
      <c r="E847" t="s">
        <v>45</v>
      </c>
      <c r="F847" s="2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 s="2">
        <v>4422</v>
      </c>
      <c r="T847">
        <v>21203</v>
      </c>
      <c r="U847">
        <v>3</v>
      </c>
      <c r="V847" t="s">
        <v>42</v>
      </c>
      <c r="W847" t="s">
        <v>35</v>
      </c>
      <c r="X847" s="2">
        <v>13</v>
      </c>
      <c r="Y847">
        <v>3</v>
      </c>
      <c r="Z847">
        <v>4</v>
      </c>
      <c r="AA847">
        <v>80</v>
      </c>
      <c r="AB847">
        <v>1</v>
      </c>
      <c r="AC847" s="2">
        <v>16</v>
      </c>
      <c r="AD847">
        <v>3</v>
      </c>
      <c r="AE847">
        <v>1</v>
      </c>
      <c r="AF847" s="2">
        <v>1</v>
      </c>
      <c r="AG847">
        <v>1</v>
      </c>
      <c r="AH847">
        <v>0</v>
      </c>
      <c r="AI847">
        <v>0</v>
      </c>
      <c r="AJ847" s="2" t="str">
        <f>IF(A847 A847 &lt;= 25, "18-25", IF(A847 &lt;=35, "26-35", IF(A847 &lt;=45, "36-45", IF(Table3[[#This Row],[Age]] &lt;=55, "46-55", "56+"))))</f>
        <v>36-45</v>
      </c>
      <c r="AK847" t="str">
        <f t="shared" si="13"/>
        <v>Low</v>
      </c>
      <c r="AL847" s="2" t="str">
        <f>IF(AF847 &lt; 3, "0-2 Years", IF(AF847 &lt;= 5, "3-5 Years", IF(AF847 &lt;= 10, "6-10 Years",IF(Table3[[#This Row],[Years At Company]]&lt;=20, "11-20 Years","20+ Years"))))</f>
        <v>0-2 Years</v>
      </c>
    </row>
    <row r="848" spans="1:38" x14ac:dyDescent="0.25">
      <c r="A848" s="2">
        <v>35</v>
      </c>
      <c r="B848" t="s">
        <v>43</v>
      </c>
      <c r="C848" t="s">
        <v>36</v>
      </c>
      <c r="D848" s="2">
        <v>819</v>
      </c>
      <c r="E848" t="s">
        <v>45</v>
      </c>
      <c r="F848" s="2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 s="2">
        <v>10274</v>
      </c>
      <c r="T848">
        <v>19588</v>
      </c>
      <c r="U848">
        <v>2</v>
      </c>
      <c r="V848" t="s">
        <v>42</v>
      </c>
      <c r="W848" t="s">
        <v>43</v>
      </c>
      <c r="X848" s="2">
        <v>18</v>
      </c>
      <c r="Y848">
        <v>3</v>
      </c>
      <c r="Z848">
        <v>2</v>
      </c>
      <c r="AA848">
        <v>80</v>
      </c>
      <c r="AB848">
        <v>1</v>
      </c>
      <c r="AC848" s="2">
        <v>15</v>
      </c>
      <c r="AD848">
        <v>2</v>
      </c>
      <c r="AE848">
        <v>4</v>
      </c>
      <c r="AF848" s="2">
        <v>7</v>
      </c>
      <c r="AG848">
        <v>7</v>
      </c>
      <c r="AH848">
        <v>6</v>
      </c>
      <c r="AI848">
        <v>4</v>
      </c>
      <c r="AJ848" s="2" t="str">
        <f>IF(A848 A848 &lt;= 25, "18-25", IF(A848 &lt;=35, "26-35", IF(A848 &lt;=45, "36-45", IF(Table3[[#This Row],[Age]] &lt;=55, "46-55", "56+"))))</f>
        <v>26-35</v>
      </c>
      <c r="AK848" t="str">
        <f t="shared" si="13"/>
        <v>High</v>
      </c>
      <c r="AL848" s="2" t="str">
        <f>IF(AF848 &lt; 3, "0-2 Years", IF(AF848 &lt;= 5, "3-5 Years", IF(AF848 &lt;= 10, "6-10 Years",IF(Table3[[#This Row],[Years At Company]]&lt;=20, "11-20 Years","20+ Years"))))</f>
        <v>6-10 Years</v>
      </c>
    </row>
    <row r="849" spans="1:38" x14ac:dyDescent="0.25">
      <c r="A849" s="2">
        <v>34</v>
      </c>
      <c r="B849" t="s">
        <v>43</v>
      </c>
      <c r="C849" t="s">
        <v>44</v>
      </c>
      <c r="D849" s="2">
        <v>669</v>
      </c>
      <c r="E849" t="s">
        <v>45</v>
      </c>
      <c r="F849" s="2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 s="2">
        <v>5343</v>
      </c>
      <c r="T849">
        <v>25755</v>
      </c>
      <c r="U849">
        <v>0</v>
      </c>
      <c r="V849" t="s">
        <v>42</v>
      </c>
      <c r="W849" t="s">
        <v>43</v>
      </c>
      <c r="X849" s="2">
        <v>20</v>
      </c>
      <c r="Y849">
        <v>4</v>
      </c>
      <c r="Z849">
        <v>3</v>
      </c>
      <c r="AA849">
        <v>80</v>
      </c>
      <c r="AB849">
        <v>0</v>
      </c>
      <c r="AC849" s="2">
        <v>14</v>
      </c>
      <c r="AD849">
        <v>3</v>
      </c>
      <c r="AE849">
        <v>3</v>
      </c>
      <c r="AF849" s="2">
        <v>13</v>
      </c>
      <c r="AG849">
        <v>9</v>
      </c>
      <c r="AH849">
        <v>4</v>
      </c>
      <c r="AI849">
        <v>9</v>
      </c>
      <c r="AJ849" s="2" t="str">
        <f>IF(A849 A849 &lt;= 25, "18-25", IF(A849 &lt;=35, "26-35", IF(A849 &lt;=45, "36-45", IF(Table3[[#This Row],[Age]] &lt;=55, "46-55", "56+"))))</f>
        <v>26-35</v>
      </c>
      <c r="AK849" t="str">
        <f t="shared" si="13"/>
        <v>Medium</v>
      </c>
      <c r="AL849" s="2" t="str">
        <f>IF(AF849 &lt; 3, "0-2 Years", IF(AF849 &lt;= 5, "3-5 Years", IF(AF849 &lt;= 10, "6-10 Years",IF(Table3[[#This Row],[Years At Company]]&lt;=20, "11-20 Years","20+ Years"))))</f>
        <v>11-20 Years</v>
      </c>
    </row>
    <row r="850" spans="1:38" x14ac:dyDescent="0.25">
      <c r="A850" s="2">
        <v>35</v>
      </c>
      <c r="B850" t="s">
        <v>43</v>
      </c>
      <c r="C850" t="s">
        <v>44</v>
      </c>
      <c r="D850" s="2">
        <v>636</v>
      </c>
      <c r="E850" t="s">
        <v>45</v>
      </c>
      <c r="F850" s="2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 s="2">
        <v>2376</v>
      </c>
      <c r="T850">
        <v>26537</v>
      </c>
      <c r="U850">
        <v>1</v>
      </c>
      <c r="V850" t="s">
        <v>42</v>
      </c>
      <c r="W850" t="s">
        <v>43</v>
      </c>
      <c r="X850" s="2">
        <v>13</v>
      </c>
      <c r="Y850">
        <v>3</v>
      </c>
      <c r="Z850">
        <v>2</v>
      </c>
      <c r="AA850">
        <v>80</v>
      </c>
      <c r="AB850">
        <v>1</v>
      </c>
      <c r="AC850" s="2">
        <v>2</v>
      </c>
      <c r="AD850">
        <v>2</v>
      </c>
      <c r="AE850">
        <v>4</v>
      </c>
      <c r="AF850" s="2">
        <v>2</v>
      </c>
      <c r="AG850">
        <v>2</v>
      </c>
      <c r="AH850">
        <v>2</v>
      </c>
      <c r="AI850">
        <v>2</v>
      </c>
      <c r="AJ850" s="2" t="str">
        <f>IF(A850 A850 &lt;= 25, "18-25", IF(A850 &lt;=35, "26-35", IF(A850 &lt;=45, "36-45", IF(Table3[[#This Row],[Age]] &lt;=55, "46-55", "56+"))))</f>
        <v>26-35</v>
      </c>
      <c r="AK850" t="str">
        <f t="shared" si="13"/>
        <v>Low</v>
      </c>
      <c r="AL850" s="2" t="str">
        <f>IF(AF850 &lt; 3, "0-2 Years", IF(AF850 &lt;= 5, "3-5 Years", IF(AF850 &lt;= 10, "6-10 Years",IF(Table3[[#This Row],[Years At Company]]&lt;=20, "11-20 Years","20+ Years"))))</f>
        <v>0-2 Years</v>
      </c>
    </row>
    <row r="851" spans="1:38" x14ac:dyDescent="0.25">
      <c r="A851" s="2">
        <v>43</v>
      </c>
      <c r="B851" t="s">
        <v>35</v>
      </c>
      <c r="C851" t="s">
        <v>36</v>
      </c>
      <c r="D851" s="2">
        <v>1372</v>
      </c>
      <c r="E851" t="s">
        <v>37</v>
      </c>
      <c r="F851" s="2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 s="2">
        <v>5346</v>
      </c>
      <c r="T851">
        <v>9489</v>
      </c>
      <c r="U851">
        <v>8</v>
      </c>
      <c r="V851" t="s">
        <v>42</v>
      </c>
      <c r="W851" t="s">
        <v>43</v>
      </c>
      <c r="X851" s="2">
        <v>13</v>
      </c>
      <c r="Y851">
        <v>3</v>
      </c>
      <c r="Z851">
        <v>2</v>
      </c>
      <c r="AA851">
        <v>80</v>
      </c>
      <c r="AB851">
        <v>0</v>
      </c>
      <c r="AC851" s="2">
        <v>7</v>
      </c>
      <c r="AD851">
        <v>2</v>
      </c>
      <c r="AE851">
        <v>2</v>
      </c>
      <c r="AF851" s="2">
        <v>4</v>
      </c>
      <c r="AG851">
        <v>3</v>
      </c>
      <c r="AH851">
        <v>1</v>
      </c>
      <c r="AI851">
        <v>3</v>
      </c>
      <c r="AJ851" s="2" t="str">
        <f>IF(A851 A851 &lt;= 25, "18-25", IF(A851 &lt;=35, "26-35", IF(A851 &lt;=45, "36-45", IF(Table3[[#This Row],[Age]] &lt;=55, "46-55", "56+"))))</f>
        <v>36-45</v>
      </c>
      <c r="AK851" t="str">
        <f t="shared" si="13"/>
        <v>Medium</v>
      </c>
      <c r="AL851" s="2" t="str">
        <f>IF(AF851 &lt; 3, "0-2 Years", IF(AF851 &lt;= 5, "3-5 Years", IF(AF851 &lt;= 10, "6-10 Years",IF(Table3[[#This Row],[Years At Company]]&lt;=20, "11-20 Years","20+ Years"))))</f>
        <v>3-5 Years</v>
      </c>
    </row>
    <row r="852" spans="1:38" x14ac:dyDescent="0.25">
      <c r="A852" s="2">
        <v>32</v>
      </c>
      <c r="B852" t="s">
        <v>43</v>
      </c>
      <c r="C852" t="s">
        <v>55</v>
      </c>
      <c r="D852" s="2">
        <v>862</v>
      </c>
      <c r="E852" t="s">
        <v>37</v>
      </c>
      <c r="F852" s="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 s="2">
        <v>2827</v>
      </c>
      <c r="T852">
        <v>14947</v>
      </c>
      <c r="U852">
        <v>1</v>
      </c>
      <c r="V852" t="s">
        <v>42</v>
      </c>
      <c r="W852" t="s">
        <v>43</v>
      </c>
      <c r="X852" s="2">
        <v>12</v>
      </c>
      <c r="Y852">
        <v>3</v>
      </c>
      <c r="Z852">
        <v>3</v>
      </c>
      <c r="AA852">
        <v>80</v>
      </c>
      <c r="AB852">
        <v>3</v>
      </c>
      <c r="AC852" s="2">
        <v>1</v>
      </c>
      <c r="AD852">
        <v>3</v>
      </c>
      <c r="AE852">
        <v>3</v>
      </c>
      <c r="AF852" s="2">
        <v>1</v>
      </c>
      <c r="AG852">
        <v>0</v>
      </c>
      <c r="AH852">
        <v>0</v>
      </c>
      <c r="AI852">
        <v>0</v>
      </c>
      <c r="AJ852" s="2" t="str">
        <f>IF(A852 A852 &lt;= 25, "18-25", IF(A852 &lt;=35, "26-35", IF(A852 &lt;=45, "36-45", IF(Table3[[#This Row],[Age]] &lt;=55, "46-55", "56+"))))</f>
        <v>26-35</v>
      </c>
      <c r="AK852" t="str">
        <f t="shared" si="13"/>
        <v>Low</v>
      </c>
      <c r="AL852" s="2" t="str">
        <f>IF(AF852 &lt; 3, "0-2 Years", IF(AF852 &lt;= 5, "3-5 Years", IF(AF852 &lt;= 10, "6-10 Years",IF(Table3[[#This Row],[Years At Company]]&lt;=20, "11-20 Years","20+ Years"))))</f>
        <v>0-2 Years</v>
      </c>
    </row>
    <row r="853" spans="1:38" x14ac:dyDescent="0.25">
      <c r="A853" s="2">
        <v>56</v>
      </c>
      <c r="B853" t="s">
        <v>43</v>
      </c>
      <c r="C853" t="s">
        <v>36</v>
      </c>
      <c r="D853" s="2">
        <v>718</v>
      </c>
      <c r="E853" t="s">
        <v>45</v>
      </c>
      <c r="F853" s="2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 s="2">
        <v>19943</v>
      </c>
      <c r="T853">
        <v>18575</v>
      </c>
      <c r="U853">
        <v>4</v>
      </c>
      <c r="V853" t="s">
        <v>42</v>
      </c>
      <c r="W853" t="s">
        <v>43</v>
      </c>
      <c r="X853" s="2">
        <v>13</v>
      </c>
      <c r="Y853">
        <v>3</v>
      </c>
      <c r="Z853">
        <v>4</v>
      </c>
      <c r="AA853">
        <v>80</v>
      </c>
      <c r="AB853">
        <v>1</v>
      </c>
      <c r="AC853" s="2">
        <v>28</v>
      </c>
      <c r="AD853">
        <v>2</v>
      </c>
      <c r="AE853">
        <v>3</v>
      </c>
      <c r="AF853" s="2">
        <v>5</v>
      </c>
      <c r="AG853">
        <v>2</v>
      </c>
      <c r="AH853">
        <v>4</v>
      </c>
      <c r="AI853">
        <v>2</v>
      </c>
      <c r="AJ853" s="2" t="str">
        <f>IF(A853 A853 &lt;= 25, "18-25", IF(A853 &lt;=35, "26-35", IF(A853 &lt;=45, "36-45", IF(Table3[[#This Row],[Age]] &lt;=55, "46-55", "56+"))))</f>
        <v>56+</v>
      </c>
      <c r="AK853" t="str">
        <f t="shared" si="13"/>
        <v>High</v>
      </c>
      <c r="AL853" s="2" t="str">
        <f>IF(AF853 &lt; 3, "0-2 Years", IF(AF853 &lt;= 5, "3-5 Years", IF(AF853 &lt;= 10, "6-10 Years",IF(Table3[[#This Row],[Years At Company]]&lt;=20, "11-20 Years","20+ Years"))))</f>
        <v>3-5 Years</v>
      </c>
    </row>
    <row r="854" spans="1:38" x14ac:dyDescent="0.25">
      <c r="A854" s="2">
        <v>29</v>
      </c>
      <c r="B854" t="s">
        <v>43</v>
      </c>
      <c r="C854" t="s">
        <v>36</v>
      </c>
      <c r="D854" s="2">
        <v>1401</v>
      </c>
      <c r="E854" t="s">
        <v>45</v>
      </c>
      <c r="F854" s="2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 s="2">
        <v>3131</v>
      </c>
      <c r="T854">
        <v>26342</v>
      </c>
      <c r="U854">
        <v>1</v>
      </c>
      <c r="V854" t="s">
        <v>42</v>
      </c>
      <c r="W854" t="s">
        <v>43</v>
      </c>
      <c r="X854" s="2">
        <v>13</v>
      </c>
      <c r="Y854">
        <v>3</v>
      </c>
      <c r="Z854">
        <v>1</v>
      </c>
      <c r="AA854">
        <v>80</v>
      </c>
      <c r="AB854">
        <v>1</v>
      </c>
      <c r="AC854" s="2">
        <v>10</v>
      </c>
      <c r="AD854">
        <v>5</v>
      </c>
      <c r="AE854">
        <v>3</v>
      </c>
      <c r="AF854" s="2">
        <v>10</v>
      </c>
      <c r="AG854">
        <v>8</v>
      </c>
      <c r="AH854">
        <v>0</v>
      </c>
      <c r="AI854">
        <v>8</v>
      </c>
      <c r="AJ854" s="2" t="str">
        <f>IF(A854 A854 &lt;= 25, "18-25", IF(A854 &lt;=35, "26-35", IF(A854 &lt;=45, "36-45", IF(Table3[[#This Row],[Age]] &lt;=55, "46-55", "56+"))))</f>
        <v>26-35</v>
      </c>
      <c r="AK854" t="str">
        <f t="shared" si="13"/>
        <v>Low</v>
      </c>
      <c r="AL854" s="2" t="str">
        <f>IF(AF854 &lt; 3, "0-2 Years", IF(AF854 &lt;= 5, "3-5 Years", IF(AF854 &lt;= 10, "6-10 Years",IF(Table3[[#This Row],[Years At Company]]&lt;=20, "11-20 Years","20+ Years"))))</f>
        <v>6-10 Years</v>
      </c>
    </row>
    <row r="855" spans="1:38" x14ac:dyDescent="0.25">
      <c r="A855" s="2">
        <v>19</v>
      </c>
      <c r="B855" t="s">
        <v>43</v>
      </c>
      <c r="C855" t="s">
        <v>36</v>
      </c>
      <c r="D855" s="2">
        <v>645</v>
      </c>
      <c r="E855" t="s">
        <v>45</v>
      </c>
      <c r="F855" s="2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 s="2">
        <v>2552</v>
      </c>
      <c r="T855">
        <v>7172</v>
      </c>
      <c r="U855">
        <v>1</v>
      </c>
      <c r="V855" t="s">
        <v>42</v>
      </c>
      <c r="W855" t="s">
        <v>43</v>
      </c>
      <c r="X855" s="2">
        <v>25</v>
      </c>
      <c r="Y855">
        <v>4</v>
      </c>
      <c r="Z855">
        <v>3</v>
      </c>
      <c r="AA855">
        <v>80</v>
      </c>
      <c r="AB855">
        <v>0</v>
      </c>
      <c r="AC855" s="2">
        <v>1</v>
      </c>
      <c r="AD855">
        <v>4</v>
      </c>
      <c r="AE855">
        <v>3</v>
      </c>
      <c r="AF855" s="2">
        <v>1</v>
      </c>
      <c r="AG855">
        <v>1</v>
      </c>
      <c r="AH855">
        <v>0</v>
      </c>
      <c r="AI855">
        <v>0</v>
      </c>
      <c r="AJ855" s="2" t="str">
        <f>IF(A855 A855 &lt;= 25, "18-25", IF(A855 &lt;=35, "26-35", IF(A855 &lt;=45, "36-45", IF(Table3[[#This Row],[Age]] &lt;=55, "46-55", "56+"))))</f>
        <v>18-25</v>
      </c>
      <c r="AK855" t="str">
        <f t="shared" si="13"/>
        <v>Low</v>
      </c>
      <c r="AL855" s="2" t="str">
        <f>IF(AF855 &lt; 3, "0-2 Years", IF(AF855 &lt;= 5, "3-5 Years", IF(AF855 &lt;= 10, "6-10 Years",IF(Table3[[#This Row],[Years At Company]]&lt;=20, "11-20 Years","20+ Years"))))</f>
        <v>0-2 Years</v>
      </c>
    </row>
    <row r="856" spans="1:38" x14ac:dyDescent="0.25">
      <c r="A856" s="2">
        <v>45</v>
      </c>
      <c r="B856" t="s">
        <v>43</v>
      </c>
      <c r="C856" t="s">
        <v>36</v>
      </c>
      <c r="D856" s="2">
        <v>1457</v>
      </c>
      <c r="E856" t="s">
        <v>45</v>
      </c>
      <c r="F856" s="2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 s="2">
        <v>4477</v>
      </c>
      <c r="T856">
        <v>20100</v>
      </c>
      <c r="U856">
        <v>4</v>
      </c>
      <c r="V856" t="s">
        <v>42</v>
      </c>
      <c r="W856" t="s">
        <v>35</v>
      </c>
      <c r="X856" s="2">
        <v>19</v>
      </c>
      <c r="Y856">
        <v>3</v>
      </c>
      <c r="Z856">
        <v>3</v>
      </c>
      <c r="AA856">
        <v>80</v>
      </c>
      <c r="AB856">
        <v>1</v>
      </c>
      <c r="AC856" s="2">
        <v>7</v>
      </c>
      <c r="AD856">
        <v>2</v>
      </c>
      <c r="AE856">
        <v>2</v>
      </c>
      <c r="AF856" s="2">
        <v>3</v>
      </c>
      <c r="AG856">
        <v>2</v>
      </c>
      <c r="AH856">
        <v>0</v>
      </c>
      <c r="AI856">
        <v>2</v>
      </c>
      <c r="AJ856" s="2" t="str">
        <f>IF(A856 A856 &lt;= 25, "18-25", IF(A856 &lt;=35, "26-35", IF(A856 &lt;=45, "36-45", IF(Table3[[#This Row],[Age]] &lt;=55, "46-55", "56+"))))</f>
        <v>36-45</v>
      </c>
      <c r="AK856" t="str">
        <f t="shared" si="13"/>
        <v>Low</v>
      </c>
      <c r="AL856" s="2" t="str">
        <f>IF(AF856 &lt; 3, "0-2 Years", IF(AF856 &lt;= 5, "3-5 Years", IF(AF856 &lt;= 10, "6-10 Years",IF(Table3[[#This Row],[Years At Company]]&lt;=20, "11-20 Years","20+ Years"))))</f>
        <v>3-5 Years</v>
      </c>
    </row>
    <row r="857" spans="1:38" x14ac:dyDescent="0.25">
      <c r="A857" s="2">
        <v>37</v>
      </c>
      <c r="B857" t="s">
        <v>43</v>
      </c>
      <c r="C857" t="s">
        <v>36</v>
      </c>
      <c r="D857" s="2">
        <v>977</v>
      </c>
      <c r="E857" t="s">
        <v>45</v>
      </c>
      <c r="F857" s="2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 s="2">
        <v>6474</v>
      </c>
      <c r="T857">
        <v>9961</v>
      </c>
      <c r="U857">
        <v>1</v>
      </c>
      <c r="V857" t="s">
        <v>42</v>
      </c>
      <c r="W857" t="s">
        <v>43</v>
      </c>
      <c r="X857" s="2">
        <v>13</v>
      </c>
      <c r="Y857">
        <v>3</v>
      </c>
      <c r="Z857">
        <v>2</v>
      </c>
      <c r="AA857">
        <v>80</v>
      </c>
      <c r="AB857">
        <v>1</v>
      </c>
      <c r="AC857" s="2">
        <v>14</v>
      </c>
      <c r="AD857">
        <v>2</v>
      </c>
      <c r="AE857">
        <v>2</v>
      </c>
      <c r="AF857" s="2">
        <v>14</v>
      </c>
      <c r="AG857">
        <v>8</v>
      </c>
      <c r="AH857">
        <v>3</v>
      </c>
      <c r="AI857">
        <v>11</v>
      </c>
      <c r="AJ857" s="2" t="str">
        <f>IF(A857 A857 &lt;= 25, "18-25", IF(A857 &lt;=35, "26-35", IF(A857 &lt;=45, "36-45", IF(Table3[[#This Row],[Age]] &lt;=55, "46-55", "56+"))))</f>
        <v>36-45</v>
      </c>
      <c r="AK857" t="str">
        <f t="shared" si="13"/>
        <v>Medium</v>
      </c>
      <c r="AL857" s="2" t="str">
        <f>IF(AF857 &lt; 3, "0-2 Years", IF(AF857 &lt;= 5, "3-5 Years", IF(AF857 &lt;= 10, "6-10 Years",IF(Table3[[#This Row],[Years At Company]]&lt;=20, "11-20 Years","20+ Years"))))</f>
        <v>11-20 Years</v>
      </c>
    </row>
    <row r="858" spans="1:38" x14ac:dyDescent="0.25">
      <c r="A858" s="2">
        <v>20</v>
      </c>
      <c r="B858" t="s">
        <v>43</v>
      </c>
      <c r="C858" t="s">
        <v>36</v>
      </c>
      <c r="D858" s="2">
        <v>805</v>
      </c>
      <c r="E858" t="s">
        <v>45</v>
      </c>
      <c r="F858" s="2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 s="2">
        <v>3033</v>
      </c>
      <c r="T858">
        <v>12828</v>
      </c>
      <c r="U858">
        <v>1</v>
      </c>
      <c r="V858" t="s">
        <v>42</v>
      </c>
      <c r="W858" t="s">
        <v>43</v>
      </c>
      <c r="X858" s="2">
        <v>12</v>
      </c>
      <c r="Y858">
        <v>3</v>
      </c>
      <c r="Z858">
        <v>1</v>
      </c>
      <c r="AA858">
        <v>80</v>
      </c>
      <c r="AB858">
        <v>0</v>
      </c>
      <c r="AC858" s="2">
        <v>2</v>
      </c>
      <c r="AD858">
        <v>2</v>
      </c>
      <c r="AE858">
        <v>2</v>
      </c>
      <c r="AF858" s="2">
        <v>2</v>
      </c>
      <c r="AG858">
        <v>2</v>
      </c>
      <c r="AH858">
        <v>1</v>
      </c>
      <c r="AI858">
        <v>2</v>
      </c>
      <c r="AJ858" s="2" t="str">
        <f>IF(A858 A858 &lt;= 25, "18-25", IF(A858 &lt;=35, "26-35", IF(A858 &lt;=45, "36-45", IF(Table3[[#This Row],[Age]] &lt;=55, "46-55", "56+"))))</f>
        <v>18-25</v>
      </c>
      <c r="AK858" t="str">
        <f t="shared" si="13"/>
        <v>Low</v>
      </c>
      <c r="AL858" s="2" t="str">
        <f>IF(AF858 &lt; 3, "0-2 Years", IF(AF858 &lt;= 5, "3-5 Years", IF(AF858 &lt;= 10, "6-10 Years",IF(Table3[[#This Row],[Years At Company]]&lt;=20, "11-20 Years","20+ Years"))))</f>
        <v>0-2 Years</v>
      </c>
    </row>
    <row r="859" spans="1:38" x14ac:dyDescent="0.25">
      <c r="A859" s="2">
        <v>44</v>
      </c>
      <c r="B859" t="s">
        <v>35</v>
      </c>
      <c r="C859" t="s">
        <v>36</v>
      </c>
      <c r="D859" s="2">
        <v>1097</v>
      </c>
      <c r="E859" t="s">
        <v>45</v>
      </c>
      <c r="F859" s="2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 s="2">
        <v>2936</v>
      </c>
      <c r="T859">
        <v>10826</v>
      </c>
      <c r="U859">
        <v>1</v>
      </c>
      <c r="V859" t="s">
        <v>42</v>
      </c>
      <c r="W859" t="s">
        <v>35</v>
      </c>
      <c r="X859" s="2">
        <v>11</v>
      </c>
      <c r="Y859">
        <v>3</v>
      </c>
      <c r="Z859">
        <v>3</v>
      </c>
      <c r="AA859">
        <v>80</v>
      </c>
      <c r="AB859">
        <v>0</v>
      </c>
      <c r="AC859" s="2">
        <v>6</v>
      </c>
      <c r="AD859">
        <v>4</v>
      </c>
      <c r="AE859">
        <v>3</v>
      </c>
      <c r="AF859" s="2">
        <v>6</v>
      </c>
      <c r="AG859">
        <v>4</v>
      </c>
      <c r="AH859">
        <v>0</v>
      </c>
      <c r="AI859">
        <v>2</v>
      </c>
      <c r="AJ859" s="2" t="str">
        <f>IF(A859 A859 &lt;= 25, "18-25", IF(A859 &lt;=35, "26-35", IF(A859 &lt;=45, "36-45", IF(Table3[[#This Row],[Age]] &lt;=55, "46-55", "56+"))))</f>
        <v>36-45</v>
      </c>
      <c r="AK859" t="str">
        <f t="shared" si="13"/>
        <v>Low</v>
      </c>
      <c r="AL859" s="2" t="str">
        <f>IF(AF859 &lt; 3, "0-2 Years", IF(AF859 &lt;= 5, "3-5 Years", IF(AF859 &lt;= 10, "6-10 Years",IF(Table3[[#This Row],[Years At Company]]&lt;=20, "11-20 Years","20+ Years"))))</f>
        <v>6-10 Years</v>
      </c>
    </row>
    <row r="860" spans="1:38" x14ac:dyDescent="0.25">
      <c r="A860" s="2">
        <v>53</v>
      </c>
      <c r="B860" t="s">
        <v>43</v>
      </c>
      <c r="C860" t="s">
        <v>36</v>
      </c>
      <c r="D860" s="2">
        <v>1223</v>
      </c>
      <c r="E860" t="s">
        <v>45</v>
      </c>
      <c r="F860" s="2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 s="2">
        <v>18606</v>
      </c>
      <c r="T860">
        <v>18640</v>
      </c>
      <c r="U860">
        <v>3</v>
      </c>
      <c r="V860" t="s">
        <v>42</v>
      </c>
      <c r="W860" t="s">
        <v>43</v>
      </c>
      <c r="X860" s="2">
        <v>18</v>
      </c>
      <c r="Y860">
        <v>3</v>
      </c>
      <c r="Z860">
        <v>2</v>
      </c>
      <c r="AA860">
        <v>80</v>
      </c>
      <c r="AB860">
        <v>1</v>
      </c>
      <c r="AC860" s="2">
        <v>26</v>
      </c>
      <c r="AD860">
        <v>6</v>
      </c>
      <c r="AE860">
        <v>3</v>
      </c>
      <c r="AF860" s="2">
        <v>7</v>
      </c>
      <c r="AG860">
        <v>7</v>
      </c>
      <c r="AH860">
        <v>4</v>
      </c>
      <c r="AI860">
        <v>7</v>
      </c>
      <c r="AJ860" s="2" t="str">
        <f>IF(A860 A860 &lt;= 25, "18-25", IF(A860 &lt;=35, "26-35", IF(A860 &lt;=45, "36-45", IF(Table3[[#This Row],[Age]] &lt;=55, "46-55", "56+"))))</f>
        <v>46-55</v>
      </c>
      <c r="AK860" t="str">
        <f t="shared" si="13"/>
        <v>High</v>
      </c>
      <c r="AL860" s="2" t="str">
        <f>IF(AF860 &lt; 3, "0-2 Years", IF(AF860 &lt;= 5, "3-5 Years", IF(AF860 &lt;= 10, "6-10 Years",IF(Table3[[#This Row],[Years At Company]]&lt;=20, "11-20 Years","20+ Years"))))</f>
        <v>6-10 Years</v>
      </c>
    </row>
    <row r="861" spans="1:38" x14ac:dyDescent="0.25">
      <c r="A861" s="2">
        <v>29</v>
      </c>
      <c r="B861" t="s">
        <v>43</v>
      </c>
      <c r="C861" t="s">
        <v>36</v>
      </c>
      <c r="D861" s="2">
        <v>942</v>
      </c>
      <c r="E861" t="s">
        <v>45</v>
      </c>
      <c r="F861" s="2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 s="2">
        <v>2168</v>
      </c>
      <c r="T861">
        <v>26933</v>
      </c>
      <c r="U861">
        <v>0</v>
      </c>
      <c r="V861" t="s">
        <v>42</v>
      </c>
      <c r="W861" t="s">
        <v>35</v>
      </c>
      <c r="X861" s="2">
        <v>18</v>
      </c>
      <c r="Y861">
        <v>3</v>
      </c>
      <c r="Z861">
        <v>1</v>
      </c>
      <c r="AA861">
        <v>80</v>
      </c>
      <c r="AB861">
        <v>1</v>
      </c>
      <c r="AC861" s="2">
        <v>6</v>
      </c>
      <c r="AD861">
        <v>2</v>
      </c>
      <c r="AE861">
        <v>2</v>
      </c>
      <c r="AF861" s="2">
        <v>5</v>
      </c>
      <c r="AG861">
        <v>4</v>
      </c>
      <c r="AH861">
        <v>1</v>
      </c>
      <c r="AI861">
        <v>3</v>
      </c>
      <c r="AJ861" s="2" t="str">
        <f>IF(A861 A861 &lt;= 25, "18-25", IF(A861 &lt;=35, "26-35", IF(A861 &lt;=45, "36-45", IF(Table3[[#This Row],[Age]] &lt;=55, "46-55", "56+"))))</f>
        <v>26-35</v>
      </c>
      <c r="AK861" t="str">
        <f t="shared" si="13"/>
        <v>Low</v>
      </c>
      <c r="AL861" s="2" t="str">
        <f>IF(AF861 &lt; 3, "0-2 Years", IF(AF861 &lt;= 5, "3-5 Years", IF(AF861 &lt;= 10, "6-10 Years",IF(Table3[[#This Row],[Years At Company]]&lt;=20, "11-20 Years","20+ Years"))))</f>
        <v>3-5 Years</v>
      </c>
    </row>
    <row r="862" spans="1:38" x14ac:dyDescent="0.25">
      <c r="A862" s="2">
        <v>22</v>
      </c>
      <c r="B862" t="s">
        <v>35</v>
      </c>
      <c r="C862" t="s">
        <v>44</v>
      </c>
      <c r="D862" s="2">
        <v>1256</v>
      </c>
      <c r="E862" t="s">
        <v>45</v>
      </c>
      <c r="F862" s="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 s="2">
        <v>2853</v>
      </c>
      <c r="T862">
        <v>4223</v>
      </c>
      <c r="U862">
        <v>0</v>
      </c>
      <c r="V862" t="s">
        <v>42</v>
      </c>
      <c r="W862" t="s">
        <v>35</v>
      </c>
      <c r="X862" s="2">
        <v>11</v>
      </c>
      <c r="Y862">
        <v>3</v>
      </c>
      <c r="Z862">
        <v>2</v>
      </c>
      <c r="AA862">
        <v>80</v>
      </c>
      <c r="AB862">
        <v>1</v>
      </c>
      <c r="AC862" s="2">
        <v>1</v>
      </c>
      <c r="AD862">
        <v>5</v>
      </c>
      <c r="AE862">
        <v>3</v>
      </c>
      <c r="AF862" s="2">
        <v>0</v>
      </c>
      <c r="AG862">
        <v>0</v>
      </c>
      <c r="AH862">
        <v>0</v>
      </c>
      <c r="AI862">
        <v>0</v>
      </c>
      <c r="AJ862" s="2" t="str">
        <f>IF(A862 A862 &lt;= 25, "18-25", IF(A862 &lt;=35, "26-35", IF(A862 &lt;=45, "36-45", IF(Table3[[#This Row],[Age]] &lt;=55, "46-55", "56+"))))</f>
        <v>18-25</v>
      </c>
      <c r="AK862" t="str">
        <f t="shared" si="13"/>
        <v>Low</v>
      </c>
      <c r="AL862" s="2" t="str">
        <f>IF(AF862 &lt; 3, "0-2 Years", IF(AF862 &lt;= 5, "3-5 Years", IF(AF862 &lt;= 10, "6-10 Years",IF(Table3[[#This Row],[Years At Company]]&lt;=20, "11-20 Years","20+ Years"))))</f>
        <v>0-2 Years</v>
      </c>
    </row>
    <row r="863" spans="1:38" x14ac:dyDescent="0.25">
      <c r="A863" s="2">
        <v>46</v>
      </c>
      <c r="B863" t="s">
        <v>43</v>
      </c>
      <c r="C863" t="s">
        <v>36</v>
      </c>
      <c r="D863" s="2">
        <v>1402</v>
      </c>
      <c r="E863" t="s">
        <v>37</v>
      </c>
      <c r="F863" s="2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 s="2">
        <v>17048</v>
      </c>
      <c r="T863">
        <v>24097</v>
      </c>
      <c r="U863">
        <v>8</v>
      </c>
      <c r="V863" t="s">
        <v>42</v>
      </c>
      <c r="W863" t="s">
        <v>43</v>
      </c>
      <c r="X863" s="2">
        <v>23</v>
      </c>
      <c r="Y863">
        <v>4</v>
      </c>
      <c r="Z863">
        <v>1</v>
      </c>
      <c r="AA863">
        <v>80</v>
      </c>
      <c r="AB863">
        <v>0</v>
      </c>
      <c r="AC863" s="2">
        <v>28</v>
      </c>
      <c r="AD863">
        <v>2</v>
      </c>
      <c r="AE863">
        <v>3</v>
      </c>
      <c r="AF863" s="2">
        <v>26</v>
      </c>
      <c r="AG863">
        <v>15</v>
      </c>
      <c r="AH863">
        <v>15</v>
      </c>
      <c r="AI863">
        <v>9</v>
      </c>
      <c r="AJ863" s="2" t="str">
        <f>IF(A863 A863 &lt;= 25, "18-25", IF(A863 &lt;=35, "26-35", IF(A863 &lt;=45, "36-45", IF(Table3[[#This Row],[Age]] &lt;=55, "46-55", "56+"))))</f>
        <v>46-55</v>
      </c>
      <c r="AK863" t="str">
        <f t="shared" si="13"/>
        <v>High</v>
      </c>
      <c r="AL863" s="2" t="str">
        <f>IF(AF863 &lt; 3, "0-2 Years", IF(AF863 &lt;= 5, "3-5 Years", IF(AF863 &lt;= 10, "6-10 Years",IF(Table3[[#This Row],[Years At Company]]&lt;=20, "11-20 Years","20+ Years"))))</f>
        <v>20+ Years</v>
      </c>
    </row>
    <row r="864" spans="1:38" x14ac:dyDescent="0.25">
      <c r="A864" s="2">
        <v>44</v>
      </c>
      <c r="B864" t="s">
        <v>43</v>
      </c>
      <c r="C864" t="s">
        <v>55</v>
      </c>
      <c r="D864" s="2">
        <v>111</v>
      </c>
      <c r="E864" t="s">
        <v>45</v>
      </c>
      <c r="F864" s="2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 s="2">
        <v>2290</v>
      </c>
      <c r="T864">
        <v>4279</v>
      </c>
      <c r="U864">
        <v>2</v>
      </c>
      <c r="V864" t="s">
        <v>42</v>
      </c>
      <c r="W864" t="s">
        <v>43</v>
      </c>
      <c r="X864" s="2">
        <v>13</v>
      </c>
      <c r="Y864">
        <v>3</v>
      </c>
      <c r="Z864">
        <v>4</v>
      </c>
      <c r="AA864">
        <v>80</v>
      </c>
      <c r="AB864">
        <v>0</v>
      </c>
      <c r="AC864" s="2">
        <v>6</v>
      </c>
      <c r="AD864">
        <v>3</v>
      </c>
      <c r="AE864">
        <v>3</v>
      </c>
      <c r="AF864" s="2">
        <v>0</v>
      </c>
      <c r="AG864">
        <v>0</v>
      </c>
      <c r="AH864">
        <v>0</v>
      </c>
      <c r="AI864">
        <v>0</v>
      </c>
      <c r="AJ864" s="2" t="str">
        <f>IF(A864 A864 &lt;= 25, "18-25", IF(A864 &lt;=35, "26-35", IF(A864 &lt;=45, "36-45", IF(Table3[[#This Row],[Age]] &lt;=55, "46-55", "56+"))))</f>
        <v>36-45</v>
      </c>
      <c r="AK864" t="str">
        <f t="shared" si="13"/>
        <v>Low</v>
      </c>
      <c r="AL864" s="2" t="str">
        <f>IF(AF864 &lt; 3, "0-2 Years", IF(AF864 &lt;= 5, "3-5 Years", IF(AF864 &lt;= 10, "6-10 Years",IF(Table3[[#This Row],[Years At Company]]&lt;=20, "11-20 Years","20+ Years"))))</f>
        <v>0-2 Years</v>
      </c>
    </row>
    <row r="865" spans="1:38" x14ac:dyDescent="0.25">
      <c r="A865" s="2">
        <v>33</v>
      </c>
      <c r="B865" t="s">
        <v>43</v>
      </c>
      <c r="C865" t="s">
        <v>36</v>
      </c>
      <c r="D865" s="2">
        <v>147</v>
      </c>
      <c r="E865" t="s">
        <v>61</v>
      </c>
      <c r="F865" s="2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 s="2">
        <v>3600</v>
      </c>
      <c r="T865">
        <v>8429</v>
      </c>
      <c r="U865">
        <v>1</v>
      </c>
      <c r="V865" t="s">
        <v>42</v>
      </c>
      <c r="W865" t="s">
        <v>43</v>
      </c>
      <c r="X865" s="2">
        <v>13</v>
      </c>
      <c r="Y865">
        <v>3</v>
      </c>
      <c r="Z865">
        <v>4</v>
      </c>
      <c r="AA865">
        <v>80</v>
      </c>
      <c r="AB865">
        <v>1</v>
      </c>
      <c r="AC865" s="2">
        <v>5</v>
      </c>
      <c r="AD865">
        <v>2</v>
      </c>
      <c r="AE865">
        <v>3</v>
      </c>
      <c r="AF865" s="2">
        <v>5</v>
      </c>
      <c r="AG865">
        <v>4</v>
      </c>
      <c r="AH865">
        <v>1</v>
      </c>
      <c r="AI865">
        <v>4</v>
      </c>
      <c r="AJ865" s="2" t="str">
        <f>IF(A865 A865 &lt;= 25, "18-25", IF(A865 &lt;=35, "26-35", IF(A865 &lt;=45, "36-45", IF(Table3[[#This Row],[Age]] &lt;=55, "46-55", "56+"))))</f>
        <v>26-35</v>
      </c>
      <c r="AK865" t="str">
        <f t="shared" si="13"/>
        <v>Low</v>
      </c>
      <c r="AL865" s="2" t="str">
        <f>IF(AF865 &lt; 3, "0-2 Years", IF(AF865 &lt;= 5, "3-5 Years", IF(AF865 &lt;= 10, "6-10 Years",IF(Table3[[#This Row],[Years At Company]]&lt;=20, "11-20 Years","20+ Years"))))</f>
        <v>3-5 Years</v>
      </c>
    </row>
    <row r="866" spans="1:38" x14ac:dyDescent="0.25">
      <c r="A866" s="2">
        <v>41</v>
      </c>
      <c r="B866" t="s">
        <v>35</v>
      </c>
      <c r="C866" t="s">
        <v>55</v>
      </c>
      <c r="D866" s="2">
        <v>906</v>
      </c>
      <c r="E866" t="s">
        <v>45</v>
      </c>
      <c r="F866" s="2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 s="2">
        <v>2107</v>
      </c>
      <c r="T866">
        <v>20293</v>
      </c>
      <c r="U866">
        <v>6</v>
      </c>
      <c r="V866" t="s">
        <v>42</v>
      </c>
      <c r="W866" t="s">
        <v>43</v>
      </c>
      <c r="X866" s="2">
        <v>17</v>
      </c>
      <c r="Y866">
        <v>3</v>
      </c>
      <c r="Z866">
        <v>1</v>
      </c>
      <c r="AA866">
        <v>80</v>
      </c>
      <c r="AB866">
        <v>1</v>
      </c>
      <c r="AC866" s="2">
        <v>5</v>
      </c>
      <c r="AD866">
        <v>2</v>
      </c>
      <c r="AE866">
        <v>1</v>
      </c>
      <c r="AF866" s="2">
        <v>1</v>
      </c>
      <c r="AG866">
        <v>0</v>
      </c>
      <c r="AH866">
        <v>0</v>
      </c>
      <c r="AI866">
        <v>0</v>
      </c>
      <c r="AJ866" s="2" t="str">
        <f>IF(A866 A866 &lt;= 25, "18-25", IF(A866 &lt;=35, "26-35", IF(A866 &lt;=45, "36-45", IF(Table3[[#This Row],[Age]] &lt;=55, "46-55", "56+"))))</f>
        <v>36-45</v>
      </c>
      <c r="AK866" t="str">
        <f t="shared" si="13"/>
        <v>Low</v>
      </c>
      <c r="AL866" s="2" t="str">
        <f>IF(AF866 &lt; 3, "0-2 Years", IF(AF866 &lt;= 5, "3-5 Years", IF(AF866 &lt;= 10, "6-10 Years",IF(Table3[[#This Row],[Years At Company]]&lt;=20, "11-20 Years","20+ Years"))))</f>
        <v>0-2 Years</v>
      </c>
    </row>
    <row r="867" spans="1:38" x14ac:dyDescent="0.25">
      <c r="A867" s="2">
        <v>30</v>
      </c>
      <c r="B867" t="s">
        <v>43</v>
      </c>
      <c r="C867" t="s">
        <v>36</v>
      </c>
      <c r="D867" s="2">
        <v>1329</v>
      </c>
      <c r="E867" t="s">
        <v>37</v>
      </c>
      <c r="F867" s="2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 s="2">
        <v>4115</v>
      </c>
      <c r="T867">
        <v>13192</v>
      </c>
      <c r="U867">
        <v>8</v>
      </c>
      <c r="V867" t="s">
        <v>42</v>
      </c>
      <c r="W867" t="s">
        <v>43</v>
      </c>
      <c r="X867" s="2">
        <v>19</v>
      </c>
      <c r="Y867">
        <v>3</v>
      </c>
      <c r="Z867">
        <v>3</v>
      </c>
      <c r="AA867">
        <v>80</v>
      </c>
      <c r="AB867">
        <v>3</v>
      </c>
      <c r="AC867" s="2">
        <v>8</v>
      </c>
      <c r="AD867">
        <v>3</v>
      </c>
      <c r="AE867">
        <v>3</v>
      </c>
      <c r="AF867" s="2">
        <v>4</v>
      </c>
      <c r="AG867">
        <v>3</v>
      </c>
      <c r="AH867">
        <v>0</v>
      </c>
      <c r="AI867">
        <v>3</v>
      </c>
      <c r="AJ867" s="2" t="str">
        <f>IF(A867 A867 &lt;= 25, "18-25", IF(A867 &lt;=35, "26-35", IF(A867 &lt;=45, "36-45", IF(Table3[[#This Row],[Age]] &lt;=55, "46-55", "56+"))))</f>
        <v>26-35</v>
      </c>
      <c r="AK867" t="str">
        <f t="shared" si="13"/>
        <v>Low</v>
      </c>
      <c r="AL867" s="2" t="str">
        <f>IF(AF867 &lt; 3, "0-2 Years", IF(AF867 &lt;= 5, "3-5 Years", IF(AF867 &lt;= 10, "6-10 Years",IF(Table3[[#This Row],[Years At Company]]&lt;=20, "11-20 Years","20+ Years"))))</f>
        <v>3-5 Years</v>
      </c>
    </row>
    <row r="868" spans="1:38" x14ac:dyDescent="0.25">
      <c r="A868" s="2">
        <v>40</v>
      </c>
      <c r="B868" t="s">
        <v>43</v>
      </c>
      <c r="C868" t="s">
        <v>44</v>
      </c>
      <c r="D868" s="2">
        <v>1184</v>
      </c>
      <c r="E868" t="s">
        <v>37</v>
      </c>
      <c r="F868" s="2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 s="2">
        <v>4327</v>
      </c>
      <c r="T868">
        <v>25440</v>
      </c>
      <c r="U868">
        <v>5</v>
      </c>
      <c r="V868" t="s">
        <v>42</v>
      </c>
      <c r="W868" t="s">
        <v>43</v>
      </c>
      <c r="X868" s="2">
        <v>12</v>
      </c>
      <c r="Y868">
        <v>3</v>
      </c>
      <c r="Z868">
        <v>4</v>
      </c>
      <c r="AA868">
        <v>80</v>
      </c>
      <c r="AB868">
        <v>3</v>
      </c>
      <c r="AC868" s="2">
        <v>5</v>
      </c>
      <c r="AD868">
        <v>2</v>
      </c>
      <c r="AE868">
        <v>3</v>
      </c>
      <c r="AF868" s="2">
        <v>0</v>
      </c>
      <c r="AG868">
        <v>0</v>
      </c>
      <c r="AH868">
        <v>0</v>
      </c>
      <c r="AI868">
        <v>0</v>
      </c>
      <c r="AJ868" s="2" t="str">
        <f>IF(A868 A868 &lt;= 25, "18-25", IF(A868 &lt;=35, "26-35", IF(A868 &lt;=45, "36-45", IF(Table3[[#This Row],[Age]] &lt;=55, "46-55", "56+"))))</f>
        <v>36-45</v>
      </c>
      <c r="AK868" t="str">
        <f t="shared" si="13"/>
        <v>Low</v>
      </c>
      <c r="AL868" s="2" t="str">
        <f>IF(AF868 &lt; 3, "0-2 Years", IF(AF868 &lt;= 5, "3-5 Years", IF(AF868 &lt;= 10, "6-10 Years",IF(Table3[[#This Row],[Years At Company]]&lt;=20, "11-20 Years","20+ Years"))))</f>
        <v>0-2 Years</v>
      </c>
    </row>
    <row r="869" spans="1:38" x14ac:dyDescent="0.25">
      <c r="A869" s="2">
        <v>50</v>
      </c>
      <c r="B869" t="s">
        <v>43</v>
      </c>
      <c r="C869" t="s">
        <v>44</v>
      </c>
      <c r="D869" s="2">
        <v>1421</v>
      </c>
      <c r="E869" t="s">
        <v>45</v>
      </c>
      <c r="F869" s="2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 s="2">
        <v>17856</v>
      </c>
      <c r="T869">
        <v>9490</v>
      </c>
      <c r="U869">
        <v>2</v>
      </c>
      <c r="V869" t="s">
        <v>42</v>
      </c>
      <c r="W869" t="s">
        <v>43</v>
      </c>
      <c r="X869" s="2">
        <v>22</v>
      </c>
      <c r="Y869">
        <v>4</v>
      </c>
      <c r="Z869">
        <v>3</v>
      </c>
      <c r="AA869">
        <v>80</v>
      </c>
      <c r="AB869">
        <v>1</v>
      </c>
      <c r="AC869" s="2">
        <v>32</v>
      </c>
      <c r="AD869">
        <v>3</v>
      </c>
      <c r="AE869">
        <v>3</v>
      </c>
      <c r="AF869" s="2">
        <v>2</v>
      </c>
      <c r="AG869">
        <v>2</v>
      </c>
      <c r="AH869">
        <v>2</v>
      </c>
      <c r="AI869">
        <v>2</v>
      </c>
      <c r="AJ869" s="2" t="str">
        <f>IF(A869 A869 &lt;= 25, "18-25", IF(A869 &lt;=35, "26-35", IF(A869 &lt;=45, "36-45", IF(Table3[[#This Row],[Age]] &lt;=55, "46-55", "56+"))))</f>
        <v>46-55</v>
      </c>
      <c r="AK869" t="str">
        <f t="shared" si="13"/>
        <v>High</v>
      </c>
      <c r="AL869" s="2" t="str">
        <f>IF(AF869 &lt; 3, "0-2 Years", IF(AF869 &lt;= 5, "3-5 Years", IF(AF869 &lt;= 10, "6-10 Years",IF(Table3[[#This Row],[Years At Company]]&lt;=20, "11-20 Years","20+ Years"))))</f>
        <v>0-2 Years</v>
      </c>
    </row>
    <row r="870" spans="1:38" x14ac:dyDescent="0.25">
      <c r="A870" s="2">
        <v>28</v>
      </c>
      <c r="B870" t="s">
        <v>43</v>
      </c>
      <c r="C870" t="s">
        <v>36</v>
      </c>
      <c r="D870" s="2">
        <v>1179</v>
      </c>
      <c r="E870" t="s">
        <v>45</v>
      </c>
      <c r="F870" s="2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 s="2">
        <v>3196</v>
      </c>
      <c r="T870">
        <v>12449</v>
      </c>
      <c r="U870">
        <v>1</v>
      </c>
      <c r="V870" t="s">
        <v>42</v>
      </c>
      <c r="W870" t="s">
        <v>43</v>
      </c>
      <c r="X870" s="2">
        <v>12</v>
      </c>
      <c r="Y870">
        <v>3</v>
      </c>
      <c r="Z870">
        <v>3</v>
      </c>
      <c r="AA870">
        <v>80</v>
      </c>
      <c r="AB870">
        <v>3</v>
      </c>
      <c r="AC870" s="2">
        <v>6</v>
      </c>
      <c r="AD870">
        <v>2</v>
      </c>
      <c r="AE870">
        <v>3</v>
      </c>
      <c r="AF870" s="2">
        <v>6</v>
      </c>
      <c r="AG870">
        <v>5</v>
      </c>
      <c r="AH870">
        <v>3</v>
      </c>
      <c r="AI870">
        <v>3</v>
      </c>
      <c r="AJ870" s="2" t="str">
        <f>IF(A870 A870 &lt;= 25, "18-25", IF(A870 &lt;=35, "26-35", IF(A870 &lt;=45, "36-45", IF(Table3[[#This Row],[Age]] &lt;=55, "46-55", "56+"))))</f>
        <v>26-35</v>
      </c>
      <c r="AK870" t="str">
        <f t="shared" si="13"/>
        <v>Low</v>
      </c>
      <c r="AL870" s="2" t="str">
        <f>IF(AF870 &lt; 3, "0-2 Years", IF(AF870 &lt;= 5, "3-5 Years", IF(AF870 &lt;= 10, "6-10 Years",IF(Table3[[#This Row],[Years At Company]]&lt;=20, "11-20 Years","20+ Years"))))</f>
        <v>6-10 Years</v>
      </c>
    </row>
    <row r="871" spans="1:38" x14ac:dyDescent="0.25">
      <c r="A871" s="2">
        <v>46</v>
      </c>
      <c r="B871" t="s">
        <v>43</v>
      </c>
      <c r="C871" t="s">
        <v>36</v>
      </c>
      <c r="D871" s="2">
        <v>1450</v>
      </c>
      <c r="E871" t="s">
        <v>45</v>
      </c>
      <c r="F871" s="2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 s="2">
        <v>19081</v>
      </c>
      <c r="T871">
        <v>10849</v>
      </c>
      <c r="U871">
        <v>5</v>
      </c>
      <c r="V871" t="s">
        <v>42</v>
      </c>
      <c r="W871" t="s">
        <v>43</v>
      </c>
      <c r="X871" s="2">
        <v>11</v>
      </c>
      <c r="Y871">
        <v>3</v>
      </c>
      <c r="Z871">
        <v>1</v>
      </c>
      <c r="AA871">
        <v>80</v>
      </c>
      <c r="AB871">
        <v>1</v>
      </c>
      <c r="AC871" s="2">
        <v>25</v>
      </c>
      <c r="AD871">
        <v>2</v>
      </c>
      <c r="AE871">
        <v>3</v>
      </c>
      <c r="AF871" s="2">
        <v>4</v>
      </c>
      <c r="AG871">
        <v>2</v>
      </c>
      <c r="AH871">
        <v>0</v>
      </c>
      <c r="AI871">
        <v>3</v>
      </c>
      <c r="AJ871" s="2" t="str">
        <f>IF(A871 A871 &lt;= 25, "18-25", IF(A871 &lt;=35, "26-35", IF(A871 &lt;=45, "36-45", IF(Table3[[#This Row],[Age]] &lt;=55, "46-55", "56+"))))</f>
        <v>46-55</v>
      </c>
      <c r="AK871" t="str">
        <f t="shared" si="13"/>
        <v>High</v>
      </c>
      <c r="AL871" s="2" t="str">
        <f>IF(AF871 &lt; 3, "0-2 Years", IF(AF871 &lt;= 5, "3-5 Years", IF(AF871 &lt;= 10, "6-10 Years",IF(Table3[[#This Row],[Years At Company]]&lt;=20, "11-20 Years","20+ Years"))))</f>
        <v>3-5 Years</v>
      </c>
    </row>
    <row r="872" spans="1:38" x14ac:dyDescent="0.25">
      <c r="A872" s="2">
        <v>35</v>
      </c>
      <c r="B872" t="s">
        <v>43</v>
      </c>
      <c r="C872" t="s">
        <v>36</v>
      </c>
      <c r="D872" s="2">
        <v>1361</v>
      </c>
      <c r="E872" t="s">
        <v>37</v>
      </c>
      <c r="F872" s="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 s="2">
        <v>8966</v>
      </c>
      <c r="T872">
        <v>21026</v>
      </c>
      <c r="U872">
        <v>3</v>
      </c>
      <c r="V872" t="s">
        <v>42</v>
      </c>
      <c r="W872" t="s">
        <v>35</v>
      </c>
      <c r="X872" s="2">
        <v>15</v>
      </c>
      <c r="Y872">
        <v>3</v>
      </c>
      <c r="Z872">
        <v>4</v>
      </c>
      <c r="AA872">
        <v>80</v>
      </c>
      <c r="AB872">
        <v>3</v>
      </c>
      <c r="AC872" s="2">
        <v>15</v>
      </c>
      <c r="AD872">
        <v>2</v>
      </c>
      <c r="AE872">
        <v>3</v>
      </c>
      <c r="AF872" s="2">
        <v>7</v>
      </c>
      <c r="AG872">
        <v>7</v>
      </c>
      <c r="AH872">
        <v>1</v>
      </c>
      <c r="AI872">
        <v>7</v>
      </c>
      <c r="AJ872" s="2" t="str">
        <f>IF(A872 A872 &lt;= 25, "18-25", IF(A872 &lt;=35, "26-35", IF(A872 &lt;=45, "36-45", IF(Table3[[#This Row],[Age]] &lt;=55, "46-55", "56+"))))</f>
        <v>26-35</v>
      </c>
      <c r="AK872" t="str">
        <f t="shared" si="13"/>
        <v>Medium</v>
      </c>
      <c r="AL872" s="2" t="str">
        <f>IF(AF872 &lt; 3, "0-2 Years", IF(AF872 &lt;= 5, "3-5 Years", IF(AF872 &lt;= 10, "6-10 Years",IF(Table3[[#This Row],[Years At Company]]&lt;=20, "11-20 Years","20+ Years"))))</f>
        <v>6-10 Years</v>
      </c>
    </row>
    <row r="873" spans="1:38" x14ac:dyDescent="0.25">
      <c r="A873" s="2">
        <v>24</v>
      </c>
      <c r="B873" t="s">
        <v>35</v>
      </c>
      <c r="C873" t="s">
        <v>36</v>
      </c>
      <c r="D873" s="2">
        <v>984</v>
      </c>
      <c r="E873" t="s">
        <v>45</v>
      </c>
      <c r="F873" s="2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 s="2">
        <v>2210</v>
      </c>
      <c r="T873">
        <v>3372</v>
      </c>
      <c r="U873">
        <v>1</v>
      </c>
      <c r="V873" t="s">
        <v>42</v>
      </c>
      <c r="W873" t="s">
        <v>43</v>
      </c>
      <c r="X873" s="2">
        <v>13</v>
      </c>
      <c r="Y873">
        <v>3</v>
      </c>
      <c r="Z873">
        <v>1</v>
      </c>
      <c r="AA873">
        <v>80</v>
      </c>
      <c r="AB873">
        <v>1</v>
      </c>
      <c r="AC873" s="2">
        <v>1</v>
      </c>
      <c r="AD873">
        <v>3</v>
      </c>
      <c r="AE873">
        <v>1</v>
      </c>
      <c r="AF873" s="2">
        <v>1</v>
      </c>
      <c r="AG873">
        <v>0</v>
      </c>
      <c r="AH873">
        <v>0</v>
      </c>
      <c r="AI873">
        <v>0</v>
      </c>
      <c r="AJ873" s="2" t="str">
        <f>IF(A873 A873 &lt;= 25, "18-25", IF(A873 &lt;=35, "26-35", IF(A873 &lt;=45, "36-45", IF(Table3[[#This Row],[Age]] &lt;=55, "46-55", "56+"))))</f>
        <v>18-25</v>
      </c>
      <c r="AK873" t="str">
        <f t="shared" si="13"/>
        <v>Low</v>
      </c>
      <c r="AL873" s="2" t="str">
        <f>IF(AF873 &lt; 3, "0-2 Years", IF(AF873 &lt;= 5, "3-5 Years", IF(AF873 &lt;= 10, "6-10 Years",IF(Table3[[#This Row],[Years At Company]]&lt;=20, "11-20 Years","20+ Years"))))</f>
        <v>0-2 Years</v>
      </c>
    </row>
    <row r="874" spans="1:38" x14ac:dyDescent="0.25">
      <c r="A874" s="2">
        <v>33</v>
      </c>
      <c r="B874" t="s">
        <v>43</v>
      </c>
      <c r="C874" t="s">
        <v>44</v>
      </c>
      <c r="D874" s="2">
        <v>1146</v>
      </c>
      <c r="E874" t="s">
        <v>37</v>
      </c>
      <c r="F874" s="2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 s="2">
        <v>4539</v>
      </c>
      <c r="T874">
        <v>4905</v>
      </c>
      <c r="U874">
        <v>1</v>
      </c>
      <c r="V874" t="s">
        <v>42</v>
      </c>
      <c r="W874" t="s">
        <v>43</v>
      </c>
      <c r="X874" s="2">
        <v>12</v>
      </c>
      <c r="Y874">
        <v>3</v>
      </c>
      <c r="Z874">
        <v>1</v>
      </c>
      <c r="AA874">
        <v>80</v>
      </c>
      <c r="AB874">
        <v>1</v>
      </c>
      <c r="AC874" s="2">
        <v>10</v>
      </c>
      <c r="AD874">
        <v>3</v>
      </c>
      <c r="AE874">
        <v>2</v>
      </c>
      <c r="AF874" s="2">
        <v>10</v>
      </c>
      <c r="AG874">
        <v>7</v>
      </c>
      <c r="AH874">
        <v>0</v>
      </c>
      <c r="AI874">
        <v>1</v>
      </c>
      <c r="AJ874" s="2" t="str">
        <f>IF(A874 A874 &lt;= 25, "18-25", IF(A874 &lt;=35, "26-35", IF(A874 &lt;=45, "36-45", IF(Table3[[#This Row],[Age]] &lt;=55, "46-55", "56+"))))</f>
        <v>26-35</v>
      </c>
      <c r="AK874" t="str">
        <f t="shared" si="13"/>
        <v>Low</v>
      </c>
      <c r="AL874" s="2" t="str">
        <f>IF(AF874 &lt; 3, "0-2 Years", IF(AF874 &lt;= 5, "3-5 Years", IF(AF874 &lt;= 10, "6-10 Years",IF(Table3[[#This Row],[Years At Company]]&lt;=20, "11-20 Years","20+ Years"))))</f>
        <v>6-10 Years</v>
      </c>
    </row>
    <row r="875" spans="1:38" x14ac:dyDescent="0.25">
      <c r="A875" s="2">
        <v>36</v>
      </c>
      <c r="B875" t="s">
        <v>43</v>
      </c>
      <c r="C875" t="s">
        <v>36</v>
      </c>
      <c r="D875" s="2">
        <v>917</v>
      </c>
      <c r="E875" t="s">
        <v>45</v>
      </c>
      <c r="F875" s="2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 s="2">
        <v>2741</v>
      </c>
      <c r="T875">
        <v>6865</v>
      </c>
      <c r="U875">
        <v>1</v>
      </c>
      <c r="V875" t="s">
        <v>42</v>
      </c>
      <c r="W875" t="s">
        <v>43</v>
      </c>
      <c r="X875" s="2">
        <v>14</v>
      </c>
      <c r="Y875">
        <v>3</v>
      </c>
      <c r="Z875">
        <v>3</v>
      </c>
      <c r="AA875">
        <v>80</v>
      </c>
      <c r="AB875">
        <v>1</v>
      </c>
      <c r="AC875" s="2">
        <v>7</v>
      </c>
      <c r="AD875">
        <v>4</v>
      </c>
      <c r="AE875">
        <v>3</v>
      </c>
      <c r="AF875" s="2">
        <v>7</v>
      </c>
      <c r="AG875">
        <v>7</v>
      </c>
      <c r="AH875">
        <v>1</v>
      </c>
      <c r="AI875">
        <v>7</v>
      </c>
      <c r="AJ875" s="2" t="str">
        <f>IF(A875 A875 &lt;= 25, "18-25", IF(A875 &lt;=35, "26-35", IF(A875 &lt;=45, "36-45", IF(Table3[[#This Row],[Age]] &lt;=55, "46-55", "56+"))))</f>
        <v>36-45</v>
      </c>
      <c r="AK875" t="str">
        <f t="shared" si="13"/>
        <v>Low</v>
      </c>
      <c r="AL875" s="2" t="str">
        <f>IF(AF875 &lt; 3, "0-2 Years", IF(AF875 &lt;= 5, "3-5 Years", IF(AF875 &lt;= 10, "6-10 Years",IF(Table3[[#This Row],[Years At Company]]&lt;=20, "11-20 Years","20+ Years"))))</f>
        <v>6-10 Years</v>
      </c>
    </row>
    <row r="876" spans="1:38" x14ac:dyDescent="0.25">
      <c r="A876" s="2">
        <v>30</v>
      </c>
      <c r="B876" t="s">
        <v>43</v>
      </c>
      <c r="C876" t="s">
        <v>36</v>
      </c>
      <c r="D876" s="2">
        <v>853</v>
      </c>
      <c r="E876" t="s">
        <v>45</v>
      </c>
      <c r="F876" s="2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 s="2">
        <v>3491</v>
      </c>
      <c r="T876">
        <v>11309</v>
      </c>
      <c r="U876">
        <v>1</v>
      </c>
      <c r="V876" t="s">
        <v>42</v>
      </c>
      <c r="W876" t="s">
        <v>43</v>
      </c>
      <c r="X876" s="2">
        <v>13</v>
      </c>
      <c r="Y876">
        <v>3</v>
      </c>
      <c r="Z876">
        <v>1</v>
      </c>
      <c r="AA876">
        <v>80</v>
      </c>
      <c r="AB876">
        <v>3</v>
      </c>
      <c r="AC876" s="2">
        <v>10</v>
      </c>
      <c r="AD876">
        <v>4</v>
      </c>
      <c r="AE876">
        <v>2</v>
      </c>
      <c r="AF876" s="2">
        <v>10</v>
      </c>
      <c r="AG876">
        <v>7</v>
      </c>
      <c r="AH876">
        <v>8</v>
      </c>
      <c r="AI876">
        <v>9</v>
      </c>
      <c r="AJ876" s="2" t="str">
        <f>IF(A876 A876 &lt;= 25, "18-25", IF(A876 &lt;=35, "26-35", IF(A876 &lt;=45, "36-45", IF(Table3[[#This Row],[Age]] &lt;=55, "46-55", "56+"))))</f>
        <v>26-35</v>
      </c>
      <c r="AK876" t="str">
        <f t="shared" si="13"/>
        <v>Low</v>
      </c>
      <c r="AL876" s="2" t="str">
        <f>IF(AF876 &lt; 3, "0-2 Years", IF(AF876 &lt;= 5, "3-5 Years", IF(AF876 &lt;= 10, "6-10 Years",IF(Table3[[#This Row],[Years At Company]]&lt;=20, "11-20 Years","20+ Years"))))</f>
        <v>6-10 Years</v>
      </c>
    </row>
    <row r="877" spans="1:38" x14ac:dyDescent="0.25">
      <c r="A877" s="2">
        <v>44</v>
      </c>
      <c r="B877" t="s">
        <v>43</v>
      </c>
      <c r="C877" t="s">
        <v>36</v>
      </c>
      <c r="D877" s="2">
        <v>200</v>
      </c>
      <c r="E877" t="s">
        <v>45</v>
      </c>
      <c r="F877" s="2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 s="2">
        <v>4541</v>
      </c>
      <c r="T877">
        <v>7744</v>
      </c>
      <c r="U877">
        <v>1</v>
      </c>
      <c r="V877" t="s">
        <v>42</v>
      </c>
      <c r="W877" t="s">
        <v>43</v>
      </c>
      <c r="X877" s="2">
        <v>25</v>
      </c>
      <c r="Y877">
        <v>4</v>
      </c>
      <c r="Z877">
        <v>2</v>
      </c>
      <c r="AA877">
        <v>80</v>
      </c>
      <c r="AB877">
        <v>0</v>
      </c>
      <c r="AC877" s="2">
        <v>20</v>
      </c>
      <c r="AD877">
        <v>3</v>
      </c>
      <c r="AE877">
        <v>3</v>
      </c>
      <c r="AF877" s="2">
        <v>20</v>
      </c>
      <c r="AG877">
        <v>11</v>
      </c>
      <c r="AH877">
        <v>13</v>
      </c>
      <c r="AI877">
        <v>17</v>
      </c>
      <c r="AJ877" s="2" t="str">
        <f>IF(A877 A877 &lt;= 25, "18-25", IF(A877 &lt;=35, "26-35", IF(A877 &lt;=45, "36-45", IF(Table3[[#This Row],[Age]] &lt;=55, "46-55", "56+"))))</f>
        <v>36-45</v>
      </c>
      <c r="AK877" t="str">
        <f t="shared" si="13"/>
        <v>Low</v>
      </c>
      <c r="AL877" s="2" t="str">
        <f>IF(AF877 &lt; 3, "0-2 Years", IF(AF877 &lt;= 5, "3-5 Years", IF(AF877 &lt;= 10, "6-10 Years",IF(Table3[[#This Row],[Years At Company]]&lt;=20, "11-20 Years","20+ Years"))))</f>
        <v>11-20 Years</v>
      </c>
    </row>
    <row r="878" spans="1:38" x14ac:dyDescent="0.25">
      <c r="A878" s="2">
        <v>20</v>
      </c>
      <c r="B878" t="s">
        <v>43</v>
      </c>
      <c r="C878" t="s">
        <v>36</v>
      </c>
      <c r="D878" s="2">
        <v>654</v>
      </c>
      <c r="E878" t="s">
        <v>37</v>
      </c>
      <c r="F878" s="2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 s="2">
        <v>2678</v>
      </c>
      <c r="T878">
        <v>5050</v>
      </c>
      <c r="U878">
        <v>1</v>
      </c>
      <c r="V878" t="s">
        <v>42</v>
      </c>
      <c r="W878" t="s">
        <v>43</v>
      </c>
      <c r="X878" s="2">
        <v>17</v>
      </c>
      <c r="Y878">
        <v>3</v>
      </c>
      <c r="Z878">
        <v>4</v>
      </c>
      <c r="AA878">
        <v>80</v>
      </c>
      <c r="AB878">
        <v>0</v>
      </c>
      <c r="AC878" s="2">
        <v>2</v>
      </c>
      <c r="AD878">
        <v>2</v>
      </c>
      <c r="AE878">
        <v>3</v>
      </c>
      <c r="AF878" s="2">
        <v>2</v>
      </c>
      <c r="AG878">
        <v>1</v>
      </c>
      <c r="AH878">
        <v>2</v>
      </c>
      <c r="AI878">
        <v>2</v>
      </c>
      <c r="AJ878" s="2" t="str">
        <f>IF(A878 A878 &lt;= 25, "18-25", IF(A878 &lt;=35, "26-35", IF(A878 &lt;=45, "36-45", IF(Table3[[#This Row],[Age]] &lt;=55, "46-55", "56+"))))</f>
        <v>18-25</v>
      </c>
      <c r="AK878" t="str">
        <f t="shared" si="13"/>
        <v>Low</v>
      </c>
      <c r="AL878" s="2" t="str">
        <f>IF(AF878 &lt; 3, "0-2 Years", IF(AF878 &lt;= 5, "3-5 Years", IF(AF878 &lt;= 10, "6-10 Years",IF(Table3[[#This Row],[Years At Company]]&lt;=20, "11-20 Years","20+ Years"))))</f>
        <v>0-2 Years</v>
      </c>
    </row>
    <row r="879" spans="1:38" x14ac:dyDescent="0.25">
      <c r="A879" s="2">
        <v>46</v>
      </c>
      <c r="B879" t="s">
        <v>43</v>
      </c>
      <c r="C879" t="s">
        <v>36</v>
      </c>
      <c r="D879" s="2">
        <v>150</v>
      </c>
      <c r="E879" t="s">
        <v>45</v>
      </c>
      <c r="F879" s="2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 s="2">
        <v>7379</v>
      </c>
      <c r="T879">
        <v>17433</v>
      </c>
      <c r="U879">
        <v>2</v>
      </c>
      <c r="V879" t="s">
        <v>42</v>
      </c>
      <c r="W879" t="s">
        <v>43</v>
      </c>
      <c r="X879" s="2">
        <v>11</v>
      </c>
      <c r="Y879">
        <v>3</v>
      </c>
      <c r="Z879">
        <v>3</v>
      </c>
      <c r="AA879">
        <v>80</v>
      </c>
      <c r="AB879">
        <v>1</v>
      </c>
      <c r="AC879" s="2">
        <v>12</v>
      </c>
      <c r="AD879">
        <v>3</v>
      </c>
      <c r="AE879">
        <v>2</v>
      </c>
      <c r="AF879" s="2">
        <v>6</v>
      </c>
      <c r="AG879">
        <v>3</v>
      </c>
      <c r="AH879">
        <v>1</v>
      </c>
      <c r="AI879">
        <v>4</v>
      </c>
      <c r="AJ879" s="2" t="str">
        <f>IF(A879 A879 &lt;= 25, "18-25", IF(A879 &lt;=35, "26-35", IF(A879 &lt;=45, "36-45", IF(Table3[[#This Row],[Age]] &lt;=55, "46-55", "56+"))))</f>
        <v>46-55</v>
      </c>
      <c r="AK879" t="str">
        <f t="shared" si="13"/>
        <v>Medium</v>
      </c>
      <c r="AL879" s="2" t="str">
        <f>IF(AF879 &lt; 3, "0-2 Years", IF(AF879 &lt;= 5, "3-5 Years", IF(AF879 &lt;= 10, "6-10 Years",IF(Table3[[#This Row],[Years At Company]]&lt;=20, "11-20 Years","20+ Years"))))</f>
        <v>6-10 Years</v>
      </c>
    </row>
    <row r="880" spans="1:38" x14ac:dyDescent="0.25">
      <c r="A880" s="2">
        <v>42</v>
      </c>
      <c r="B880" t="s">
        <v>43</v>
      </c>
      <c r="C880" t="s">
        <v>55</v>
      </c>
      <c r="D880" s="2">
        <v>179</v>
      </c>
      <c r="E880" t="s">
        <v>61</v>
      </c>
      <c r="F880" s="2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 s="2">
        <v>6272</v>
      </c>
      <c r="T880">
        <v>12858</v>
      </c>
      <c r="U880">
        <v>7</v>
      </c>
      <c r="V880" t="s">
        <v>42</v>
      </c>
      <c r="W880" t="s">
        <v>43</v>
      </c>
      <c r="X880" s="2">
        <v>16</v>
      </c>
      <c r="Y880">
        <v>3</v>
      </c>
      <c r="Z880">
        <v>1</v>
      </c>
      <c r="AA880">
        <v>80</v>
      </c>
      <c r="AB880">
        <v>1</v>
      </c>
      <c r="AC880" s="2">
        <v>10</v>
      </c>
      <c r="AD880">
        <v>3</v>
      </c>
      <c r="AE880">
        <v>4</v>
      </c>
      <c r="AF880" s="2">
        <v>4</v>
      </c>
      <c r="AG880">
        <v>3</v>
      </c>
      <c r="AH880">
        <v>0</v>
      </c>
      <c r="AI880">
        <v>3</v>
      </c>
      <c r="AJ880" s="2" t="str">
        <f>IF(A880 A880 &lt;= 25, "18-25", IF(A880 &lt;=35, "26-35", IF(A880 &lt;=45, "36-45", IF(Table3[[#This Row],[Age]] &lt;=55, "46-55", "56+"))))</f>
        <v>36-45</v>
      </c>
      <c r="AK880" t="str">
        <f t="shared" si="13"/>
        <v>Medium</v>
      </c>
      <c r="AL880" s="2" t="str">
        <f>IF(AF880 &lt; 3, "0-2 Years", IF(AF880 &lt;= 5, "3-5 Years", IF(AF880 &lt;= 10, "6-10 Years",IF(Table3[[#This Row],[Years At Company]]&lt;=20, "11-20 Years","20+ Years"))))</f>
        <v>3-5 Years</v>
      </c>
    </row>
    <row r="881" spans="1:38" x14ac:dyDescent="0.25">
      <c r="A881" s="2">
        <v>60</v>
      </c>
      <c r="B881" t="s">
        <v>43</v>
      </c>
      <c r="C881" t="s">
        <v>36</v>
      </c>
      <c r="D881" s="2">
        <v>696</v>
      </c>
      <c r="E881" t="s">
        <v>37</v>
      </c>
      <c r="F881" s="2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 s="2">
        <v>5220</v>
      </c>
      <c r="T881">
        <v>10893</v>
      </c>
      <c r="U881">
        <v>0</v>
      </c>
      <c r="V881" t="s">
        <v>42</v>
      </c>
      <c r="W881" t="s">
        <v>35</v>
      </c>
      <c r="X881" s="2">
        <v>18</v>
      </c>
      <c r="Y881">
        <v>3</v>
      </c>
      <c r="Z881">
        <v>2</v>
      </c>
      <c r="AA881">
        <v>80</v>
      </c>
      <c r="AB881">
        <v>1</v>
      </c>
      <c r="AC881" s="2">
        <v>12</v>
      </c>
      <c r="AD881">
        <v>3</v>
      </c>
      <c r="AE881">
        <v>3</v>
      </c>
      <c r="AF881" s="2">
        <v>11</v>
      </c>
      <c r="AG881">
        <v>7</v>
      </c>
      <c r="AH881">
        <v>1</v>
      </c>
      <c r="AI881">
        <v>9</v>
      </c>
      <c r="AJ881" s="2" t="str">
        <f>IF(A881 A881 &lt;= 25, "18-25", IF(A881 &lt;=35, "26-35", IF(A881 &lt;=45, "36-45", IF(Table3[[#This Row],[Age]] &lt;=55, "46-55", "56+"))))</f>
        <v>56+</v>
      </c>
      <c r="AK881" t="str">
        <f t="shared" si="13"/>
        <v>Medium</v>
      </c>
      <c r="AL881" s="2" t="str">
        <f>IF(AF881 &lt; 3, "0-2 Years", IF(AF881 &lt;= 5, "3-5 Years", IF(AF881 &lt;= 10, "6-10 Years",IF(Table3[[#This Row],[Years At Company]]&lt;=20, "11-20 Years","20+ Years"))))</f>
        <v>11-20 Years</v>
      </c>
    </row>
    <row r="882" spans="1:38" x14ac:dyDescent="0.25">
      <c r="A882" s="2">
        <v>32</v>
      </c>
      <c r="B882" t="s">
        <v>43</v>
      </c>
      <c r="C882" t="s">
        <v>44</v>
      </c>
      <c r="D882" s="2">
        <v>116</v>
      </c>
      <c r="E882" t="s">
        <v>45</v>
      </c>
      <c r="F882" s="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 s="2">
        <v>2743</v>
      </c>
      <c r="T882">
        <v>7331</v>
      </c>
      <c r="U882">
        <v>1</v>
      </c>
      <c r="V882" t="s">
        <v>42</v>
      </c>
      <c r="W882" t="s">
        <v>43</v>
      </c>
      <c r="X882" s="2">
        <v>20</v>
      </c>
      <c r="Y882">
        <v>4</v>
      </c>
      <c r="Z882">
        <v>3</v>
      </c>
      <c r="AA882">
        <v>80</v>
      </c>
      <c r="AB882">
        <v>1</v>
      </c>
      <c r="AC882" s="2">
        <v>2</v>
      </c>
      <c r="AD882">
        <v>2</v>
      </c>
      <c r="AE882">
        <v>3</v>
      </c>
      <c r="AF882" s="2">
        <v>2</v>
      </c>
      <c r="AG882">
        <v>2</v>
      </c>
      <c r="AH882">
        <v>2</v>
      </c>
      <c r="AI882">
        <v>2</v>
      </c>
      <c r="AJ882" s="2" t="str">
        <f>IF(A882 A882 &lt;= 25, "18-25", IF(A882 &lt;=35, "26-35", IF(A882 &lt;=45, "36-45", IF(Table3[[#This Row],[Age]] &lt;=55, "46-55", "56+"))))</f>
        <v>26-35</v>
      </c>
      <c r="AK882" t="str">
        <f t="shared" si="13"/>
        <v>Low</v>
      </c>
      <c r="AL882" s="2" t="str">
        <f>IF(AF882 &lt; 3, "0-2 Years", IF(AF882 &lt;= 5, "3-5 Years", IF(AF882 &lt;= 10, "6-10 Years",IF(Table3[[#This Row],[Years At Company]]&lt;=20, "11-20 Years","20+ Years"))))</f>
        <v>0-2 Years</v>
      </c>
    </row>
    <row r="883" spans="1:38" x14ac:dyDescent="0.25">
      <c r="A883" s="2">
        <v>32</v>
      </c>
      <c r="B883" t="s">
        <v>43</v>
      </c>
      <c r="C883" t="s">
        <v>44</v>
      </c>
      <c r="D883" s="2">
        <v>1316</v>
      </c>
      <c r="E883" t="s">
        <v>45</v>
      </c>
      <c r="F883" s="2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 s="2">
        <v>4998</v>
      </c>
      <c r="T883">
        <v>2338</v>
      </c>
      <c r="U883">
        <v>4</v>
      </c>
      <c r="V883" t="s">
        <v>42</v>
      </c>
      <c r="W883" t="s">
        <v>35</v>
      </c>
      <c r="X883" s="2">
        <v>14</v>
      </c>
      <c r="Y883">
        <v>3</v>
      </c>
      <c r="Z883">
        <v>4</v>
      </c>
      <c r="AA883">
        <v>80</v>
      </c>
      <c r="AB883">
        <v>0</v>
      </c>
      <c r="AC883" s="2">
        <v>10</v>
      </c>
      <c r="AD883">
        <v>2</v>
      </c>
      <c r="AE883">
        <v>3</v>
      </c>
      <c r="AF883" s="2">
        <v>8</v>
      </c>
      <c r="AG883">
        <v>7</v>
      </c>
      <c r="AH883">
        <v>0</v>
      </c>
      <c r="AI883">
        <v>7</v>
      </c>
      <c r="AJ883" s="2" t="str">
        <f>IF(A883 A883 &lt;= 25, "18-25", IF(A883 &lt;=35, "26-35", IF(A883 &lt;=45, "36-45", IF(Table3[[#This Row],[Age]] &lt;=55, "46-55", "56+"))))</f>
        <v>26-35</v>
      </c>
      <c r="AK883" t="str">
        <f t="shared" si="13"/>
        <v>Low</v>
      </c>
      <c r="AL883" s="2" t="str">
        <f>IF(AF883 &lt; 3, "0-2 Years", IF(AF883 &lt;= 5, "3-5 Years", IF(AF883 &lt;= 10, "6-10 Years",IF(Table3[[#This Row],[Years At Company]]&lt;=20, "11-20 Years","20+ Years"))))</f>
        <v>6-10 Years</v>
      </c>
    </row>
    <row r="884" spans="1:38" x14ac:dyDescent="0.25">
      <c r="A884" s="2">
        <v>36</v>
      </c>
      <c r="B884" t="s">
        <v>43</v>
      </c>
      <c r="C884" t="s">
        <v>36</v>
      </c>
      <c r="D884" s="2">
        <v>363</v>
      </c>
      <c r="E884" t="s">
        <v>45</v>
      </c>
      <c r="F884" s="2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 s="2">
        <v>10252</v>
      </c>
      <c r="T884">
        <v>4235</v>
      </c>
      <c r="U884">
        <v>2</v>
      </c>
      <c r="V884" t="s">
        <v>42</v>
      </c>
      <c r="W884" t="s">
        <v>35</v>
      </c>
      <c r="X884" s="2">
        <v>21</v>
      </c>
      <c r="Y884">
        <v>4</v>
      </c>
      <c r="Z884">
        <v>3</v>
      </c>
      <c r="AA884">
        <v>80</v>
      </c>
      <c r="AB884">
        <v>1</v>
      </c>
      <c r="AC884" s="2">
        <v>17</v>
      </c>
      <c r="AD884">
        <v>2</v>
      </c>
      <c r="AE884">
        <v>3</v>
      </c>
      <c r="AF884" s="2">
        <v>7</v>
      </c>
      <c r="AG884">
        <v>7</v>
      </c>
      <c r="AH884">
        <v>7</v>
      </c>
      <c r="AI884">
        <v>7</v>
      </c>
      <c r="AJ884" s="2" t="str">
        <f>IF(A884 A884 &lt;= 25, "18-25", IF(A884 &lt;=35, "26-35", IF(A884 &lt;=45, "36-45", IF(Table3[[#This Row],[Age]] &lt;=55, "46-55", "56+"))))</f>
        <v>36-45</v>
      </c>
      <c r="AK884" t="str">
        <f t="shared" si="13"/>
        <v>High</v>
      </c>
      <c r="AL884" s="2" t="str">
        <f>IF(AF884 &lt; 3, "0-2 Years", IF(AF884 &lt;= 5, "3-5 Years", IF(AF884 &lt;= 10, "6-10 Years",IF(Table3[[#This Row],[Years At Company]]&lt;=20, "11-20 Years","20+ Years"))))</f>
        <v>6-10 Years</v>
      </c>
    </row>
    <row r="885" spans="1:38" x14ac:dyDescent="0.25">
      <c r="A885" s="2">
        <v>33</v>
      </c>
      <c r="B885" t="s">
        <v>43</v>
      </c>
      <c r="C885" t="s">
        <v>36</v>
      </c>
      <c r="D885" s="2">
        <v>117</v>
      </c>
      <c r="E885" t="s">
        <v>45</v>
      </c>
      <c r="F885" s="2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 s="2">
        <v>2781</v>
      </c>
      <c r="T885">
        <v>6311</v>
      </c>
      <c r="U885">
        <v>0</v>
      </c>
      <c r="V885" t="s">
        <v>42</v>
      </c>
      <c r="W885" t="s">
        <v>43</v>
      </c>
      <c r="X885" s="2">
        <v>13</v>
      </c>
      <c r="Y885">
        <v>3</v>
      </c>
      <c r="Z885">
        <v>2</v>
      </c>
      <c r="AA885">
        <v>80</v>
      </c>
      <c r="AB885">
        <v>1</v>
      </c>
      <c r="AC885" s="2">
        <v>15</v>
      </c>
      <c r="AD885">
        <v>5</v>
      </c>
      <c r="AE885">
        <v>3</v>
      </c>
      <c r="AF885" s="2">
        <v>14</v>
      </c>
      <c r="AG885">
        <v>10</v>
      </c>
      <c r="AH885">
        <v>4</v>
      </c>
      <c r="AI885">
        <v>10</v>
      </c>
      <c r="AJ885" s="2" t="str">
        <f>IF(A885 A885 &lt;= 25, "18-25", IF(A885 &lt;=35, "26-35", IF(A885 &lt;=45, "36-45", IF(Table3[[#This Row],[Age]] &lt;=55, "46-55", "56+"))))</f>
        <v>26-35</v>
      </c>
      <c r="AK885" t="str">
        <f t="shared" si="13"/>
        <v>Low</v>
      </c>
      <c r="AL885" s="2" t="str">
        <f>IF(AF885 &lt; 3, "0-2 Years", IF(AF885 &lt;= 5, "3-5 Years", IF(AF885 &lt;= 10, "6-10 Years",IF(Table3[[#This Row],[Years At Company]]&lt;=20, "11-20 Years","20+ Years"))))</f>
        <v>11-20 Years</v>
      </c>
    </row>
    <row r="886" spans="1:38" x14ac:dyDescent="0.25">
      <c r="A886" s="2">
        <v>40</v>
      </c>
      <c r="B886" t="s">
        <v>43</v>
      </c>
      <c r="C886" t="s">
        <v>36</v>
      </c>
      <c r="D886" s="2">
        <v>107</v>
      </c>
      <c r="E886" t="s">
        <v>37</v>
      </c>
      <c r="F886" s="2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 s="2">
        <v>6852</v>
      </c>
      <c r="T886">
        <v>11591</v>
      </c>
      <c r="U886">
        <v>7</v>
      </c>
      <c r="V886" t="s">
        <v>42</v>
      </c>
      <c r="W886" t="s">
        <v>43</v>
      </c>
      <c r="X886" s="2">
        <v>12</v>
      </c>
      <c r="Y886">
        <v>3</v>
      </c>
      <c r="Z886">
        <v>2</v>
      </c>
      <c r="AA886">
        <v>80</v>
      </c>
      <c r="AB886">
        <v>1</v>
      </c>
      <c r="AC886" s="2">
        <v>7</v>
      </c>
      <c r="AD886">
        <v>2</v>
      </c>
      <c r="AE886">
        <v>4</v>
      </c>
      <c r="AF886" s="2">
        <v>5</v>
      </c>
      <c r="AG886">
        <v>1</v>
      </c>
      <c r="AH886">
        <v>1</v>
      </c>
      <c r="AI886">
        <v>3</v>
      </c>
      <c r="AJ886" s="2" t="str">
        <f>IF(A886 A886 &lt;= 25, "18-25", IF(A886 &lt;=35, "26-35", IF(A886 &lt;=45, "36-45", IF(Table3[[#This Row],[Age]] &lt;=55, "46-55", "56+"))))</f>
        <v>36-45</v>
      </c>
      <c r="AK886" t="str">
        <f t="shared" si="13"/>
        <v>Medium</v>
      </c>
      <c r="AL886" s="2" t="str">
        <f>IF(AF886 &lt; 3, "0-2 Years", IF(AF886 &lt;= 5, "3-5 Years", IF(AF886 &lt;= 10, "6-10 Years",IF(Table3[[#This Row],[Years At Company]]&lt;=20, "11-20 Years","20+ Years"))))</f>
        <v>3-5 Years</v>
      </c>
    </row>
    <row r="887" spans="1:38" x14ac:dyDescent="0.25">
      <c r="A887" s="2">
        <v>25</v>
      </c>
      <c r="B887" t="s">
        <v>43</v>
      </c>
      <c r="C887" t="s">
        <v>36</v>
      </c>
      <c r="D887" s="2">
        <v>1356</v>
      </c>
      <c r="E887" t="s">
        <v>37</v>
      </c>
      <c r="F887" s="2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 s="2">
        <v>4950</v>
      </c>
      <c r="T887">
        <v>20623</v>
      </c>
      <c r="U887">
        <v>0</v>
      </c>
      <c r="V887" t="s">
        <v>42</v>
      </c>
      <c r="W887" t="s">
        <v>43</v>
      </c>
      <c r="X887" s="2">
        <v>14</v>
      </c>
      <c r="Y887">
        <v>3</v>
      </c>
      <c r="Z887">
        <v>2</v>
      </c>
      <c r="AA887">
        <v>80</v>
      </c>
      <c r="AB887">
        <v>0</v>
      </c>
      <c r="AC887" s="2">
        <v>5</v>
      </c>
      <c r="AD887">
        <v>4</v>
      </c>
      <c r="AE887">
        <v>3</v>
      </c>
      <c r="AF887" s="2">
        <v>4</v>
      </c>
      <c r="AG887">
        <v>3</v>
      </c>
      <c r="AH887">
        <v>1</v>
      </c>
      <c r="AI887">
        <v>1</v>
      </c>
      <c r="AJ887" s="2" t="str">
        <f>IF(A887 A887 &lt;= 25, "18-25", IF(A887 &lt;=35, "26-35", IF(A887 &lt;=45, "36-45", IF(Table3[[#This Row],[Age]] &lt;=55, "46-55", "56+"))))</f>
        <v>18-25</v>
      </c>
      <c r="AK887" t="str">
        <f t="shared" si="13"/>
        <v>Low</v>
      </c>
      <c r="AL887" s="2" t="str">
        <f>IF(AF887 &lt; 3, "0-2 Years", IF(AF887 &lt;= 5, "3-5 Years", IF(AF887 &lt;= 10, "6-10 Years",IF(Table3[[#This Row],[Years At Company]]&lt;=20, "11-20 Years","20+ Years"))))</f>
        <v>3-5 Years</v>
      </c>
    </row>
    <row r="888" spans="1:38" x14ac:dyDescent="0.25">
      <c r="A888" s="2">
        <v>30</v>
      </c>
      <c r="B888" t="s">
        <v>43</v>
      </c>
      <c r="C888" t="s">
        <v>36</v>
      </c>
      <c r="D888" s="2">
        <v>1465</v>
      </c>
      <c r="E888" t="s">
        <v>45</v>
      </c>
      <c r="F888" s="2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 s="2">
        <v>3579</v>
      </c>
      <c r="T888">
        <v>9369</v>
      </c>
      <c r="U888">
        <v>0</v>
      </c>
      <c r="V888" t="s">
        <v>42</v>
      </c>
      <c r="W888" t="s">
        <v>35</v>
      </c>
      <c r="X888" s="2">
        <v>21</v>
      </c>
      <c r="Y888">
        <v>4</v>
      </c>
      <c r="Z888">
        <v>1</v>
      </c>
      <c r="AA888">
        <v>80</v>
      </c>
      <c r="AB888">
        <v>1</v>
      </c>
      <c r="AC888" s="2">
        <v>12</v>
      </c>
      <c r="AD888">
        <v>2</v>
      </c>
      <c r="AE888">
        <v>3</v>
      </c>
      <c r="AF888" s="2">
        <v>11</v>
      </c>
      <c r="AG888">
        <v>9</v>
      </c>
      <c r="AH888">
        <v>5</v>
      </c>
      <c r="AI888">
        <v>7</v>
      </c>
      <c r="AJ888" s="2" t="str">
        <f>IF(A888 A888 &lt;= 25, "18-25", IF(A888 &lt;=35, "26-35", IF(A888 &lt;=45, "36-45", IF(Table3[[#This Row],[Age]] &lt;=55, "46-55", "56+"))))</f>
        <v>26-35</v>
      </c>
      <c r="AK888" t="str">
        <f t="shared" si="13"/>
        <v>Low</v>
      </c>
      <c r="AL888" s="2" t="str">
        <f>IF(AF888 &lt; 3, "0-2 Years", IF(AF888 &lt;= 5, "3-5 Years", IF(AF888 &lt;= 10, "6-10 Years",IF(Table3[[#This Row],[Years At Company]]&lt;=20, "11-20 Years","20+ Years"))))</f>
        <v>11-20 Years</v>
      </c>
    </row>
    <row r="889" spans="1:38" x14ac:dyDescent="0.25">
      <c r="A889" s="2">
        <v>42</v>
      </c>
      <c r="B889" t="s">
        <v>43</v>
      </c>
      <c r="C889" t="s">
        <v>44</v>
      </c>
      <c r="D889" s="2">
        <v>458</v>
      </c>
      <c r="E889" t="s">
        <v>45</v>
      </c>
      <c r="F889" s="2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 s="2">
        <v>13191</v>
      </c>
      <c r="T889">
        <v>23281</v>
      </c>
      <c r="U889">
        <v>3</v>
      </c>
      <c r="V889" t="s">
        <v>42</v>
      </c>
      <c r="W889" t="s">
        <v>35</v>
      </c>
      <c r="X889" s="2">
        <v>17</v>
      </c>
      <c r="Y889">
        <v>3</v>
      </c>
      <c r="Z889">
        <v>3</v>
      </c>
      <c r="AA889">
        <v>80</v>
      </c>
      <c r="AB889">
        <v>0</v>
      </c>
      <c r="AC889" s="2">
        <v>20</v>
      </c>
      <c r="AD889">
        <v>6</v>
      </c>
      <c r="AE889">
        <v>3</v>
      </c>
      <c r="AF889" s="2">
        <v>1</v>
      </c>
      <c r="AG889">
        <v>0</v>
      </c>
      <c r="AH889">
        <v>0</v>
      </c>
      <c r="AI889">
        <v>0</v>
      </c>
      <c r="AJ889" s="2" t="str">
        <f>IF(A889 A889 &lt;= 25, "18-25", IF(A889 &lt;=35, "26-35", IF(A889 &lt;=45, "36-45", IF(Table3[[#This Row],[Age]] &lt;=55, "46-55", "56+"))))</f>
        <v>36-45</v>
      </c>
      <c r="AK889" t="str">
        <f t="shared" si="13"/>
        <v>High</v>
      </c>
      <c r="AL889" s="2" t="str">
        <f>IF(AF889 &lt; 3, "0-2 Years", IF(AF889 &lt;= 5, "3-5 Years", IF(AF889 &lt;= 10, "6-10 Years",IF(Table3[[#This Row],[Years At Company]]&lt;=20, "11-20 Years","20+ Years"))))</f>
        <v>0-2 Years</v>
      </c>
    </row>
    <row r="890" spans="1:38" x14ac:dyDescent="0.25">
      <c r="A890" s="2">
        <v>35</v>
      </c>
      <c r="B890" t="s">
        <v>43</v>
      </c>
      <c r="C890" t="s">
        <v>55</v>
      </c>
      <c r="D890" s="2">
        <v>1212</v>
      </c>
      <c r="E890" t="s">
        <v>37</v>
      </c>
      <c r="F890" s="2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 s="2">
        <v>10377</v>
      </c>
      <c r="T890">
        <v>13755</v>
      </c>
      <c r="U890">
        <v>4</v>
      </c>
      <c r="V890" t="s">
        <v>42</v>
      </c>
      <c r="W890" t="s">
        <v>35</v>
      </c>
      <c r="X890" s="2">
        <v>11</v>
      </c>
      <c r="Y890">
        <v>3</v>
      </c>
      <c r="Z890">
        <v>2</v>
      </c>
      <c r="AA890">
        <v>80</v>
      </c>
      <c r="AB890">
        <v>1</v>
      </c>
      <c r="AC890" s="2">
        <v>16</v>
      </c>
      <c r="AD890">
        <v>6</v>
      </c>
      <c r="AE890">
        <v>2</v>
      </c>
      <c r="AF890" s="2">
        <v>13</v>
      </c>
      <c r="AG890">
        <v>2</v>
      </c>
      <c r="AH890">
        <v>4</v>
      </c>
      <c r="AI890">
        <v>12</v>
      </c>
      <c r="AJ890" s="2" t="str">
        <f>IF(A890 A890 &lt;= 25, "18-25", IF(A890 &lt;=35, "26-35", IF(A890 &lt;=45, "36-45", IF(Table3[[#This Row],[Age]] &lt;=55, "46-55", "56+"))))</f>
        <v>26-35</v>
      </c>
      <c r="AK890" t="str">
        <f t="shared" si="13"/>
        <v>High</v>
      </c>
      <c r="AL890" s="2" t="str">
        <f>IF(AF890 &lt; 3, "0-2 Years", IF(AF890 &lt;= 5, "3-5 Years", IF(AF890 &lt;= 10, "6-10 Years",IF(Table3[[#This Row],[Years At Company]]&lt;=20, "11-20 Years","20+ Years"))))</f>
        <v>11-20 Years</v>
      </c>
    </row>
    <row r="891" spans="1:38" x14ac:dyDescent="0.25">
      <c r="A891" s="2">
        <v>27</v>
      </c>
      <c r="B891" t="s">
        <v>43</v>
      </c>
      <c r="C891" t="s">
        <v>36</v>
      </c>
      <c r="D891" s="2">
        <v>1103</v>
      </c>
      <c r="E891" t="s">
        <v>45</v>
      </c>
      <c r="F891" s="2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 s="2">
        <v>2235</v>
      </c>
      <c r="T891">
        <v>14377</v>
      </c>
      <c r="U891">
        <v>1</v>
      </c>
      <c r="V891" t="s">
        <v>42</v>
      </c>
      <c r="W891" t="s">
        <v>35</v>
      </c>
      <c r="X891" s="2">
        <v>14</v>
      </c>
      <c r="Y891">
        <v>3</v>
      </c>
      <c r="Z891">
        <v>4</v>
      </c>
      <c r="AA891">
        <v>80</v>
      </c>
      <c r="AB891">
        <v>2</v>
      </c>
      <c r="AC891" s="2">
        <v>9</v>
      </c>
      <c r="AD891">
        <v>3</v>
      </c>
      <c r="AE891">
        <v>2</v>
      </c>
      <c r="AF891" s="2">
        <v>9</v>
      </c>
      <c r="AG891">
        <v>7</v>
      </c>
      <c r="AH891">
        <v>6</v>
      </c>
      <c r="AI891">
        <v>8</v>
      </c>
      <c r="AJ891" s="2" t="str">
        <f>IF(A891 A891 &lt;= 25, "18-25", IF(A891 &lt;=35, "26-35", IF(A891 &lt;=45, "36-45", IF(Table3[[#This Row],[Age]] &lt;=55, "46-55", "56+"))))</f>
        <v>26-35</v>
      </c>
      <c r="AK891" t="str">
        <f t="shared" si="13"/>
        <v>Low</v>
      </c>
      <c r="AL891" s="2" t="str">
        <f>IF(AF891 &lt; 3, "0-2 Years", IF(AF891 &lt;= 5, "3-5 Years", IF(AF891 &lt;= 10, "6-10 Years",IF(Table3[[#This Row],[Years At Company]]&lt;=20, "11-20 Years","20+ Years"))))</f>
        <v>6-10 Years</v>
      </c>
    </row>
    <row r="892" spans="1:38" x14ac:dyDescent="0.25">
      <c r="A892" s="2">
        <v>54</v>
      </c>
      <c r="B892" t="s">
        <v>43</v>
      </c>
      <c r="C892" t="s">
        <v>44</v>
      </c>
      <c r="D892" s="2">
        <v>966</v>
      </c>
      <c r="E892" t="s">
        <v>45</v>
      </c>
      <c r="F892" s="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 s="2">
        <v>10502</v>
      </c>
      <c r="T892">
        <v>9659</v>
      </c>
      <c r="U892">
        <v>7</v>
      </c>
      <c r="V892" t="s">
        <v>42</v>
      </c>
      <c r="W892" t="s">
        <v>43</v>
      </c>
      <c r="X892" s="2">
        <v>17</v>
      </c>
      <c r="Y892">
        <v>3</v>
      </c>
      <c r="Z892">
        <v>1</v>
      </c>
      <c r="AA892">
        <v>80</v>
      </c>
      <c r="AB892">
        <v>1</v>
      </c>
      <c r="AC892" s="2">
        <v>33</v>
      </c>
      <c r="AD892">
        <v>2</v>
      </c>
      <c r="AE892">
        <v>1</v>
      </c>
      <c r="AF892" s="2">
        <v>5</v>
      </c>
      <c r="AG892">
        <v>4</v>
      </c>
      <c r="AH892">
        <v>1</v>
      </c>
      <c r="AI892">
        <v>4</v>
      </c>
      <c r="AJ892" s="2" t="str">
        <f>IF(A892 A892 &lt;= 25, "18-25", IF(A892 &lt;=35, "26-35", IF(A892 &lt;=45, "36-45", IF(Table3[[#This Row],[Age]] &lt;=55, "46-55", "56+"))))</f>
        <v>46-55</v>
      </c>
      <c r="AK892" t="str">
        <f t="shared" si="13"/>
        <v>High</v>
      </c>
      <c r="AL892" s="2" t="str">
        <f>IF(AF892 &lt; 3, "0-2 Years", IF(AF892 &lt;= 5, "3-5 Years", IF(AF892 &lt;= 10, "6-10 Years",IF(Table3[[#This Row],[Years At Company]]&lt;=20, "11-20 Years","20+ Years"))))</f>
        <v>3-5 Years</v>
      </c>
    </row>
    <row r="893" spans="1:38" x14ac:dyDescent="0.25">
      <c r="A893" s="2">
        <v>44</v>
      </c>
      <c r="B893" t="s">
        <v>43</v>
      </c>
      <c r="C893" t="s">
        <v>36</v>
      </c>
      <c r="D893" s="2">
        <v>1117</v>
      </c>
      <c r="E893" t="s">
        <v>45</v>
      </c>
      <c r="F893" s="2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 s="2">
        <v>2011</v>
      </c>
      <c r="T893">
        <v>19982</v>
      </c>
      <c r="U893">
        <v>1</v>
      </c>
      <c r="V893" t="s">
        <v>42</v>
      </c>
      <c r="W893" t="s">
        <v>43</v>
      </c>
      <c r="X893" s="2">
        <v>13</v>
      </c>
      <c r="Y893">
        <v>3</v>
      </c>
      <c r="Z893">
        <v>4</v>
      </c>
      <c r="AA893">
        <v>80</v>
      </c>
      <c r="AB893">
        <v>1</v>
      </c>
      <c r="AC893" s="2">
        <v>10</v>
      </c>
      <c r="AD893">
        <v>5</v>
      </c>
      <c r="AE893">
        <v>3</v>
      </c>
      <c r="AF893" s="2">
        <v>10</v>
      </c>
      <c r="AG893">
        <v>5</v>
      </c>
      <c r="AH893">
        <v>7</v>
      </c>
      <c r="AI893">
        <v>7</v>
      </c>
      <c r="AJ893" s="2" t="str">
        <f>IF(A893 A893 &lt;= 25, "18-25", IF(A893 &lt;=35, "26-35", IF(A893 &lt;=45, "36-45", IF(Table3[[#This Row],[Age]] &lt;=55, "46-55", "56+"))))</f>
        <v>36-45</v>
      </c>
      <c r="AK893" t="str">
        <f t="shared" si="13"/>
        <v>Low</v>
      </c>
      <c r="AL893" s="2" t="str">
        <f>IF(AF893 &lt; 3, "0-2 Years", IF(AF893 &lt;= 5, "3-5 Years", IF(AF893 &lt;= 10, "6-10 Years",IF(Table3[[#This Row],[Years At Company]]&lt;=20, "11-20 Years","20+ Years"))))</f>
        <v>6-10 Years</v>
      </c>
    </row>
    <row r="894" spans="1:38" x14ac:dyDescent="0.25">
      <c r="A894" s="2">
        <v>19</v>
      </c>
      <c r="B894" t="s">
        <v>35</v>
      </c>
      <c r="C894" t="s">
        <v>55</v>
      </c>
      <c r="D894" s="2">
        <v>504</v>
      </c>
      <c r="E894" t="s">
        <v>45</v>
      </c>
      <c r="F894" s="2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 s="2">
        <v>1859</v>
      </c>
      <c r="T894">
        <v>6148</v>
      </c>
      <c r="U894">
        <v>1</v>
      </c>
      <c r="V894" t="s">
        <v>42</v>
      </c>
      <c r="W894" t="s">
        <v>35</v>
      </c>
      <c r="X894" s="2">
        <v>25</v>
      </c>
      <c r="Y894">
        <v>4</v>
      </c>
      <c r="Z894">
        <v>2</v>
      </c>
      <c r="AA894">
        <v>80</v>
      </c>
      <c r="AB894">
        <v>0</v>
      </c>
      <c r="AC894" s="2">
        <v>1</v>
      </c>
      <c r="AD894">
        <v>2</v>
      </c>
      <c r="AE894">
        <v>4</v>
      </c>
      <c r="AF894" s="2">
        <v>1</v>
      </c>
      <c r="AG894">
        <v>1</v>
      </c>
      <c r="AH894">
        <v>0</v>
      </c>
      <c r="AI894">
        <v>0</v>
      </c>
      <c r="AJ894" s="2" t="str">
        <f>IF(A894 A894 &lt;= 25, "18-25", IF(A894 &lt;=35, "26-35", IF(A894 &lt;=45, "36-45", IF(Table3[[#This Row],[Age]] &lt;=55, "46-55", "56+"))))</f>
        <v>18-25</v>
      </c>
      <c r="AK894" t="str">
        <f t="shared" si="13"/>
        <v>Low</v>
      </c>
      <c r="AL894" s="2" t="str">
        <f>IF(AF894 &lt; 3, "0-2 Years", IF(AF894 &lt;= 5, "3-5 Years", IF(AF894 &lt;= 10, "6-10 Years",IF(Table3[[#This Row],[Years At Company]]&lt;=20, "11-20 Years","20+ Years"))))</f>
        <v>0-2 Years</v>
      </c>
    </row>
    <row r="895" spans="1:38" x14ac:dyDescent="0.25">
      <c r="A895" s="2">
        <v>29</v>
      </c>
      <c r="B895" t="s">
        <v>43</v>
      </c>
      <c r="C895" t="s">
        <v>36</v>
      </c>
      <c r="D895" s="2">
        <v>1010</v>
      </c>
      <c r="E895" t="s">
        <v>45</v>
      </c>
      <c r="F895" s="2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 s="2">
        <v>3760</v>
      </c>
      <c r="T895">
        <v>5598</v>
      </c>
      <c r="U895">
        <v>1</v>
      </c>
      <c r="V895" t="s">
        <v>42</v>
      </c>
      <c r="W895" t="s">
        <v>43</v>
      </c>
      <c r="X895" s="2">
        <v>15</v>
      </c>
      <c r="Y895">
        <v>3</v>
      </c>
      <c r="Z895">
        <v>1</v>
      </c>
      <c r="AA895">
        <v>80</v>
      </c>
      <c r="AB895">
        <v>3</v>
      </c>
      <c r="AC895" s="2">
        <v>3</v>
      </c>
      <c r="AD895">
        <v>5</v>
      </c>
      <c r="AE895">
        <v>3</v>
      </c>
      <c r="AF895" s="2">
        <v>3</v>
      </c>
      <c r="AG895">
        <v>2</v>
      </c>
      <c r="AH895">
        <v>1</v>
      </c>
      <c r="AI895">
        <v>2</v>
      </c>
      <c r="AJ895" s="2" t="str">
        <f>IF(A895 A895 &lt;= 25, "18-25", IF(A895 &lt;=35, "26-35", IF(A895 &lt;=45, "36-45", IF(Table3[[#This Row],[Age]] &lt;=55, "46-55", "56+"))))</f>
        <v>26-35</v>
      </c>
      <c r="AK895" t="str">
        <f t="shared" si="13"/>
        <v>Low</v>
      </c>
      <c r="AL895" s="2" t="str">
        <f>IF(AF895 &lt; 3, "0-2 Years", IF(AF895 &lt;= 5, "3-5 Years", IF(AF895 &lt;= 10, "6-10 Years",IF(Table3[[#This Row],[Years At Company]]&lt;=20, "11-20 Years","20+ Years"))))</f>
        <v>3-5 Years</v>
      </c>
    </row>
    <row r="896" spans="1:38" x14ac:dyDescent="0.25">
      <c r="A896" s="2">
        <v>54</v>
      </c>
      <c r="B896" t="s">
        <v>43</v>
      </c>
      <c r="C896" t="s">
        <v>36</v>
      </c>
      <c r="D896" s="2">
        <v>685</v>
      </c>
      <c r="E896" t="s">
        <v>45</v>
      </c>
      <c r="F896" s="2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 s="2">
        <v>17779</v>
      </c>
      <c r="T896">
        <v>23474</v>
      </c>
      <c r="U896">
        <v>3</v>
      </c>
      <c r="V896" t="s">
        <v>42</v>
      </c>
      <c r="W896" t="s">
        <v>43</v>
      </c>
      <c r="X896" s="2">
        <v>14</v>
      </c>
      <c r="Y896">
        <v>3</v>
      </c>
      <c r="Z896">
        <v>1</v>
      </c>
      <c r="AA896">
        <v>80</v>
      </c>
      <c r="AB896">
        <v>0</v>
      </c>
      <c r="AC896" s="2">
        <v>36</v>
      </c>
      <c r="AD896">
        <v>2</v>
      </c>
      <c r="AE896">
        <v>3</v>
      </c>
      <c r="AF896" s="2">
        <v>10</v>
      </c>
      <c r="AG896">
        <v>9</v>
      </c>
      <c r="AH896">
        <v>0</v>
      </c>
      <c r="AI896">
        <v>9</v>
      </c>
      <c r="AJ896" s="2" t="str">
        <f>IF(A896 A896 &lt;= 25, "18-25", IF(A896 &lt;=35, "26-35", IF(A896 &lt;=45, "36-45", IF(Table3[[#This Row],[Age]] &lt;=55, "46-55", "56+"))))</f>
        <v>46-55</v>
      </c>
      <c r="AK896" t="str">
        <f t="shared" si="13"/>
        <v>High</v>
      </c>
      <c r="AL896" s="2" t="str">
        <f>IF(AF896 &lt; 3, "0-2 Years", IF(AF896 &lt;= 5, "3-5 Years", IF(AF896 &lt;= 10, "6-10 Years",IF(Table3[[#This Row],[Years At Company]]&lt;=20, "11-20 Years","20+ Years"))))</f>
        <v>6-10 Years</v>
      </c>
    </row>
    <row r="897" spans="1:38" x14ac:dyDescent="0.25">
      <c r="A897" s="2">
        <v>31</v>
      </c>
      <c r="B897" t="s">
        <v>43</v>
      </c>
      <c r="C897" t="s">
        <v>36</v>
      </c>
      <c r="D897" s="2">
        <v>1332</v>
      </c>
      <c r="E897" t="s">
        <v>45</v>
      </c>
      <c r="F897" s="2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 s="2">
        <v>6833</v>
      </c>
      <c r="T897">
        <v>17089</v>
      </c>
      <c r="U897">
        <v>1</v>
      </c>
      <c r="V897" t="s">
        <v>42</v>
      </c>
      <c r="W897" t="s">
        <v>35</v>
      </c>
      <c r="X897" s="2">
        <v>12</v>
      </c>
      <c r="Y897">
        <v>3</v>
      </c>
      <c r="Z897">
        <v>4</v>
      </c>
      <c r="AA897">
        <v>80</v>
      </c>
      <c r="AB897">
        <v>0</v>
      </c>
      <c r="AC897" s="2">
        <v>6</v>
      </c>
      <c r="AD897">
        <v>2</v>
      </c>
      <c r="AE897">
        <v>2</v>
      </c>
      <c r="AF897" s="2">
        <v>6</v>
      </c>
      <c r="AG897">
        <v>5</v>
      </c>
      <c r="AH897">
        <v>0</v>
      </c>
      <c r="AI897">
        <v>1</v>
      </c>
      <c r="AJ897" s="2" t="str">
        <f>IF(A897 A897 &lt;= 25, "18-25", IF(A897 &lt;=35, "26-35", IF(A897 &lt;=45, "36-45", IF(Table3[[#This Row],[Age]] &lt;=55, "46-55", "56+"))))</f>
        <v>26-35</v>
      </c>
      <c r="AK897" t="str">
        <f t="shared" si="13"/>
        <v>Medium</v>
      </c>
      <c r="AL897" s="2" t="str">
        <f>IF(AF897 &lt; 3, "0-2 Years", IF(AF897 &lt;= 5, "3-5 Years", IF(AF897 &lt;= 10, "6-10 Years",IF(Table3[[#This Row],[Years At Company]]&lt;=20, "11-20 Years","20+ Years"))))</f>
        <v>6-10 Years</v>
      </c>
    </row>
    <row r="898" spans="1:38" x14ac:dyDescent="0.25">
      <c r="A898" s="2">
        <v>31</v>
      </c>
      <c r="B898" t="s">
        <v>43</v>
      </c>
      <c r="C898" t="s">
        <v>36</v>
      </c>
      <c r="D898" s="2">
        <v>1062</v>
      </c>
      <c r="E898" t="s">
        <v>45</v>
      </c>
      <c r="F898" s="2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 s="2">
        <v>6812</v>
      </c>
      <c r="T898">
        <v>17198</v>
      </c>
      <c r="U898">
        <v>1</v>
      </c>
      <c r="V898" t="s">
        <v>42</v>
      </c>
      <c r="W898" t="s">
        <v>43</v>
      </c>
      <c r="X898" s="2">
        <v>19</v>
      </c>
      <c r="Y898">
        <v>3</v>
      </c>
      <c r="Z898">
        <v>2</v>
      </c>
      <c r="AA898">
        <v>80</v>
      </c>
      <c r="AB898">
        <v>0</v>
      </c>
      <c r="AC898" s="2">
        <v>10</v>
      </c>
      <c r="AD898">
        <v>2</v>
      </c>
      <c r="AE898">
        <v>3</v>
      </c>
      <c r="AF898" s="2">
        <v>10</v>
      </c>
      <c r="AG898">
        <v>9</v>
      </c>
      <c r="AH898">
        <v>1</v>
      </c>
      <c r="AI898">
        <v>8</v>
      </c>
      <c r="AJ898" s="2" t="str">
        <f>IF(A898 A898 &lt;= 25, "18-25", IF(A898 &lt;=35, "26-35", IF(A898 &lt;=45, "36-45", IF(Table3[[#This Row],[Age]] &lt;=55, "46-55", "56+"))))</f>
        <v>26-35</v>
      </c>
      <c r="AK898" t="str">
        <f t="shared" ref="AK898:AK961" si="14">IF(S898 &lt; 5000, "Low",IF(S898 &lt;=9999, "Medium", "High"))</f>
        <v>Medium</v>
      </c>
      <c r="AL898" s="2" t="str">
        <f>IF(AF898 &lt; 3, "0-2 Years", IF(AF898 &lt;= 5, "3-5 Years", IF(AF898 &lt;= 10, "6-10 Years",IF(Table3[[#This Row],[Years At Company]]&lt;=20, "11-20 Years","20+ Years"))))</f>
        <v>6-10 Years</v>
      </c>
    </row>
    <row r="899" spans="1:38" x14ac:dyDescent="0.25">
      <c r="A899" s="2">
        <v>59</v>
      </c>
      <c r="B899" t="s">
        <v>43</v>
      </c>
      <c r="C899" t="s">
        <v>36</v>
      </c>
      <c r="D899" s="2">
        <v>326</v>
      </c>
      <c r="E899" t="s">
        <v>37</v>
      </c>
      <c r="F899" s="2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 s="2">
        <v>5171</v>
      </c>
      <c r="T899">
        <v>16490</v>
      </c>
      <c r="U899">
        <v>5</v>
      </c>
      <c r="V899" t="s">
        <v>42</v>
      </c>
      <c r="W899" t="s">
        <v>43</v>
      </c>
      <c r="X899" s="2">
        <v>17</v>
      </c>
      <c r="Y899">
        <v>3</v>
      </c>
      <c r="Z899">
        <v>4</v>
      </c>
      <c r="AA899">
        <v>80</v>
      </c>
      <c r="AB899">
        <v>0</v>
      </c>
      <c r="AC899" s="2">
        <v>13</v>
      </c>
      <c r="AD899">
        <v>2</v>
      </c>
      <c r="AE899">
        <v>3</v>
      </c>
      <c r="AF899" s="2">
        <v>6</v>
      </c>
      <c r="AG899">
        <v>1</v>
      </c>
      <c r="AH899">
        <v>0</v>
      </c>
      <c r="AI899">
        <v>5</v>
      </c>
      <c r="AJ899" s="2" t="str">
        <f>IF(A899 A899 &lt;= 25, "18-25", IF(A899 &lt;=35, "26-35", IF(A899 &lt;=45, "36-45", IF(Table3[[#This Row],[Age]] &lt;=55, "46-55", "56+"))))</f>
        <v>56+</v>
      </c>
      <c r="AK899" t="str">
        <f t="shared" si="14"/>
        <v>Medium</v>
      </c>
      <c r="AL899" s="2" t="str">
        <f>IF(AF899 &lt; 3, "0-2 Years", IF(AF899 &lt;= 5, "3-5 Years", IF(AF899 &lt;= 10, "6-10 Years",IF(Table3[[#This Row],[Years At Company]]&lt;=20, "11-20 Years","20+ Years"))))</f>
        <v>6-10 Years</v>
      </c>
    </row>
    <row r="900" spans="1:38" x14ac:dyDescent="0.25">
      <c r="A900" s="2">
        <v>43</v>
      </c>
      <c r="B900" t="s">
        <v>43</v>
      </c>
      <c r="C900" t="s">
        <v>36</v>
      </c>
      <c r="D900" s="2">
        <v>920</v>
      </c>
      <c r="E900" t="s">
        <v>45</v>
      </c>
      <c r="F900" s="2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 s="2">
        <v>19740</v>
      </c>
      <c r="T900">
        <v>18625</v>
      </c>
      <c r="U900">
        <v>3</v>
      </c>
      <c r="V900" t="s">
        <v>42</v>
      </c>
      <c r="W900" t="s">
        <v>43</v>
      </c>
      <c r="X900" s="2">
        <v>14</v>
      </c>
      <c r="Y900">
        <v>3</v>
      </c>
      <c r="Z900">
        <v>2</v>
      </c>
      <c r="AA900">
        <v>80</v>
      </c>
      <c r="AB900">
        <v>1</v>
      </c>
      <c r="AC900" s="2">
        <v>25</v>
      </c>
      <c r="AD900">
        <v>2</v>
      </c>
      <c r="AE900">
        <v>3</v>
      </c>
      <c r="AF900" s="2">
        <v>8</v>
      </c>
      <c r="AG900">
        <v>7</v>
      </c>
      <c r="AH900">
        <v>0</v>
      </c>
      <c r="AI900">
        <v>7</v>
      </c>
      <c r="AJ900" s="2" t="str">
        <f>IF(A900 A900 &lt;= 25, "18-25", IF(A900 &lt;=35, "26-35", IF(A900 &lt;=45, "36-45", IF(Table3[[#This Row],[Age]] &lt;=55, "46-55", "56+"))))</f>
        <v>36-45</v>
      </c>
      <c r="AK900" t="str">
        <f t="shared" si="14"/>
        <v>High</v>
      </c>
      <c r="AL900" s="2" t="str">
        <f>IF(AF900 &lt; 3, "0-2 Years", IF(AF900 &lt;= 5, "3-5 Years", IF(AF900 &lt;= 10, "6-10 Years",IF(Table3[[#This Row],[Years At Company]]&lt;=20, "11-20 Years","20+ Years"))))</f>
        <v>6-10 Years</v>
      </c>
    </row>
    <row r="901" spans="1:38" x14ac:dyDescent="0.25">
      <c r="A901" s="2">
        <v>49</v>
      </c>
      <c r="B901" t="s">
        <v>43</v>
      </c>
      <c r="C901" t="s">
        <v>36</v>
      </c>
      <c r="D901" s="2">
        <v>1098</v>
      </c>
      <c r="E901" t="s">
        <v>45</v>
      </c>
      <c r="F901" s="2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 s="2">
        <v>18711</v>
      </c>
      <c r="T901">
        <v>12124</v>
      </c>
      <c r="U901">
        <v>2</v>
      </c>
      <c r="V901" t="s">
        <v>42</v>
      </c>
      <c r="W901" t="s">
        <v>43</v>
      </c>
      <c r="X901" s="2">
        <v>13</v>
      </c>
      <c r="Y901">
        <v>3</v>
      </c>
      <c r="Z901">
        <v>3</v>
      </c>
      <c r="AA901">
        <v>80</v>
      </c>
      <c r="AB901">
        <v>1</v>
      </c>
      <c r="AC901" s="2">
        <v>23</v>
      </c>
      <c r="AD901">
        <v>2</v>
      </c>
      <c r="AE901">
        <v>4</v>
      </c>
      <c r="AF901" s="2">
        <v>1</v>
      </c>
      <c r="AG901">
        <v>0</v>
      </c>
      <c r="AH901">
        <v>0</v>
      </c>
      <c r="AI901">
        <v>0</v>
      </c>
      <c r="AJ901" s="2" t="str">
        <f>IF(A901 A901 &lt;= 25, "18-25", IF(A901 &lt;=35, "26-35", IF(A901 &lt;=45, "36-45", IF(Table3[[#This Row],[Age]] &lt;=55, "46-55", "56+"))))</f>
        <v>46-55</v>
      </c>
      <c r="AK901" t="str">
        <f t="shared" si="14"/>
        <v>High</v>
      </c>
      <c r="AL901" s="2" t="str">
        <f>IF(AF901 &lt; 3, "0-2 Years", IF(AF901 &lt;= 5, "3-5 Years", IF(AF901 &lt;= 10, "6-10 Years",IF(Table3[[#This Row],[Years At Company]]&lt;=20, "11-20 Years","20+ Years"))))</f>
        <v>0-2 Years</v>
      </c>
    </row>
    <row r="902" spans="1:38" x14ac:dyDescent="0.25">
      <c r="A902" s="2">
        <v>36</v>
      </c>
      <c r="B902" t="s">
        <v>43</v>
      </c>
      <c r="C902" t="s">
        <v>44</v>
      </c>
      <c r="D902" s="2">
        <v>469</v>
      </c>
      <c r="E902" t="s">
        <v>45</v>
      </c>
      <c r="F902" s="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 s="2">
        <v>3692</v>
      </c>
      <c r="T902">
        <v>9256</v>
      </c>
      <c r="U902">
        <v>1</v>
      </c>
      <c r="V902" t="s">
        <v>42</v>
      </c>
      <c r="W902" t="s">
        <v>43</v>
      </c>
      <c r="X902" s="2">
        <v>12</v>
      </c>
      <c r="Y902">
        <v>3</v>
      </c>
      <c r="Z902">
        <v>3</v>
      </c>
      <c r="AA902">
        <v>80</v>
      </c>
      <c r="AB902">
        <v>0</v>
      </c>
      <c r="AC902" s="2">
        <v>12</v>
      </c>
      <c r="AD902">
        <v>2</v>
      </c>
      <c r="AE902">
        <v>2</v>
      </c>
      <c r="AF902" s="2">
        <v>11</v>
      </c>
      <c r="AG902">
        <v>10</v>
      </c>
      <c r="AH902">
        <v>0</v>
      </c>
      <c r="AI902">
        <v>7</v>
      </c>
      <c r="AJ902" s="2" t="str">
        <f>IF(A902 A902 &lt;= 25, "18-25", IF(A902 &lt;=35, "26-35", IF(A902 &lt;=45, "36-45", IF(Table3[[#This Row],[Age]] &lt;=55, "46-55", "56+"))))</f>
        <v>36-45</v>
      </c>
      <c r="AK902" t="str">
        <f t="shared" si="14"/>
        <v>Low</v>
      </c>
      <c r="AL902" s="2" t="str">
        <f>IF(AF902 &lt; 3, "0-2 Years", IF(AF902 &lt;= 5, "3-5 Years", IF(AF902 &lt;= 10, "6-10 Years",IF(Table3[[#This Row],[Years At Company]]&lt;=20, "11-20 Years","20+ Years"))))</f>
        <v>11-20 Years</v>
      </c>
    </row>
    <row r="903" spans="1:38" x14ac:dyDescent="0.25">
      <c r="A903" s="2">
        <v>48</v>
      </c>
      <c r="B903" t="s">
        <v>43</v>
      </c>
      <c r="C903" t="s">
        <v>36</v>
      </c>
      <c r="D903" s="2">
        <v>969</v>
      </c>
      <c r="E903" t="s">
        <v>45</v>
      </c>
      <c r="F903" s="2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 s="2">
        <v>2559</v>
      </c>
      <c r="T903">
        <v>16620</v>
      </c>
      <c r="U903">
        <v>5</v>
      </c>
      <c r="V903" t="s">
        <v>42</v>
      </c>
      <c r="W903" t="s">
        <v>43</v>
      </c>
      <c r="X903" s="2">
        <v>11</v>
      </c>
      <c r="Y903">
        <v>3</v>
      </c>
      <c r="Z903">
        <v>3</v>
      </c>
      <c r="AA903">
        <v>80</v>
      </c>
      <c r="AB903">
        <v>0</v>
      </c>
      <c r="AC903" s="2">
        <v>7</v>
      </c>
      <c r="AD903">
        <v>4</v>
      </c>
      <c r="AE903">
        <v>2</v>
      </c>
      <c r="AF903" s="2">
        <v>1</v>
      </c>
      <c r="AG903">
        <v>0</v>
      </c>
      <c r="AH903">
        <v>0</v>
      </c>
      <c r="AI903">
        <v>0</v>
      </c>
      <c r="AJ903" s="2" t="str">
        <f>IF(A903 A903 &lt;= 25, "18-25", IF(A903 &lt;=35, "26-35", IF(A903 &lt;=45, "36-45", IF(Table3[[#This Row],[Age]] &lt;=55, "46-55", "56+"))))</f>
        <v>46-55</v>
      </c>
      <c r="AK903" t="str">
        <f t="shared" si="14"/>
        <v>Low</v>
      </c>
      <c r="AL903" s="2" t="str">
        <f>IF(AF903 &lt; 3, "0-2 Years", IF(AF903 &lt;= 5, "3-5 Years", IF(AF903 &lt;= 10, "6-10 Years",IF(Table3[[#This Row],[Years At Company]]&lt;=20, "11-20 Years","20+ Years"))))</f>
        <v>0-2 Years</v>
      </c>
    </row>
    <row r="904" spans="1:38" x14ac:dyDescent="0.25">
      <c r="A904" s="2">
        <v>27</v>
      </c>
      <c r="B904" t="s">
        <v>43</v>
      </c>
      <c r="C904" t="s">
        <v>36</v>
      </c>
      <c r="D904" s="2">
        <v>1167</v>
      </c>
      <c r="E904" t="s">
        <v>45</v>
      </c>
      <c r="F904" s="2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 s="2">
        <v>2517</v>
      </c>
      <c r="T904">
        <v>3208</v>
      </c>
      <c r="U904">
        <v>1</v>
      </c>
      <c r="V904" t="s">
        <v>42</v>
      </c>
      <c r="W904" t="s">
        <v>43</v>
      </c>
      <c r="X904" s="2">
        <v>11</v>
      </c>
      <c r="Y904">
        <v>3</v>
      </c>
      <c r="Z904">
        <v>2</v>
      </c>
      <c r="AA904">
        <v>80</v>
      </c>
      <c r="AB904">
        <v>3</v>
      </c>
      <c r="AC904" s="2">
        <v>5</v>
      </c>
      <c r="AD904">
        <v>2</v>
      </c>
      <c r="AE904">
        <v>3</v>
      </c>
      <c r="AF904" s="2">
        <v>5</v>
      </c>
      <c r="AG904">
        <v>3</v>
      </c>
      <c r="AH904">
        <v>0</v>
      </c>
      <c r="AI904">
        <v>3</v>
      </c>
      <c r="AJ904" s="2" t="str">
        <f>IF(A904 A904 &lt;= 25, "18-25", IF(A904 &lt;=35, "26-35", IF(A904 &lt;=45, "36-45", IF(Table3[[#This Row],[Age]] &lt;=55, "46-55", "56+"))))</f>
        <v>26-35</v>
      </c>
      <c r="AK904" t="str">
        <f t="shared" si="14"/>
        <v>Low</v>
      </c>
      <c r="AL904" s="2" t="str">
        <f>IF(AF904 &lt; 3, "0-2 Years", IF(AF904 &lt;= 5, "3-5 Years", IF(AF904 &lt;= 10, "6-10 Years",IF(Table3[[#This Row],[Years At Company]]&lt;=20, "11-20 Years","20+ Years"))))</f>
        <v>3-5 Years</v>
      </c>
    </row>
    <row r="905" spans="1:38" x14ac:dyDescent="0.25">
      <c r="A905" s="2">
        <v>29</v>
      </c>
      <c r="B905" t="s">
        <v>43</v>
      </c>
      <c r="C905" t="s">
        <v>36</v>
      </c>
      <c r="D905" s="2">
        <v>1329</v>
      </c>
      <c r="E905" t="s">
        <v>45</v>
      </c>
      <c r="F905" s="2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 s="2">
        <v>6623</v>
      </c>
      <c r="T905">
        <v>4204</v>
      </c>
      <c r="U905">
        <v>1</v>
      </c>
      <c r="V905" t="s">
        <v>42</v>
      </c>
      <c r="W905" t="s">
        <v>35</v>
      </c>
      <c r="X905" s="2">
        <v>11</v>
      </c>
      <c r="Y905">
        <v>3</v>
      </c>
      <c r="Z905">
        <v>2</v>
      </c>
      <c r="AA905">
        <v>80</v>
      </c>
      <c r="AB905">
        <v>2</v>
      </c>
      <c r="AC905" s="2">
        <v>6</v>
      </c>
      <c r="AD905">
        <v>2</v>
      </c>
      <c r="AE905">
        <v>3</v>
      </c>
      <c r="AF905" s="2">
        <v>6</v>
      </c>
      <c r="AG905">
        <v>0</v>
      </c>
      <c r="AH905">
        <v>1</v>
      </c>
      <c r="AI905">
        <v>0</v>
      </c>
      <c r="AJ905" s="2" t="str">
        <f>IF(A905 A905 &lt;= 25, "18-25", IF(A905 &lt;=35, "26-35", IF(A905 &lt;=45, "36-45", IF(Table3[[#This Row],[Age]] &lt;=55, "46-55", "56+"))))</f>
        <v>26-35</v>
      </c>
      <c r="AK905" t="str">
        <f t="shared" si="14"/>
        <v>Medium</v>
      </c>
      <c r="AL905" s="2" t="str">
        <f>IF(AF905 &lt; 3, "0-2 Years", IF(AF905 &lt;= 5, "3-5 Years", IF(AF905 &lt;= 10, "6-10 Years",IF(Table3[[#This Row],[Years At Company]]&lt;=20, "11-20 Years","20+ Years"))))</f>
        <v>6-10 Years</v>
      </c>
    </row>
    <row r="906" spans="1:38" x14ac:dyDescent="0.25">
      <c r="A906" s="2">
        <v>48</v>
      </c>
      <c r="B906" t="s">
        <v>43</v>
      </c>
      <c r="C906" t="s">
        <v>36</v>
      </c>
      <c r="D906" s="2">
        <v>715</v>
      </c>
      <c r="E906" t="s">
        <v>45</v>
      </c>
      <c r="F906" s="2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 s="2">
        <v>18265</v>
      </c>
      <c r="T906">
        <v>8733</v>
      </c>
      <c r="U906">
        <v>6</v>
      </c>
      <c r="V906" t="s">
        <v>42</v>
      </c>
      <c r="W906" t="s">
        <v>43</v>
      </c>
      <c r="X906" s="2">
        <v>12</v>
      </c>
      <c r="Y906">
        <v>3</v>
      </c>
      <c r="Z906">
        <v>3</v>
      </c>
      <c r="AA906">
        <v>80</v>
      </c>
      <c r="AB906">
        <v>0</v>
      </c>
      <c r="AC906" s="2">
        <v>25</v>
      </c>
      <c r="AD906">
        <v>3</v>
      </c>
      <c r="AE906">
        <v>4</v>
      </c>
      <c r="AF906" s="2">
        <v>1</v>
      </c>
      <c r="AG906">
        <v>0</v>
      </c>
      <c r="AH906">
        <v>0</v>
      </c>
      <c r="AI906">
        <v>0</v>
      </c>
      <c r="AJ906" s="2" t="str">
        <f>IF(A906 A906 &lt;= 25, "18-25", IF(A906 &lt;=35, "26-35", IF(A906 &lt;=45, "36-45", IF(Table3[[#This Row],[Age]] &lt;=55, "46-55", "56+"))))</f>
        <v>46-55</v>
      </c>
      <c r="AK906" t="str">
        <f t="shared" si="14"/>
        <v>High</v>
      </c>
      <c r="AL906" s="2" t="str">
        <f>IF(AF906 &lt; 3, "0-2 Years", IF(AF906 &lt;= 5, "3-5 Years", IF(AF906 &lt;= 10, "6-10 Years",IF(Table3[[#This Row],[Years At Company]]&lt;=20, "11-20 Years","20+ Years"))))</f>
        <v>0-2 Years</v>
      </c>
    </row>
    <row r="907" spans="1:38" x14ac:dyDescent="0.25">
      <c r="A907" s="2">
        <v>29</v>
      </c>
      <c r="B907" t="s">
        <v>43</v>
      </c>
      <c r="C907" t="s">
        <v>36</v>
      </c>
      <c r="D907" s="2">
        <v>694</v>
      </c>
      <c r="E907" t="s">
        <v>45</v>
      </c>
      <c r="F907" s="2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 s="2">
        <v>16124</v>
      </c>
      <c r="T907">
        <v>3423</v>
      </c>
      <c r="U907">
        <v>3</v>
      </c>
      <c r="V907" t="s">
        <v>42</v>
      </c>
      <c r="W907" t="s">
        <v>43</v>
      </c>
      <c r="X907" s="2">
        <v>14</v>
      </c>
      <c r="Y907">
        <v>3</v>
      </c>
      <c r="Z907">
        <v>2</v>
      </c>
      <c r="AA907">
        <v>80</v>
      </c>
      <c r="AB907">
        <v>2</v>
      </c>
      <c r="AC907" s="2">
        <v>9</v>
      </c>
      <c r="AD907">
        <v>2</v>
      </c>
      <c r="AE907">
        <v>2</v>
      </c>
      <c r="AF907" s="2">
        <v>7</v>
      </c>
      <c r="AG907">
        <v>7</v>
      </c>
      <c r="AH907">
        <v>1</v>
      </c>
      <c r="AI907">
        <v>7</v>
      </c>
      <c r="AJ907" s="2" t="str">
        <f>IF(A907 A907 &lt;= 25, "18-25", IF(A907 &lt;=35, "26-35", IF(A907 &lt;=45, "36-45", IF(Table3[[#This Row],[Age]] &lt;=55, "46-55", "56+"))))</f>
        <v>26-35</v>
      </c>
      <c r="AK907" t="str">
        <f t="shared" si="14"/>
        <v>High</v>
      </c>
      <c r="AL907" s="2" t="str">
        <f>IF(AF907 &lt; 3, "0-2 Years", IF(AF907 &lt;= 5, "3-5 Years", IF(AF907 &lt;= 10, "6-10 Years",IF(Table3[[#This Row],[Years At Company]]&lt;=20, "11-20 Years","20+ Years"))))</f>
        <v>6-10 Years</v>
      </c>
    </row>
    <row r="908" spans="1:38" x14ac:dyDescent="0.25">
      <c r="A908" s="2">
        <v>34</v>
      </c>
      <c r="B908" t="s">
        <v>43</v>
      </c>
      <c r="C908" t="s">
        <v>36</v>
      </c>
      <c r="D908" s="2">
        <v>1320</v>
      </c>
      <c r="E908" t="s">
        <v>45</v>
      </c>
      <c r="F908" s="2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 s="2">
        <v>2585</v>
      </c>
      <c r="T908">
        <v>21643</v>
      </c>
      <c r="U908">
        <v>0</v>
      </c>
      <c r="V908" t="s">
        <v>42</v>
      </c>
      <c r="W908" t="s">
        <v>43</v>
      </c>
      <c r="X908" s="2">
        <v>17</v>
      </c>
      <c r="Y908">
        <v>3</v>
      </c>
      <c r="Z908">
        <v>4</v>
      </c>
      <c r="AA908">
        <v>80</v>
      </c>
      <c r="AB908">
        <v>0</v>
      </c>
      <c r="AC908" s="2">
        <v>2</v>
      </c>
      <c r="AD908">
        <v>5</v>
      </c>
      <c r="AE908">
        <v>2</v>
      </c>
      <c r="AF908" s="2">
        <v>1</v>
      </c>
      <c r="AG908">
        <v>0</v>
      </c>
      <c r="AH908">
        <v>0</v>
      </c>
      <c r="AI908">
        <v>0</v>
      </c>
      <c r="AJ908" s="2" t="str">
        <f>IF(A908 A908 &lt;= 25, "18-25", IF(A908 &lt;=35, "26-35", IF(A908 &lt;=45, "36-45", IF(Table3[[#This Row],[Age]] &lt;=55, "46-55", "56+"))))</f>
        <v>26-35</v>
      </c>
      <c r="AK908" t="str">
        <f t="shared" si="14"/>
        <v>Low</v>
      </c>
      <c r="AL908" s="2" t="str">
        <f>IF(AF908 &lt; 3, "0-2 Years", IF(AF908 &lt;= 5, "3-5 Years", IF(AF908 &lt;= 10, "6-10 Years",IF(Table3[[#This Row],[Years At Company]]&lt;=20, "11-20 Years","20+ Years"))))</f>
        <v>0-2 Years</v>
      </c>
    </row>
    <row r="909" spans="1:38" x14ac:dyDescent="0.25">
      <c r="A909" s="2">
        <v>44</v>
      </c>
      <c r="B909" t="s">
        <v>43</v>
      </c>
      <c r="C909" t="s">
        <v>36</v>
      </c>
      <c r="D909" s="2">
        <v>1099</v>
      </c>
      <c r="E909" t="s">
        <v>37</v>
      </c>
      <c r="F909" s="2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 s="2">
        <v>18213</v>
      </c>
      <c r="T909">
        <v>8751</v>
      </c>
      <c r="U909">
        <v>7</v>
      </c>
      <c r="V909" t="s">
        <v>42</v>
      </c>
      <c r="W909" t="s">
        <v>43</v>
      </c>
      <c r="X909" s="2">
        <v>11</v>
      </c>
      <c r="Y909">
        <v>3</v>
      </c>
      <c r="Z909">
        <v>3</v>
      </c>
      <c r="AA909">
        <v>80</v>
      </c>
      <c r="AB909">
        <v>1</v>
      </c>
      <c r="AC909" s="2">
        <v>26</v>
      </c>
      <c r="AD909">
        <v>5</v>
      </c>
      <c r="AE909">
        <v>3</v>
      </c>
      <c r="AF909" s="2">
        <v>22</v>
      </c>
      <c r="AG909">
        <v>9</v>
      </c>
      <c r="AH909">
        <v>3</v>
      </c>
      <c r="AI909">
        <v>10</v>
      </c>
      <c r="AJ909" s="2" t="str">
        <f>IF(A909 A909 &lt;= 25, "18-25", IF(A909 &lt;=35, "26-35", IF(A909 &lt;=45, "36-45", IF(Table3[[#This Row],[Age]] &lt;=55, "46-55", "56+"))))</f>
        <v>36-45</v>
      </c>
      <c r="AK909" t="str">
        <f t="shared" si="14"/>
        <v>High</v>
      </c>
      <c r="AL909" s="2" t="str">
        <f>IF(AF909 &lt; 3, "0-2 Years", IF(AF909 &lt;= 5, "3-5 Years", IF(AF909 &lt;= 10, "6-10 Years",IF(Table3[[#This Row],[Years At Company]]&lt;=20, "11-20 Years","20+ Years"))))</f>
        <v>20+ Years</v>
      </c>
    </row>
    <row r="910" spans="1:38" x14ac:dyDescent="0.25">
      <c r="A910" s="2">
        <v>33</v>
      </c>
      <c r="B910" t="s">
        <v>43</v>
      </c>
      <c r="C910" t="s">
        <v>36</v>
      </c>
      <c r="D910" s="2">
        <v>536</v>
      </c>
      <c r="E910" t="s">
        <v>37</v>
      </c>
      <c r="F910" s="2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 s="2">
        <v>8380</v>
      </c>
      <c r="T910">
        <v>21708</v>
      </c>
      <c r="U910">
        <v>0</v>
      </c>
      <c r="V910" t="s">
        <v>42</v>
      </c>
      <c r="W910" t="s">
        <v>35</v>
      </c>
      <c r="X910" s="2">
        <v>14</v>
      </c>
      <c r="Y910">
        <v>3</v>
      </c>
      <c r="Z910">
        <v>4</v>
      </c>
      <c r="AA910">
        <v>80</v>
      </c>
      <c r="AB910">
        <v>2</v>
      </c>
      <c r="AC910" s="2">
        <v>10</v>
      </c>
      <c r="AD910">
        <v>3</v>
      </c>
      <c r="AE910">
        <v>3</v>
      </c>
      <c r="AF910" s="2">
        <v>9</v>
      </c>
      <c r="AG910">
        <v>8</v>
      </c>
      <c r="AH910">
        <v>0</v>
      </c>
      <c r="AI910">
        <v>8</v>
      </c>
      <c r="AJ910" s="2" t="str">
        <f>IF(A910 A910 &lt;= 25, "18-25", IF(A910 &lt;=35, "26-35", IF(A910 &lt;=45, "36-45", IF(Table3[[#This Row],[Age]] &lt;=55, "46-55", "56+"))))</f>
        <v>26-35</v>
      </c>
      <c r="AK910" t="str">
        <f t="shared" si="14"/>
        <v>Medium</v>
      </c>
      <c r="AL910" s="2" t="str">
        <f>IF(AF910 &lt; 3, "0-2 Years", IF(AF910 &lt;= 5, "3-5 Years", IF(AF910 &lt;= 10, "6-10 Years",IF(Table3[[#This Row],[Years At Company]]&lt;=20, "11-20 Years","20+ Years"))))</f>
        <v>6-10 Years</v>
      </c>
    </row>
    <row r="911" spans="1:38" x14ac:dyDescent="0.25">
      <c r="A911" s="2">
        <v>19</v>
      </c>
      <c r="B911" t="s">
        <v>43</v>
      </c>
      <c r="C911" t="s">
        <v>36</v>
      </c>
      <c r="D911" s="2">
        <v>265</v>
      </c>
      <c r="E911" t="s">
        <v>45</v>
      </c>
      <c r="F911" s="2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 s="2">
        <v>2994</v>
      </c>
      <c r="T911">
        <v>21221</v>
      </c>
      <c r="U911">
        <v>1</v>
      </c>
      <c r="V911" t="s">
        <v>42</v>
      </c>
      <c r="W911" t="s">
        <v>35</v>
      </c>
      <c r="X911" s="2">
        <v>12</v>
      </c>
      <c r="Y911">
        <v>3</v>
      </c>
      <c r="Z911">
        <v>4</v>
      </c>
      <c r="AA911">
        <v>80</v>
      </c>
      <c r="AB911">
        <v>0</v>
      </c>
      <c r="AC911" s="2">
        <v>1</v>
      </c>
      <c r="AD911">
        <v>2</v>
      </c>
      <c r="AE911">
        <v>3</v>
      </c>
      <c r="AF911" s="2">
        <v>1</v>
      </c>
      <c r="AG911">
        <v>0</v>
      </c>
      <c r="AH911">
        <v>0</v>
      </c>
      <c r="AI911">
        <v>1</v>
      </c>
      <c r="AJ911" s="2" t="str">
        <f>IF(A911 A911 &lt;= 25, "18-25", IF(A911 &lt;=35, "26-35", IF(A911 &lt;=45, "36-45", IF(Table3[[#This Row],[Age]] &lt;=55, "46-55", "56+"))))</f>
        <v>18-25</v>
      </c>
      <c r="AK911" t="str">
        <f t="shared" si="14"/>
        <v>Low</v>
      </c>
      <c r="AL911" s="2" t="str">
        <f>IF(AF911 &lt; 3, "0-2 Years", IF(AF911 &lt;= 5, "3-5 Years", IF(AF911 &lt;= 10, "6-10 Years",IF(Table3[[#This Row],[Years At Company]]&lt;=20, "11-20 Years","20+ Years"))))</f>
        <v>0-2 Years</v>
      </c>
    </row>
    <row r="912" spans="1:38" x14ac:dyDescent="0.25">
      <c r="A912" s="2">
        <v>23</v>
      </c>
      <c r="B912" t="s">
        <v>43</v>
      </c>
      <c r="C912" t="s">
        <v>36</v>
      </c>
      <c r="D912" s="2">
        <v>373</v>
      </c>
      <c r="E912" t="s">
        <v>45</v>
      </c>
      <c r="F912" s="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 s="2">
        <v>1223</v>
      </c>
      <c r="T912">
        <v>16901</v>
      </c>
      <c r="U912">
        <v>1</v>
      </c>
      <c r="V912" t="s">
        <v>42</v>
      </c>
      <c r="W912" t="s">
        <v>43</v>
      </c>
      <c r="X912" s="2">
        <v>22</v>
      </c>
      <c r="Y912">
        <v>4</v>
      </c>
      <c r="Z912">
        <v>4</v>
      </c>
      <c r="AA912">
        <v>80</v>
      </c>
      <c r="AB912">
        <v>1</v>
      </c>
      <c r="AC912" s="2">
        <v>1</v>
      </c>
      <c r="AD912">
        <v>2</v>
      </c>
      <c r="AE912">
        <v>3</v>
      </c>
      <c r="AF912" s="2">
        <v>1</v>
      </c>
      <c r="AG912">
        <v>0</v>
      </c>
      <c r="AH912">
        <v>0</v>
      </c>
      <c r="AI912">
        <v>1</v>
      </c>
      <c r="AJ912" s="2" t="str">
        <f>IF(A912 A912 &lt;= 25, "18-25", IF(A912 &lt;=35, "26-35", IF(A912 &lt;=45, "36-45", IF(Table3[[#This Row],[Age]] &lt;=55, "46-55", "56+"))))</f>
        <v>18-25</v>
      </c>
      <c r="AK912" t="str">
        <f t="shared" si="14"/>
        <v>Low</v>
      </c>
      <c r="AL912" s="2" t="str">
        <f>IF(AF912 &lt; 3, "0-2 Years", IF(AF912 &lt;= 5, "3-5 Years", IF(AF912 &lt;= 10, "6-10 Years",IF(Table3[[#This Row],[Years At Company]]&lt;=20, "11-20 Years","20+ Years"))))</f>
        <v>0-2 Years</v>
      </c>
    </row>
    <row r="913" spans="1:38" x14ac:dyDescent="0.25">
      <c r="A913" s="2">
        <v>25</v>
      </c>
      <c r="B913" t="s">
        <v>35</v>
      </c>
      <c r="C913" t="s">
        <v>44</v>
      </c>
      <c r="D913" s="2">
        <v>599</v>
      </c>
      <c r="E913" t="s">
        <v>37</v>
      </c>
      <c r="F913" s="2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 s="2">
        <v>1118</v>
      </c>
      <c r="T913">
        <v>8040</v>
      </c>
      <c r="U913">
        <v>1</v>
      </c>
      <c r="V913" t="s">
        <v>42</v>
      </c>
      <c r="W913" t="s">
        <v>35</v>
      </c>
      <c r="X913" s="2">
        <v>14</v>
      </c>
      <c r="Y913">
        <v>3</v>
      </c>
      <c r="Z913">
        <v>4</v>
      </c>
      <c r="AA913">
        <v>80</v>
      </c>
      <c r="AB913">
        <v>0</v>
      </c>
      <c r="AC913" s="2">
        <v>1</v>
      </c>
      <c r="AD913">
        <v>4</v>
      </c>
      <c r="AE913">
        <v>3</v>
      </c>
      <c r="AF913" s="2">
        <v>1</v>
      </c>
      <c r="AG913">
        <v>0</v>
      </c>
      <c r="AH913">
        <v>1</v>
      </c>
      <c r="AI913">
        <v>0</v>
      </c>
      <c r="AJ913" s="2" t="str">
        <f>IF(A913 A913 &lt;= 25, "18-25", IF(A913 &lt;=35, "26-35", IF(A913 &lt;=45, "36-45", IF(Table3[[#This Row],[Age]] &lt;=55, "46-55", "56+"))))</f>
        <v>18-25</v>
      </c>
      <c r="AK913" t="str">
        <f t="shared" si="14"/>
        <v>Low</v>
      </c>
      <c r="AL913" s="2" t="str">
        <f>IF(AF913 &lt; 3, "0-2 Years", IF(AF913 &lt;= 5, "3-5 Years", IF(AF913 &lt;= 10, "6-10 Years",IF(Table3[[#This Row],[Years At Company]]&lt;=20, "11-20 Years","20+ Years"))))</f>
        <v>0-2 Years</v>
      </c>
    </row>
    <row r="914" spans="1:38" x14ac:dyDescent="0.25">
      <c r="A914" s="2">
        <v>26</v>
      </c>
      <c r="B914" t="s">
        <v>43</v>
      </c>
      <c r="C914" t="s">
        <v>36</v>
      </c>
      <c r="D914" s="2">
        <v>583</v>
      </c>
      <c r="E914" t="s">
        <v>45</v>
      </c>
      <c r="F914" s="2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 s="2">
        <v>2875</v>
      </c>
      <c r="T914">
        <v>9973</v>
      </c>
      <c r="U914">
        <v>1</v>
      </c>
      <c r="V914" t="s">
        <v>42</v>
      </c>
      <c r="W914" t="s">
        <v>35</v>
      </c>
      <c r="X914" s="2">
        <v>20</v>
      </c>
      <c r="Y914">
        <v>4</v>
      </c>
      <c r="Z914">
        <v>2</v>
      </c>
      <c r="AA914">
        <v>80</v>
      </c>
      <c r="AB914">
        <v>0</v>
      </c>
      <c r="AC914" s="2">
        <v>8</v>
      </c>
      <c r="AD914">
        <v>2</v>
      </c>
      <c r="AE914">
        <v>2</v>
      </c>
      <c r="AF914" s="2">
        <v>8</v>
      </c>
      <c r="AG914">
        <v>5</v>
      </c>
      <c r="AH914">
        <v>2</v>
      </c>
      <c r="AI914">
        <v>2</v>
      </c>
      <c r="AJ914" s="2" t="str">
        <f>IF(A914 A914 &lt;= 25, "18-25", IF(A914 &lt;=35, "26-35", IF(A914 &lt;=45, "36-45", IF(Table3[[#This Row],[Age]] &lt;=55, "46-55", "56+"))))</f>
        <v>26-35</v>
      </c>
      <c r="AK914" t="str">
        <f t="shared" si="14"/>
        <v>Low</v>
      </c>
      <c r="AL914" s="2" t="str">
        <f>IF(AF914 &lt; 3, "0-2 Years", IF(AF914 &lt;= 5, "3-5 Years", IF(AF914 &lt;= 10, "6-10 Years",IF(Table3[[#This Row],[Years At Company]]&lt;=20, "11-20 Years","20+ Years"))))</f>
        <v>6-10 Years</v>
      </c>
    </row>
    <row r="915" spans="1:38" x14ac:dyDescent="0.25">
      <c r="A915" s="2">
        <v>45</v>
      </c>
      <c r="B915" t="s">
        <v>35</v>
      </c>
      <c r="C915" t="s">
        <v>36</v>
      </c>
      <c r="D915" s="2">
        <v>1449</v>
      </c>
      <c r="E915" t="s">
        <v>37</v>
      </c>
      <c r="F915" s="2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 s="2">
        <v>18824</v>
      </c>
      <c r="T915">
        <v>2493</v>
      </c>
      <c r="U915">
        <v>2</v>
      </c>
      <c r="V915" t="s">
        <v>42</v>
      </c>
      <c r="W915" t="s">
        <v>35</v>
      </c>
      <c r="X915" s="2">
        <v>16</v>
      </c>
      <c r="Y915">
        <v>3</v>
      </c>
      <c r="Z915">
        <v>1</v>
      </c>
      <c r="AA915">
        <v>80</v>
      </c>
      <c r="AB915">
        <v>0</v>
      </c>
      <c r="AC915" s="2">
        <v>26</v>
      </c>
      <c r="AD915">
        <v>2</v>
      </c>
      <c r="AE915">
        <v>3</v>
      </c>
      <c r="AF915" s="2">
        <v>24</v>
      </c>
      <c r="AG915">
        <v>10</v>
      </c>
      <c r="AH915">
        <v>1</v>
      </c>
      <c r="AI915">
        <v>11</v>
      </c>
      <c r="AJ915" s="2" t="str">
        <f>IF(A915 A915 &lt;= 25, "18-25", IF(A915 &lt;=35, "26-35", IF(A915 &lt;=45, "36-45", IF(Table3[[#This Row],[Age]] &lt;=55, "46-55", "56+"))))</f>
        <v>36-45</v>
      </c>
      <c r="AK915" t="str">
        <f t="shared" si="14"/>
        <v>High</v>
      </c>
      <c r="AL915" s="2" t="str">
        <f>IF(AF915 &lt; 3, "0-2 Years", IF(AF915 &lt;= 5, "3-5 Years", IF(AF915 &lt;= 10, "6-10 Years",IF(Table3[[#This Row],[Years At Company]]&lt;=20, "11-20 Years","20+ Years"))))</f>
        <v>20+ Years</v>
      </c>
    </row>
    <row r="916" spans="1:38" x14ac:dyDescent="0.25">
      <c r="A916" s="2">
        <v>55</v>
      </c>
      <c r="B916" t="s">
        <v>43</v>
      </c>
      <c r="C916" t="s">
        <v>55</v>
      </c>
      <c r="D916" s="2">
        <v>177</v>
      </c>
      <c r="E916" t="s">
        <v>45</v>
      </c>
      <c r="F916" s="2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 s="2">
        <v>13577</v>
      </c>
      <c r="T916">
        <v>25592</v>
      </c>
      <c r="U916">
        <v>1</v>
      </c>
      <c r="V916" t="s">
        <v>42</v>
      </c>
      <c r="W916" t="s">
        <v>35</v>
      </c>
      <c r="X916" s="2">
        <v>15</v>
      </c>
      <c r="Y916">
        <v>3</v>
      </c>
      <c r="Z916">
        <v>4</v>
      </c>
      <c r="AA916">
        <v>80</v>
      </c>
      <c r="AB916">
        <v>1</v>
      </c>
      <c r="AC916" s="2">
        <v>34</v>
      </c>
      <c r="AD916">
        <v>3</v>
      </c>
      <c r="AE916">
        <v>3</v>
      </c>
      <c r="AF916" s="2">
        <v>33</v>
      </c>
      <c r="AG916">
        <v>9</v>
      </c>
      <c r="AH916">
        <v>15</v>
      </c>
      <c r="AI916">
        <v>0</v>
      </c>
      <c r="AJ916" s="2" t="str">
        <f>IF(A916 A916 &lt;= 25, "18-25", IF(A916 &lt;=35, "26-35", IF(A916 &lt;=45, "36-45", IF(Table3[[#This Row],[Age]] &lt;=55, "46-55", "56+"))))</f>
        <v>46-55</v>
      </c>
      <c r="AK916" t="str">
        <f t="shared" si="14"/>
        <v>High</v>
      </c>
      <c r="AL916" s="2" t="str">
        <f>IF(AF916 &lt; 3, "0-2 Years", IF(AF916 &lt;= 5, "3-5 Years", IF(AF916 &lt;= 10, "6-10 Years",IF(Table3[[#This Row],[Years At Company]]&lt;=20, "11-20 Years","20+ Years"))))</f>
        <v>20+ Years</v>
      </c>
    </row>
    <row r="917" spans="1:38" x14ac:dyDescent="0.25">
      <c r="A917" s="2">
        <v>21</v>
      </c>
      <c r="B917" t="s">
        <v>35</v>
      </c>
      <c r="C917" t="s">
        <v>44</v>
      </c>
      <c r="D917" s="2">
        <v>251</v>
      </c>
      <c r="E917" t="s">
        <v>45</v>
      </c>
      <c r="F917" s="2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 s="2">
        <v>2625</v>
      </c>
      <c r="T917">
        <v>25308</v>
      </c>
      <c r="U917">
        <v>1</v>
      </c>
      <c r="V917" t="s">
        <v>42</v>
      </c>
      <c r="W917" t="s">
        <v>43</v>
      </c>
      <c r="X917" s="2">
        <v>20</v>
      </c>
      <c r="Y917">
        <v>4</v>
      </c>
      <c r="Z917">
        <v>3</v>
      </c>
      <c r="AA917">
        <v>80</v>
      </c>
      <c r="AB917">
        <v>0</v>
      </c>
      <c r="AC917" s="2">
        <v>2</v>
      </c>
      <c r="AD917">
        <v>2</v>
      </c>
      <c r="AE917">
        <v>1</v>
      </c>
      <c r="AF917" s="2">
        <v>2</v>
      </c>
      <c r="AG917">
        <v>2</v>
      </c>
      <c r="AH917">
        <v>2</v>
      </c>
      <c r="AI917">
        <v>2</v>
      </c>
      <c r="AJ917" s="2" t="str">
        <f>IF(A917 A917 &lt;= 25, "18-25", IF(A917 &lt;=35, "26-35", IF(A917 &lt;=45, "36-45", IF(Table3[[#This Row],[Age]] &lt;=55, "46-55", "56+"))))</f>
        <v>18-25</v>
      </c>
      <c r="AK917" t="str">
        <f t="shared" si="14"/>
        <v>Low</v>
      </c>
      <c r="AL917" s="2" t="str">
        <f>IF(AF917 &lt; 3, "0-2 Years", IF(AF917 &lt;= 5, "3-5 Years", IF(AF917 &lt;= 10, "6-10 Years",IF(Table3[[#This Row],[Years At Company]]&lt;=20, "11-20 Years","20+ Years"))))</f>
        <v>0-2 Years</v>
      </c>
    </row>
    <row r="918" spans="1:38" x14ac:dyDescent="0.25">
      <c r="A918" s="2">
        <v>46</v>
      </c>
      <c r="B918" t="s">
        <v>43</v>
      </c>
      <c r="C918" t="s">
        <v>36</v>
      </c>
      <c r="D918" s="2">
        <v>168</v>
      </c>
      <c r="E918" t="s">
        <v>37</v>
      </c>
      <c r="F918" s="2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 s="2">
        <v>18789</v>
      </c>
      <c r="T918">
        <v>9946</v>
      </c>
      <c r="U918">
        <v>2</v>
      </c>
      <c r="V918" t="s">
        <v>42</v>
      </c>
      <c r="W918" t="s">
        <v>43</v>
      </c>
      <c r="X918" s="2">
        <v>14</v>
      </c>
      <c r="Y918">
        <v>3</v>
      </c>
      <c r="Z918">
        <v>3</v>
      </c>
      <c r="AA918">
        <v>80</v>
      </c>
      <c r="AB918">
        <v>1</v>
      </c>
      <c r="AC918" s="2">
        <v>26</v>
      </c>
      <c r="AD918">
        <v>2</v>
      </c>
      <c r="AE918">
        <v>3</v>
      </c>
      <c r="AF918" s="2">
        <v>11</v>
      </c>
      <c r="AG918">
        <v>4</v>
      </c>
      <c r="AH918">
        <v>0</v>
      </c>
      <c r="AI918">
        <v>8</v>
      </c>
      <c r="AJ918" s="2" t="str">
        <f>IF(A918 A918 &lt;= 25, "18-25", IF(A918 &lt;=35, "26-35", IF(A918 &lt;=45, "36-45", IF(Table3[[#This Row],[Age]] &lt;=55, "46-55", "56+"))))</f>
        <v>46-55</v>
      </c>
      <c r="AK918" t="str">
        <f t="shared" si="14"/>
        <v>High</v>
      </c>
      <c r="AL918" s="2" t="str">
        <f>IF(AF918 &lt; 3, "0-2 Years", IF(AF918 &lt;= 5, "3-5 Years", IF(AF918 &lt;= 10, "6-10 Years",IF(Table3[[#This Row],[Years At Company]]&lt;=20, "11-20 Years","20+ Years"))))</f>
        <v>11-20 Years</v>
      </c>
    </row>
    <row r="919" spans="1:38" x14ac:dyDescent="0.25">
      <c r="A919" s="2">
        <v>34</v>
      </c>
      <c r="B919" t="s">
        <v>43</v>
      </c>
      <c r="C919" t="s">
        <v>36</v>
      </c>
      <c r="D919" s="2">
        <v>131</v>
      </c>
      <c r="E919" t="s">
        <v>37</v>
      </c>
      <c r="F919" s="2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 s="2">
        <v>4538</v>
      </c>
      <c r="T919">
        <v>6039</v>
      </c>
      <c r="U919">
        <v>0</v>
      </c>
      <c r="V919" t="s">
        <v>42</v>
      </c>
      <c r="W919" t="s">
        <v>35</v>
      </c>
      <c r="X919" s="2">
        <v>12</v>
      </c>
      <c r="Y919">
        <v>3</v>
      </c>
      <c r="Z919">
        <v>4</v>
      </c>
      <c r="AA919">
        <v>80</v>
      </c>
      <c r="AB919">
        <v>0</v>
      </c>
      <c r="AC919" s="2">
        <v>4</v>
      </c>
      <c r="AD919">
        <v>3</v>
      </c>
      <c r="AE919">
        <v>3</v>
      </c>
      <c r="AF919" s="2">
        <v>3</v>
      </c>
      <c r="AG919">
        <v>2</v>
      </c>
      <c r="AH919">
        <v>0</v>
      </c>
      <c r="AI919">
        <v>2</v>
      </c>
      <c r="AJ919" s="2" t="str">
        <f>IF(A919 A919 &lt;= 25, "18-25", IF(A919 &lt;=35, "26-35", IF(A919 &lt;=45, "36-45", IF(Table3[[#This Row],[Age]] &lt;=55, "46-55", "56+"))))</f>
        <v>26-35</v>
      </c>
      <c r="AK919" t="str">
        <f t="shared" si="14"/>
        <v>Low</v>
      </c>
      <c r="AL919" s="2" t="str">
        <f>IF(AF919 &lt; 3, "0-2 Years", IF(AF919 &lt;= 5, "3-5 Years", IF(AF919 &lt;= 10, "6-10 Years",IF(Table3[[#This Row],[Years At Company]]&lt;=20, "11-20 Years","20+ Years"))))</f>
        <v>3-5 Years</v>
      </c>
    </row>
    <row r="920" spans="1:38" x14ac:dyDescent="0.25">
      <c r="A920" s="2">
        <v>51</v>
      </c>
      <c r="B920" t="s">
        <v>43</v>
      </c>
      <c r="C920" t="s">
        <v>44</v>
      </c>
      <c r="D920" s="2">
        <v>237</v>
      </c>
      <c r="E920" t="s">
        <v>37</v>
      </c>
      <c r="F920" s="2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 s="2">
        <v>19847</v>
      </c>
      <c r="T920">
        <v>19196</v>
      </c>
      <c r="U920">
        <v>4</v>
      </c>
      <c r="V920" t="s">
        <v>42</v>
      </c>
      <c r="W920" t="s">
        <v>35</v>
      </c>
      <c r="X920" s="2">
        <v>24</v>
      </c>
      <c r="Y920">
        <v>4</v>
      </c>
      <c r="Z920">
        <v>1</v>
      </c>
      <c r="AA920">
        <v>80</v>
      </c>
      <c r="AB920">
        <v>1</v>
      </c>
      <c r="AC920" s="2">
        <v>31</v>
      </c>
      <c r="AD920">
        <v>5</v>
      </c>
      <c r="AE920">
        <v>2</v>
      </c>
      <c r="AF920" s="2">
        <v>29</v>
      </c>
      <c r="AG920">
        <v>10</v>
      </c>
      <c r="AH920">
        <v>11</v>
      </c>
      <c r="AI920">
        <v>10</v>
      </c>
      <c r="AJ920" s="2" t="str">
        <f>IF(A920 A920 &lt;= 25, "18-25", IF(A920 &lt;=35, "26-35", IF(A920 &lt;=45, "36-45", IF(Table3[[#This Row],[Age]] &lt;=55, "46-55", "56+"))))</f>
        <v>46-55</v>
      </c>
      <c r="AK920" t="str">
        <f t="shared" si="14"/>
        <v>High</v>
      </c>
      <c r="AL920" s="2" t="str">
        <f>IF(AF920 &lt; 3, "0-2 Years", IF(AF920 &lt;= 5, "3-5 Years", IF(AF920 &lt;= 10, "6-10 Years",IF(Table3[[#This Row],[Years At Company]]&lt;=20, "11-20 Years","20+ Years"))))</f>
        <v>20+ Years</v>
      </c>
    </row>
    <row r="921" spans="1:38" x14ac:dyDescent="0.25">
      <c r="A921" s="2">
        <v>59</v>
      </c>
      <c r="B921" t="s">
        <v>43</v>
      </c>
      <c r="C921" t="s">
        <v>36</v>
      </c>
      <c r="D921" s="2">
        <v>1429</v>
      </c>
      <c r="E921" t="s">
        <v>45</v>
      </c>
      <c r="F921" s="2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 s="2">
        <v>10512</v>
      </c>
      <c r="T921">
        <v>20002</v>
      </c>
      <c r="U921">
        <v>6</v>
      </c>
      <c r="V921" t="s">
        <v>42</v>
      </c>
      <c r="W921" t="s">
        <v>43</v>
      </c>
      <c r="X921" s="2">
        <v>12</v>
      </c>
      <c r="Y921">
        <v>3</v>
      </c>
      <c r="Z921">
        <v>4</v>
      </c>
      <c r="AA921">
        <v>80</v>
      </c>
      <c r="AB921">
        <v>0</v>
      </c>
      <c r="AC921" s="2">
        <v>25</v>
      </c>
      <c r="AD921">
        <v>6</v>
      </c>
      <c r="AE921">
        <v>2</v>
      </c>
      <c r="AF921" s="2">
        <v>9</v>
      </c>
      <c r="AG921">
        <v>7</v>
      </c>
      <c r="AH921">
        <v>5</v>
      </c>
      <c r="AI921">
        <v>4</v>
      </c>
      <c r="AJ921" s="2" t="str">
        <f>IF(A921 A921 &lt;= 25, "18-25", IF(A921 &lt;=35, "26-35", IF(A921 &lt;=45, "36-45", IF(Table3[[#This Row],[Age]] &lt;=55, "46-55", "56+"))))</f>
        <v>56+</v>
      </c>
      <c r="AK921" t="str">
        <f t="shared" si="14"/>
        <v>High</v>
      </c>
      <c r="AL921" s="2" t="str">
        <f>IF(AF921 &lt; 3, "0-2 Years", IF(AF921 &lt;= 5, "3-5 Years", IF(AF921 &lt;= 10, "6-10 Years",IF(Table3[[#This Row],[Years At Company]]&lt;=20, "11-20 Years","20+ Years"))))</f>
        <v>6-10 Years</v>
      </c>
    </row>
    <row r="922" spans="1:38" x14ac:dyDescent="0.25">
      <c r="A922" s="2">
        <v>34</v>
      </c>
      <c r="B922" t="s">
        <v>43</v>
      </c>
      <c r="C922" t="s">
        <v>44</v>
      </c>
      <c r="D922" s="2">
        <v>135</v>
      </c>
      <c r="E922" t="s">
        <v>45</v>
      </c>
      <c r="F922" s="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 s="2">
        <v>4444</v>
      </c>
      <c r="T922">
        <v>22534</v>
      </c>
      <c r="U922">
        <v>4</v>
      </c>
      <c r="V922" t="s">
        <v>42</v>
      </c>
      <c r="W922" t="s">
        <v>43</v>
      </c>
      <c r="X922" s="2">
        <v>13</v>
      </c>
      <c r="Y922">
        <v>3</v>
      </c>
      <c r="Z922">
        <v>3</v>
      </c>
      <c r="AA922">
        <v>80</v>
      </c>
      <c r="AB922">
        <v>2</v>
      </c>
      <c r="AC922" s="2">
        <v>15</v>
      </c>
      <c r="AD922">
        <v>2</v>
      </c>
      <c r="AE922">
        <v>4</v>
      </c>
      <c r="AF922" s="2">
        <v>11</v>
      </c>
      <c r="AG922">
        <v>8</v>
      </c>
      <c r="AH922">
        <v>5</v>
      </c>
      <c r="AI922">
        <v>10</v>
      </c>
      <c r="AJ922" s="2" t="str">
        <f>IF(A922 A922 &lt;= 25, "18-25", IF(A922 &lt;=35, "26-35", IF(A922 &lt;=45, "36-45", IF(Table3[[#This Row],[Age]] &lt;=55, "46-55", "56+"))))</f>
        <v>26-35</v>
      </c>
      <c r="AK922" t="str">
        <f t="shared" si="14"/>
        <v>Low</v>
      </c>
      <c r="AL922" s="2" t="str">
        <f>IF(AF922 &lt; 3, "0-2 Years", IF(AF922 &lt;= 5, "3-5 Years", IF(AF922 &lt;= 10, "6-10 Years",IF(Table3[[#This Row],[Years At Company]]&lt;=20, "11-20 Years","20+ Years"))))</f>
        <v>11-20 Years</v>
      </c>
    </row>
    <row r="923" spans="1:38" x14ac:dyDescent="0.25">
      <c r="A923" s="2">
        <v>28</v>
      </c>
      <c r="B923" t="s">
        <v>43</v>
      </c>
      <c r="C923" t="s">
        <v>44</v>
      </c>
      <c r="D923" s="2">
        <v>791</v>
      </c>
      <c r="E923" t="s">
        <v>45</v>
      </c>
      <c r="F923" s="2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 s="2">
        <v>2154</v>
      </c>
      <c r="T923">
        <v>6842</v>
      </c>
      <c r="U923">
        <v>0</v>
      </c>
      <c r="V923" t="s">
        <v>42</v>
      </c>
      <c r="W923" t="s">
        <v>35</v>
      </c>
      <c r="X923" s="2">
        <v>11</v>
      </c>
      <c r="Y923">
        <v>3</v>
      </c>
      <c r="Z923">
        <v>3</v>
      </c>
      <c r="AA923">
        <v>80</v>
      </c>
      <c r="AB923">
        <v>0</v>
      </c>
      <c r="AC923" s="2">
        <v>5</v>
      </c>
      <c r="AD923">
        <v>2</v>
      </c>
      <c r="AE923">
        <v>2</v>
      </c>
      <c r="AF923" s="2">
        <v>4</v>
      </c>
      <c r="AG923">
        <v>2</v>
      </c>
      <c r="AH923">
        <v>0</v>
      </c>
      <c r="AI923">
        <v>2</v>
      </c>
      <c r="AJ923" s="2" t="str">
        <f>IF(A923 A923 &lt;= 25, "18-25", IF(A923 &lt;=35, "26-35", IF(A923 &lt;=45, "36-45", IF(Table3[[#This Row],[Age]] &lt;=55, "46-55", "56+"))))</f>
        <v>26-35</v>
      </c>
      <c r="AK923" t="str">
        <f t="shared" si="14"/>
        <v>Low</v>
      </c>
      <c r="AL923" s="2" t="str">
        <f>IF(AF923 &lt; 3, "0-2 Years", IF(AF923 &lt;= 5, "3-5 Years", IF(AF923 &lt;= 10, "6-10 Years",IF(Table3[[#This Row],[Years At Company]]&lt;=20, "11-20 Years","20+ Years"))))</f>
        <v>3-5 Years</v>
      </c>
    </row>
    <row r="924" spans="1:38" x14ac:dyDescent="0.25">
      <c r="A924" s="2">
        <v>44</v>
      </c>
      <c r="B924" t="s">
        <v>43</v>
      </c>
      <c r="C924" t="s">
        <v>36</v>
      </c>
      <c r="D924" s="2">
        <v>1199</v>
      </c>
      <c r="E924" t="s">
        <v>45</v>
      </c>
      <c r="F924" s="2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 s="2">
        <v>19190</v>
      </c>
      <c r="T924">
        <v>17477</v>
      </c>
      <c r="U924">
        <v>1</v>
      </c>
      <c r="V924" t="s">
        <v>42</v>
      </c>
      <c r="W924" t="s">
        <v>43</v>
      </c>
      <c r="X924" s="2">
        <v>14</v>
      </c>
      <c r="Y924">
        <v>3</v>
      </c>
      <c r="Z924">
        <v>4</v>
      </c>
      <c r="AA924">
        <v>80</v>
      </c>
      <c r="AB924">
        <v>2</v>
      </c>
      <c r="AC924" s="2">
        <v>26</v>
      </c>
      <c r="AD924">
        <v>4</v>
      </c>
      <c r="AE924">
        <v>2</v>
      </c>
      <c r="AF924" s="2">
        <v>25</v>
      </c>
      <c r="AG924">
        <v>9</v>
      </c>
      <c r="AH924">
        <v>14</v>
      </c>
      <c r="AI924">
        <v>13</v>
      </c>
      <c r="AJ924" s="2" t="str">
        <f>IF(A924 A924 &lt;= 25, "18-25", IF(A924 &lt;=35, "26-35", IF(A924 &lt;=45, "36-45", IF(Table3[[#This Row],[Age]] &lt;=55, "46-55", "56+"))))</f>
        <v>36-45</v>
      </c>
      <c r="AK924" t="str">
        <f t="shared" si="14"/>
        <v>High</v>
      </c>
      <c r="AL924" s="2" t="str">
        <f>IF(AF924 &lt; 3, "0-2 Years", IF(AF924 &lt;= 5, "3-5 Years", IF(AF924 &lt;= 10, "6-10 Years",IF(Table3[[#This Row],[Years At Company]]&lt;=20, "11-20 Years","20+ Years"))))</f>
        <v>20+ Years</v>
      </c>
    </row>
    <row r="925" spans="1:38" x14ac:dyDescent="0.25">
      <c r="A925" s="2">
        <v>34</v>
      </c>
      <c r="B925" t="s">
        <v>43</v>
      </c>
      <c r="C925" t="s">
        <v>44</v>
      </c>
      <c r="D925" s="2">
        <v>648</v>
      </c>
      <c r="E925" t="s">
        <v>61</v>
      </c>
      <c r="F925" s="2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 s="2">
        <v>4490</v>
      </c>
      <c r="T925">
        <v>21833</v>
      </c>
      <c r="U925">
        <v>4</v>
      </c>
      <c r="V925" t="s">
        <v>42</v>
      </c>
      <c r="W925" t="s">
        <v>43</v>
      </c>
      <c r="X925" s="2">
        <v>11</v>
      </c>
      <c r="Y925">
        <v>3</v>
      </c>
      <c r="Z925">
        <v>4</v>
      </c>
      <c r="AA925">
        <v>80</v>
      </c>
      <c r="AB925">
        <v>2</v>
      </c>
      <c r="AC925" s="2">
        <v>14</v>
      </c>
      <c r="AD925">
        <v>5</v>
      </c>
      <c r="AE925">
        <v>4</v>
      </c>
      <c r="AF925" s="2">
        <v>10</v>
      </c>
      <c r="AG925">
        <v>9</v>
      </c>
      <c r="AH925">
        <v>1</v>
      </c>
      <c r="AI925">
        <v>8</v>
      </c>
      <c r="AJ925" s="2" t="str">
        <f>IF(A925 A925 &lt;= 25, "18-25", IF(A925 &lt;=35, "26-35", IF(A925 &lt;=45, "36-45", IF(Table3[[#This Row],[Age]] &lt;=55, "46-55", "56+"))))</f>
        <v>26-35</v>
      </c>
      <c r="AK925" t="str">
        <f t="shared" si="14"/>
        <v>Low</v>
      </c>
      <c r="AL925" s="2" t="str">
        <f>IF(AF925 &lt; 3, "0-2 Years", IF(AF925 &lt;= 5, "3-5 Years", IF(AF925 &lt;= 10, "6-10 Years",IF(Table3[[#This Row],[Years At Company]]&lt;=20, "11-20 Years","20+ Years"))))</f>
        <v>6-10 Years</v>
      </c>
    </row>
    <row r="926" spans="1:38" x14ac:dyDescent="0.25">
      <c r="A926" s="2">
        <v>35</v>
      </c>
      <c r="B926" t="s">
        <v>43</v>
      </c>
      <c r="C926" t="s">
        <v>36</v>
      </c>
      <c r="D926" s="2">
        <v>735</v>
      </c>
      <c r="E926" t="s">
        <v>45</v>
      </c>
      <c r="F926" s="2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 s="2">
        <v>3506</v>
      </c>
      <c r="T926">
        <v>6020</v>
      </c>
      <c r="U926">
        <v>0</v>
      </c>
      <c r="V926" t="s">
        <v>42</v>
      </c>
      <c r="W926" t="s">
        <v>35</v>
      </c>
      <c r="X926" s="2">
        <v>14</v>
      </c>
      <c r="Y926">
        <v>3</v>
      </c>
      <c r="Z926">
        <v>4</v>
      </c>
      <c r="AA926">
        <v>80</v>
      </c>
      <c r="AB926">
        <v>0</v>
      </c>
      <c r="AC926" s="2">
        <v>4</v>
      </c>
      <c r="AD926">
        <v>3</v>
      </c>
      <c r="AE926">
        <v>3</v>
      </c>
      <c r="AF926" s="2">
        <v>3</v>
      </c>
      <c r="AG926">
        <v>2</v>
      </c>
      <c r="AH926">
        <v>2</v>
      </c>
      <c r="AI926">
        <v>2</v>
      </c>
      <c r="AJ926" s="2" t="str">
        <f>IF(A926 A926 &lt;= 25, "18-25", IF(A926 &lt;=35, "26-35", IF(A926 &lt;=45, "36-45", IF(Table3[[#This Row],[Age]] &lt;=55, "46-55", "56+"))))</f>
        <v>26-35</v>
      </c>
      <c r="AK926" t="str">
        <f t="shared" si="14"/>
        <v>Low</v>
      </c>
      <c r="AL926" s="2" t="str">
        <f>IF(AF926 &lt; 3, "0-2 Years", IF(AF926 &lt;= 5, "3-5 Years", IF(AF926 &lt;= 10, "6-10 Years",IF(Table3[[#This Row],[Years At Company]]&lt;=20, "11-20 Years","20+ Years"))))</f>
        <v>3-5 Years</v>
      </c>
    </row>
    <row r="927" spans="1:38" x14ac:dyDescent="0.25">
      <c r="A927" s="2">
        <v>42</v>
      </c>
      <c r="B927" t="s">
        <v>43</v>
      </c>
      <c r="C927" t="s">
        <v>36</v>
      </c>
      <c r="D927" s="2">
        <v>603</v>
      </c>
      <c r="E927" t="s">
        <v>45</v>
      </c>
      <c r="F927" s="2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 s="2">
        <v>2372</v>
      </c>
      <c r="T927">
        <v>5628</v>
      </c>
      <c r="U927">
        <v>6</v>
      </c>
      <c r="V927" t="s">
        <v>42</v>
      </c>
      <c r="W927" t="s">
        <v>35</v>
      </c>
      <c r="X927" s="2">
        <v>16</v>
      </c>
      <c r="Y927">
        <v>3</v>
      </c>
      <c r="Z927">
        <v>4</v>
      </c>
      <c r="AA927">
        <v>80</v>
      </c>
      <c r="AB927">
        <v>0</v>
      </c>
      <c r="AC927" s="2">
        <v>18</v>
      </c>
      <c r="AD927">
        <v>2</v>
      </c>
      <c r="AE927">
        <v>3</v>
      </c>
      <c r="AF927" s="2">
        <v>1</v>
      </c>
      <c r="AG927">
        <v>0</v>
      </c>
      <c r="AH927">
        <v>0</v>
      </c>
      <c r="AI927">
        <v>0</v>
      </c>
      <c r="AJ927" s="2" t="str">
        <f>IF(A927 A927 &lt;= 25, "18-25", IF(A927 &lt;=35, "26-35", IF(A927 &lt;=45, "36-45", IF(Table3[[#This Row],[Age]] &lt;=55, "46-55", "56+"))))</f>
        <v>36-45</v>
      </c>
      <c r="AK927" t="str">
        <f t="shared" si="14"/>
        <v>Low</v>
      </c>
      <c r="AL927" s="2" t="str">
        <f>IF(AF927 &lt; 3, "0-2 Years", IF(AF927 &lt;= 5, "3-5 Years", IF(AF927 &lt;= 10, "6-10 Years",IF(Table3[[#This Row],[Years At Company]]&lt;=20, "11-20 Years","20+ Years"))))</f>
        <v>0-2 Years</v>
      </c>
    </row>
    <row r="928" spans="1:38" x14ac:dyDescent="0.25">
      <c r="A928" s="2">
        <v>43</v>
      </c>
      <c r="B928" t="s">
        <v>43</v>
      </c>
      <c r="C928" t="s">
        <v>36</v>
      </c>
      <c r="D928" s="2">
        <v>531</v>
      </c>
      <c r="E928" t="s">
        <v>37</v>
      </c>
      <c r="F928" s="2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 s="2">
        <v>10231</v>
      </c>
      <c r="T928">
        <v>20364</v>
      </c>
      <c r="U928">
        <v>3</v>
      </c>
      <c r="V928" t="s">
        <v>42</v>
      </c>
      <c r="W928" t="s">
        <v>43</v>
      </c>
      <c r="X928" s="2">
        <v>14</v>
      </c>
      <c r="Y928">
        <v>3</v>
      </c>
      <c r="Z928">
        <v>4</v>
      </c>
      <c r="AA928">
        <v>80</v>
      </c>
      <c r="AB928">
        <v>0</v>
      </c>
      <c r="AC928" s="2">
        <v>23</v>
      </c>
      <c r="AD928">
        <v>3</v>
      </c>
      <c r="AE928">
        <v>4</v>
      </c>
      <c r="AF928" s="2">
        <v>21</v>
      </c>
      <c r="AG928">
        <v>7</v>
      </c>
      <c r="AH928">
        <v>15</v>
      </c>
      <c r="AI928">
        <v>17</v>
      </c>
      <c r="AJ928" s="2" t="str">
        <f>IF(A928 A928 &lt;= 25, "18-25", IF(A928 &lt;=35, "26-35", IF(A928 &lt;=45, "36-45", IF(Table3[[#This Row],[Age]] &lt;=55, "46-55", "56+"))))</f>
        <v>36-45</v>
      </c>
      <c r="AK928" t="str">
        <f t="shared" si="14"/>
        <v>High</v>
      </c>
      <c r="AL928" s="2" t="str">
        <f>IF(AF928 &lt; 3, "0-2 Years", IF(AF928 &lt;= 5, "3-5 Years", IF(AF928 &lt;= 10, "6-10 Years",IF(Table3[[#This Row],[Years At Company]]&lt;=20, "11-20 Years","20+ Years"))))</f>
        <v>20+ Years</v>
      </c>
    </row>
    <row r="929" spans="1:38" x14ac:dyDescent="0.25">
      <c r="A929" s="2">
        <v>36</v>
      </c>
      <c r="B929" t="s">
        <v>43</v>
      </c>
      <c r="C929" t="s">
        <v>36</v>
      </c>
      <c r="D929" s="2">
        <v>429</v>
      </c>
      <c r="E929" t="s">
        <v>45</v>
      </c>
      <c r="F929" s="2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 s="2">
        <v>5410</v>
      </c>
      <c r="T929">
        <v>2323</v>
      </c>
      <c r="U929">
        <v>9</v>
      </c>
      <c r="V929" t="s">
        <v>42</v>
      </c>
      <c r="W929" t="s">
        <v>35</v>
      </c>
      <c r="X929" s="2">
        <v>11</v>
      </c>
      <c r="Y929">
        <v>3</v>
      </c>
      <c r="Z929">
        <v>4</v>
      </c>
      <c r="AA929">
        <v>80</v>
      </c>
      <c r="AB929">
        <v>0</v>
      </c>
      <c r="AC929" s="2">
        <v>18</v>
      </c>
      <c r="AD929">
        <v>2</v>
      </c>
      <c r="AE929">
        <v>3</v>
      </c>
      <c r="AF929" s="2">
        <v>16</v>
      </c>
      <c r="AG929">
        <v>14</v>
      </c>
      <c r="AH929">
        <v>5</v>
      </c>
      <c r="AI929">
        <v>12</v>
      </c>
      <c r="AJ929" s="2" t="str">
        <f>IF(A929 A929 &lt;= 25, "18-25", IF(A929 &lt;=35, "26-35", IF(A929 &lt;=45, "36-45", IF(Table3[[#This Row],[Age]] &lt;=55, "46-55", "56+"))))</f>
        <v>36-45</v>
      </c>
      <c r="AK929" t="str">
        <f t="shared" si="14"/>
        <v>Medium</v>
      </c>
      <c r="AL929" s="2" t="str">
        <f>IF(AF929 &lt; 3, "0-2 Years", IF(AF929 &lt;= 5, "3-5 Years", IF(AF929 &lt;= 10, "6-10 Years",IF(Table3[[#This Row],[Years At Company]]&lt;=20, "11-20 Years","20+ Years"))))</f>
        <v>11-20 Years</v>
      </c>
    </row>
    <row r="930" spans="1:38" x14ac:dyDescent="0.25">
      <c r="A930" s="2">
        <v>44</v>
      </c>
      <c r="B930" t="s">
        <v>35</v>
      </c>
      <c r="C930" t="s">
        <v>36</v>
      </c>
      <c r="D930" s="2">
        <v>621</v>
      </c>
      <c r="E930" t="s">
        <v>45</v>
      </c>
      <c r="F930" s="2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 s="2">
        <v>7978</v>
      </c>
      <c r="T930">
        <v>14075</v>
      </c>
      <c r="U930">
        <v>1</v>
      </c>
      <c r="V930" t="s">
        <v>42</v>
      </c>
      <c r="W930" t="s">
        <v>43</v>
      </c>
      <c r="X930" s="2">
        <v>11</v>
      </c>
      <c r="Y930">
        <v>3</v>
      </c>
      <c r="Z930">
        <v>4</v>
      </c>
      <c r="AA930">
        <v>80</v>
      </c>
      <c r="AB930">
        <v>1</v>
      </c>
      <c r="AC930" s="2">
        <v>10</v>
      </c>
      <c r="AD930">
        <v>2</v>
      </c>
      <c r="AE930">
        <v>3</v>
      </c>
      <c r="AF930" s="2">
        <v>10</v>
      </c>
      <c r="AG930">
        <v>7</v>
      </c>
      <c r="AH930">
        <v>0</v>
      </c>
      <c r="AI930">
        <v>5</v>
      </c>
      <c r="AJ930" s="2" t="str">
        <f>IF(A930 A930 &lt;= 25, "18-25", IF(A930 &lt;=35, "26-35", IF(A930 &lt;=45, "36-45", IF(Table3[[#This Row],[Age]] &lt;=55, "46-55", "56+"))))</f>
        <v>36-45</v>
      </c>
      <c r="AK930" t="str">
        <f t="shared" si="14"/>
        <v>Medium</v>
      </c>
      <c r="AL930" s="2" t="str">
        <f>IF(AF930 &lt; 3, "0-2 Years", IF(AF930 &lt;= 5, "3-5 Years", IF(AF930 &lt;= 10, "6-10 Years",IF(Table3[[#This Row],[Years At Company]]&lt;=20, "11-20 Years","20+ Years"))))</f>
        <v>6-10 Years</v>
      </c>
    </row>
    <row r="931" spans="1:38" x14ac:dyDescent="0.25">
      <c r="A931" s="2">
        <v>28</v>
      </c>
      <c r="B931" t="s">
        <v>43</v>
      </c>
      <c r="C931" t="s">
        <v>44</v>
      </c>
      <c r="D931" s="2">
        <v>193</v>
      </c>
      <c r="E931" t="s">
        <v>45</v>
      </c>
      <c r="F931" s="2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 s="2">
        <v>3867</v>
      </c>
      <c r="T931">
        <v>14222</v>
      </c>
      <c r="U931">
        <v>1</v>
      </c>
      <c r="V931" t="s">
        <v>42</v>
      </c>
      <c r="W931" t="s">
        <v>35</v>
      </c>
      <c r="X931" s="2">
        <v>12</v>
      </c>
      <c r="Y931">
        <v>3</v>
      </c>
      <c r="Z931">
        <v>2</v>
      </c>
      <c r="AA931">
        <v>80</v>
      </c>
      <c r="AB931">
        <v>1</v>
      </c>
      <c r="AC931" s="2">
        <v>2</v>
      </c>
      <c r="AD931">
        <v>2</v>
      </c>
      <c r="AE931">
        <v>3</v>
      </c>
      <c r="AF931" s="2">
        <v>2</v>
      </c>
      <c r="AG931">
        <v>2</v>
      </c>
      <c r="AH931">
        <v>2</v>
      </c>
      <c r="AI931">
        <v>2</v>
      </c>
      <c r="AJ931" s="2" t="str">
        <f>IF(A931 A931 &lt;= 25, "18-25", IF(A931 &lt;=35, "26-35", IF(A931 &lt;=45, "36-45", IF(Table3[[#This Row],[Age]] &lt;=55, "46-55", "56+"))))</f>
        <v>26-35</v>
      </c>
      <c r="AK931" t="str">
        <f t="shared" si="14"/>
        <v>Low</v>
      </c>
      <c r="AL931" s="2" t="str">
        <f>IF(AF931 &lt; 3, "0-2 Years", IF(AF931 &lt;= 5, "3-5 Years", IF(AF931 &lt;= 10, "6-10 Years",IF(Table3[[#This Row],[Years At Company]]&lt;=20, "11-20 Years","20+ Years"))))</f>
        <v>0-2 Years</v>
      </c>
    </row>
    <row r="932" spans="1:38" x14ac:dyDescent="0.25">
      <c r="A932" s="2">
        <v>51</v>
      </c>
      <c r="B932" t="s">
        <v>43</v>
      </c>
      <c r="C932" t="s">
        <v>44</v>
      </c>
      <c r="D932" s="2">
        <v>968</v>
      </c>
      <c r="E932" t="s">
        <v>45</v>
      </c>
      <c r="F932" s="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 s="2">
        <v>2838</v>
      </c>
      <c r="T932">
        <v>4257</v>
      </c>
      <c r="U932">
        <v>0</v>
      </c>
      <c r="V932" t="s">
        <v>42</v>
      </c>
      <c r="W932" t="s">
        <v>43</v>
      </c>
      <c r="X932" s="2">
        <v>14</v>
      </c>
      <c r="Y932">
        <v>3</v>
      </c>
      <c r="Z932">
        <v>2</v>
      </c>
      <c r="AA932">
        <v>80</v>
      </c>
      <c r="AB932">
        <v>0</v>
      </c>
      <c r="AC932" s="2">
        <v>8</v>
      </c>
      <c r="AD932">
        <v>6</v>
      </c>
      <c r="AE932">
        <v>2</v>
      </c>
      <c r="AF932" s="2">
        <v>7</v>
      </c>
      <c r="AG932">
        <v>0</v>
      </c>
      <c r="AH932">
        <v>7</v>
      </c>
      <c r="AI932">
        <v>7</v>
      </c>
      <c r="AJ932" s="2" t="str">
        <f>IF(A932 A932 &lt;= 25, "18-25", IF(A932 &lt;=35, "26-35", IF(A932 &lt;=45, "36-45", IF(Table3[[#This Row],[Age]] &lt;=55, "46-55", "56+"))))</f>
        <v>46-55</v>
      </c>
      <c r="AK932" t="str">
        <f t="shared" si="14"/>
        <v>Low</v>
      </c>
      <c r="AL932" s="2" t="str">
        <f>IF(AF932 &lt; 3, "0-2 Years", IF(AF932 &lt;= 5, "3-5 Years", IF(AF932 &lt;= 10, "6-10 Years",IF(Table3[[#This Row],[Years At Company]]&lt;=20, "11-20 Years","20+ Years"))))</f>
        <v>6-10 Years</v>
      </c>
    </row>
    <row r="933" spans="1:38" x14ac:dyDescent="0.25">
      <c r="A933" s="2">
        <v>30</v>
      </c>
      <c r="B933" t="s">
        <v>43</v>
      </c>
      <c r="C933" t="s">
        <v>55</v>
      </c>
      <c r="D933" s="2">
        <v>879</v>
      </c>
      <c r="E933" t="s">
        <v>45</v>
      </c>
      <c r="F933" s="2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 s="2">
        <v>4695</v>
      </c>
      <c r="T933">
        <v>12858</v>
      </c>
      <c r="U933">
        <v>7</v>
      </c>
      <c r="V933" t="s">
        <v>42</v>
      </c>
      <c r="W933" t="s">
        <v>35</v>
      </c>
      <c r="X933" s="2">
        <v>18</v>
      </c>
      <c r="Y933">
        <v>3</v>
      </c>
      <c r="Z933">
        <v>3</v>
      </c>
      <c r="AA933">
        <v>80</v>
      </c>
      <c r="AB933">
        <v>0</v>
      </c>
      <c r="AC933" s="2">
        <v>10</v>
      </c>
      <c r="AD933">
        <v>3</v>
      </c>
      <c r="AE933">
        <v>3</v>
      </c>
      <c r="AF933" s="2">
        <v>8</v>
      </c>
      <c r="AG933">
        <v>4</v>
      </c>
      <c r="AH933">
        <v>1</v>
      </c>
      <c r="AI933">
        <v>7</v>
      </c>
      <c r="AJ933" s="2" t="str">
        <f>IF(A933 A933 &lt;= 25, "18-25", IF(A933 &lt;=35, "26-35", IF(A933 &lt;=45, "36-45", IF(Table3[[#This Row],[Age]] &lt;=55, "46-55", "56+"))))</f>
        <v>26-35</v>
      </c>
      <c r="AK933" t="str">
        <f t="shared" si="14"/>
        <v>Low</v>
      </c>
      <c r="AL933" s="2" t="str">
        <f>IF(AF933 &lt; 3, "0-2 Years", IF(AF933 &lt;= 5, "3-5 Years", IF(AF933 &lt;= 10, "6-10 Years",IF(Table3[[#This Row],[Years At Company]]&lt;=20, "11-20 Years","20+ Years"))))</f>
        <v>6-10 Years</v>
      </c>
    </row>
    <row r="934" spans="1:38" x14ac:dyDescent="0.25">
      <c r="A934" s="2">
        <v>29</v>
      </c>
      <c r="B934" t="s">
        <v>35</v>
      </c>
      <c r="C934" t="s">
        <v>36</v>
      </c>
      <c r="D934" s="2">
        <v>806</v>
      </c>
      <c r="E934" t="s">
        <v>45</v>
      </c>
      <c r="F934" s="2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 s="2">
        <v>3339</v>
      </c>
      <c r="T934">
        <v>17285</v>
      </c>
      <c r="U934">
        <v>3</v>
      </c>
      <c r="V934" t="s">
        <v>42</v>
      </c>
      <c r="W934" t="s">
        <v>35</v>
      </c>
      <c r="X934" s="2">
        <v>13</v>
      </c>
      <c r="Y934">
        <v>3</v>
      </c>
      <c r="Z934">
        <v>1</v>
      </c>
      <c r="AA934">
        <v>80</v>
      </c>
      <c r="AB934">
        <v>2</v>
      </c>
      <c r="AC934" s="2">
        <v>10</v>
      </c>
      <c r="AD934">
        <v>2</v>
      </c>
      <c r="AE934">
        <v>3</v>
      </c>
      <c r="AF934" s="2">
        <v>7</v>
      </c>
      <c r="AG934">
        <v>7</v>
      </c>
      <c r="AH934">
        <v>7</v>
      </c>
      <c r="AI934">
        <v>7</v>
      </c>
      <c r="AJ934" s="2" t="str">
        <f>IF(A934 A934 &lt;= 25, "18-25", IF(A934 &lt;=35, "26-35", IF(A934 &lt;=45, "36-45", IF(Table3[[#This Row],[Age]] &lt;=55, "46-55", "56+"))))</f>
        <v>26-35</v>
      </c>
      <c r="AK934" t="str">
        <f t="shared" si="14"/>
        <v>Low</v>
      </c>
      <c r="AL934" s="2" t="str">
        <f>IF(AF934 &lt; 3, "0-2 Years", IF(AF934 &lt;= 5, "3-5 Years", IF(AF934 &lt;= 10, "6-10 Years",IF(Table3[[#This Row],[Years At Company]]&lt;=20, "11-20 Years","20+ Years"))))</f>
        <v>6-10 Years</v>
      </c>
    </row>
    <row r="935" spans="1:38" x14ac:dyDescent="0.25">
      <c r="A935" s="2">
        <v>28</v>
      </c>
      <c r="B935" t="s">
        <v>43</v>
      </c>
      <c r="C935" t="s">
        <v>36</v>
      </c>
      <c r="D935" s="2">
        <v>640</v>
      </c>
      <c r="E935" t="s">
        <v>45</v>
      </c>
      <c r="F935" s="2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 s="2">
        <v>2080</v>
      </c>
      <c r="T935">
        <v>4732</v>
      </c>
      <c r="U935">
        <v>2</v>
      </c>
      <c r="V935" t="s">
        <v>42</v>
      </c>
      <c r="W935" t="s">
        <v>43</v>
      </c>
      <c r="X935" s="2">
        <v>11</v>
      </c>
      <c r="Y935">
        <v>3</v>
      </c>
      <c r="Z935">
        <v>2</v>
      </c>
      <c r="AA935">
        <v>80</v>
      </c>
      <c r="AB935">
        <v>0</v>
      </c>
      <c r="AC935" s="2">
        <v>5</v>
      </c>
      <c r="AD935">
        <v>2</v>
      </c>
      <c r="AE935">
        <v>2</v>
      </c>
      <c r="AF935" s="2">
        <v>3</v>
      </c>
      <c r="AG935">
        <v>2</v>
      </c>
      <c r="AH935">
        <v>1</v>
      </c>
      <c r="AI935">
        <v>2</v>
      </c>
      <c r="AJ935" s="2" t="str">
        <f>IF(A935 A935 &lt;= 25, "18-25", IF(A935 &lt;=35, "26-35", IF(A935 &lt;=45, "36-45", IF(Table3[[#This Row],[Age]] &lt;=55, "46-55", "56+"))))</f>
        <v>26-35</v>
      </c>
      <c r="AK935" t="str">
        <f t="shared" si="14"/>
        <v>Low</v>
      </c>
      <c r="AL935" s="2" t="str">
        <f>IF(AF935 &lt; 3, "0-2 Years", IF(AF935 &lt;= 5, "3-5 Years", IF(AF935 &lt;= 10, "6-10 Years",IF(Table3[[#This Row],[Years At Company]]&lt;=20, "11-20 Years","20+ Years"))))</f>
        <v>3-5 Years</v>
      </c>
    </row>
    <row r="936" spans="1:38" x14ac:dyDescent="0.25">
      <c r="A936" s="2">
        <v>25</v>
      </c>
      <c r="B936" t="s">
        <v>43</v>
      </c>
      <c r="C936" t="s">
        <v>36</v>
      </c>
      <c r="D936" s="2">
        <v>266</v>
      </c>
      <c r="E936" t="s">
        <v>45</v>
      </c>
      <c r="F936" s="2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 s="2">
        <v>2096</v>
      </c>
      <c r="T936">
        <v>18830</v>
      </c>
      <c r="U936">
        <v>1</v>
      </c>
      <c r="V936" t="s">
        <v>42</v>
      </c>
      <c r="W936" t="s">
        <v>43</v>
      </c>
      <c r="X936" s="2">
        <v>18</v>
      </c>
      <c r="Y936">
        <v>3</v>
      </c>
      <c r="Z936">
        <v>4</v>
      </c>
      <c r="AA936">
        <v>80</v>
      </c>
      <c r="AB936">
        <v>0</v>
      </c>
      <c r="AC936" s="2">
        <v>2</v>
      </c>
      <c r="AD936">
        <v>3</v>
      </c>
      <c r="AE936">
        <v>2</v>
      </c>
      <c r="AF936" s="2">
        <v>2</v>
      </c>
      <c r="AG936">
        <v>2</v>
      </c>
      <c r="AH936">
        <v>2</v>
      </c>
      <c r="AI936">
        <v>1</v>
      </c>
      <c r="AJ936" s="2" t="str">
        <f>IF(A936 A936 &lt;= 25, "18-25", IF(A936 &lt;=35, "26-35", IF(A936 &lt;=45, "36-45", IF(Table3[[#This Row],[Age]] &lt;=55, "46-55", "56+"))))</f>
        <v>18-25</v>
      </c>
      <c r="AK936" t="str">
        <f t="shared" si="14"/>
        <v>Low</v>
      </c>
      <c r="AL936" s="2" t="str">
        <f>IF(AF936 &lt; 3, "0-2 Years", IF(AF936 &lt;= 5, "3-5 Years", IF(AF936 &lt;= 10, "6-10 Years",IF(Table3[[#This Row],[Years At Company]]&lt;=20, "11-20 Years","20+ Years"))))</f>
        <v>0-2 Years</v>
      </c>
    </row>
    <row r="937" spans="1:38" x14ac:dyDescent="0.25">
      <c r="A937" s="2">
        <v>32</v>
      </c>
      <c r="B937" t="s">
        <v>43</v>
      </c>
      <c r="C937" t="s">
        <v>36</v>
      </c>
      <c r="D937" s="2">
        <v>604</v>
      </c>
      <c r="E937" t="s">
        <v>37</v>
      </c>
      <c r="F937" s="2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 s="2">
        <v>6209</v>
      </c>
      <c r="T937">
        <v>11693</v>
      </c>
      <c r="U937">
        <v>1</v>
      </c>
      <c r="V937" t="s">
        <v>42</v>
      </c>
      <c r="W937" t="s">
        <v>43</v>
      </c>
      <c r="X937" s="2">
        <v>15</v>
      </c>
      <c r="Y937">
        <v>3</v>
      </c>
      <c r="Z937">
        <v>3</v>
      </c>
      <c r="AA937">
        <v>80</v>
      </c>
      <c r="AB937">
        <v>2</v>
      </c>
      <c r="AC937" s="2">
        <v>10</v>
      </c>
      <c r="AD937">
        <v>4</v>
      </c>
      <c r="AE937">
        <v>4</v>
      </c>
      <c r="AF937" s="2">
        <v>10</v>
      </c>
      <c r="AG937">
        <v>7</v>
      </c>
      <c r="AH937">
        <v>0</v>
      </c>
      <c r="AI937">
        <v>8</v>
      </c>
      <c r="AJ937" s="2" t="str">
        <f>IF(A937 A937 &lt;= 25, "18-25", IF(A937 &lt;=35, "26-35", IF(A937 &lt;=45, "36-45", IF(Table3[[#This Row],[Age]] &lt;=55, "46-55", "56+"))))</f>
        <v>26-35</v>
      </c>
      <c r="AK937" t="str">
        <f t="shared" si="14"/>
        <v>Medium</v>
      </c>
      <c r="AL937" s="2" t="str">
        <f>IF(AF937 &lt; 3, "0-2 Years", IF(AF937 &lt;= 5, "3-5 Years", IF(AF937 &lt;= 10, "6-10 Years",IF(Table3[[#This Row],[Years At Company]]&lt;=20, "11-20 Years","20+ Years"))))</f>
        <v>6-10 Years</v>
      </c>
    </row>
    <row r="938" spans="1:38" x14ac:dyDescent="0.25">
      <c r="A938" s="2">
        <v>45</v>
      </c>
      <c r="B938" t="s">
        <v>43</v>
      </c>
      <c r="C938" t="s">
        <v>44</v>
      </c>
      <c r="D938" s="2">
        <v>364</v>
      </c>
      <c r="E938" t="s">
        <v>45</v>
      </c>
      <c r="F938" s="2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 s="2">
        <v>18061</v>
      </c>
      <c r="T938">
        <v>13035</v>
      </c>
      <c r="U938">
        <v>3</v>
      </c>
      <c r="V938" t="s">
        <v>42</v>
      </c>
      <c r="W938" t="s">
        <v>43</v>
      </c>
      <c r="X938" s="2">
        <v>22</v>
      </c>
      <c r="Y938">
        <v>4</v>
      </c>
      <c r="Z938">
        <v>3</v>
      </c>
      <c r="AA938">
        <v>80</v>
      </c>
      <c r="AB938">
        <v>0</v>
      </c>
      <c r="AC938" s="2">
        <v>22</v>
      </c>
      <c r="AD938">
        <v>4</v>
      </c>
      <c r="AE938">
        <v>3</v>
      </c>
      <c r="AF938" s="2">
        <v>0</v>
      </c>
      <c r="AG938">
        <v>0</v>
      </c>
      <c r="AH938">
        <v>0</v>
      </c>
      <c r="AI938">
        <v>0</v>
      </c>
      <c r="AJ938" s="2" t="str">
        <f>IF(A938 A938 &lt;= 25, "18-25", IF(A938 &lt;=35, "26-35", IF(A938 &lt;=45, "36-45", IF(Table3[[#This Row],[Age]] &lt;=55, "46-55", "56+"))))</f>
        <v>36-45</v>
      </c>
      <c r="AK938" t="str">
        <f t="shared" si="14"/>
        <v>High</v>
      </c>
      <c r="AL938" s="2" t="str">
        <f>IF(AF938 &lt; 3, "0-2 Years", IF(AF938 &lt;= 5, "3-5 Years", IF(AF938 &lt;= 10, "6-10 Years",IF(Table3[[#This Row],[Years At Company]]&lt;=20, "11-20 Years","20+ Years"))))</f>
        <v>0-2 Years</v>
      </c>
    </row>
    <row r="939" spans="1:38" x14ac:dyDescent="0.25">
      <c r="A939" s="2">
        <v>39</v>
      </c>
      <c r="B939" t="s">
        <v>43</v>
      </c>
      <c r="C939" t="s">
        <v>36</v>
      </c>
      <c r="D939" s="2">
        <v>412</v>
      </c>
      <c r="E939" t="s">
        <v>45</v>
      </c>
      <c r="F939" s="2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 s="2">
        <v>17123</v>
      </c>
      <c r="T939">
        <v>17334</v>
      </c>
      <c r="U939">
        <v>6</v>
      </c>
      <c r="V939" t="s">
        <v>42</v>
      </c>
      <c r="W939" t="s">
        <v>35</v>
      </c>
      <c r="X939" s="2">
        <v>13</v>
      </c>
      <c r="Y939">
        <v>3</v>
      </c>
      <c r="Z939">
        <v>4</v>
      </c>
      <c r="AA939">
        <v>80</v>
      </c>
      <c r="AB939">
        <v>2</v>
      </c>
      <c r="AC939" s="2">
        <v>21</v>
      </c>
      <c r="AD939">
        <v>4</v>
      </c>
      <c r="AE939">
        <v>3</v>
      </c>
      <c r="AF939" s="2">
        <v>19</v>
      </c>
      <c r="AG939">
        <v>9</v>
      </c>
      <c r="AH939">
        <v>15</v>
      </c>
      <c r="AI939">
        <v>2</v>
      </c>
      <c r="AJ939" s="2" t="str">
        <f>IF(A939 A939 &lt;= 25, "18-25", IF(A939 &lt;=35, "26-35", IF(A939 &lt;=45, "36-45", IF(Table3[[#This Row],[Age]] &lt;=55, "46-55", "56+"))))</f>
        <v>36-45</v>
      </c>
      <c r="AK939" t="str">
        <f t="shared" si="14"/>
        <v>High</v>
      </c>
      <c r="AL939" s="2" t="str">
        <f>IF(AF939 &lt; 3, "0-2 Years", IF(AF939 &lt;= 5, "3-5 Years", IF(AF939 &lt;= 10, "6-10 Years",IF(Table3[[#This Row],[Years At Company]]&lt;=20, "11-20 Years","20+ Years"))))</f>
        <v>11-20 Years</v>
      </c>
    </row>
    <row r="940" spans="1:38" x14ac:dyDescent="0.25">
      <c r="A940" s="2">
        <v>58</v>
      </c>
      <c r="B940" t="s">
        <v>43</v>
      </c>
      <c r="C940" t="s">
        <v>36</v>
      </c>
      <c r="D940" s="2">
        <v>848</v>
      </c>
      <c r="E940" t="s">
        <v>45</v>
      </c>
      <c r="F940" s="2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 s="2">
        <v>2372</v>
      </c>
      <c r="T940">
        <v>26076</v>
      </c>
      <c r="U940">
        <v>1</v>
      </c>
      <c r="V940" t="s">
        <v>42</v>
      </c>
      <c r="W940" t="s">
        <v>43</v>
      </c>
      <c r="X940" s="2">
        <v>12</v>
      </c>
      <c r="Y940">
        <v>3</v>
      </c>
      <c r="Z940">
        <v>4</v>
      </c>
      <c r="AA940">
        <v>80</v>
      </c>
      <c r="AB940">
        <v>2</v>
      </c>
      <c r="AC940" s="2">
        <v>2</v>
      </c>
      <c r="AD940">
        <v>3</v>
      </c>
      <c r="AE940">
        <v>3</v>
      </c>
      <c r="AF940" s="2">
        <v>2</v>
      </c>
      <c r="AG940">
        <v>2</v>
      </c>
      <c r="AH940">
        <v>2</v>
      </c>
      <c r="AI940">
        <v>2</v>
      </c>
      <c r="AJ940" s="2" t="str">
        <f>IF(A940 A940 &lt;= 25, "18-25", IF(A940 &lt;=35, "26-35", IF(A940 &lt;=45, "36-45", IF(Table3[[#This Row],[Age]] &lt;=55, "46-55", "56+"))))</f>
        <v>56+</v>
      </c>
      <c r="AK940" t="str">
        <f t="shared" si="14"/>
        <v>Low</v>
      </c>
      <c r="AL940" s="2" t="str">
        <f>IF(AF940 &lt; 3, "0-2 Years", IF(AF940 &lt;= 5, "3-5 Years", IF(AF940 &lt;= 10, "6-10 Years",IF(Table3[[#This Row],[Years At Company]]&lt;=20, "11-20 Years","20+ Years"))))</f>
        <v>0-2 Years</v>
      </c>
    </row>
    <row r="941" spans="1:38" x14ac:dyDescent="0.25">
      <c r="A941" s="2">
        <v>32</v>
      </c>
      <c r="B941" t="s">
        <v>35</v>
      </c>
      <c r="C941" t="s">
        <v>36</v>
      </c>
      <c r="D941" s="2">
        <v>1089</v>
      </c>
      <c r="E941" t="s">
        <v>45</v>
      </c>
      <c r="F941" s="2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 s="2">
        <v>4883</v>
      </c>
      <c r="T941">
        <v>22845</v>
      </c>
      <c r="U941">
        <v>1</v>
      </c>
      <c r="V941" t="s">
        <v>42</v>
      </c>
      <c r="W941" t="s">
        <v>43</v>
      </c>
      <c r="X941" s="2">
        <v>18</v>
      </c>
      <c r="Y941">
        <v>3</v>
      </c>
      <c r="Z941">
        <v>1</v>
      </c>
      <c r="AA941">
        <v>80</v>
      </c>
      <c r="AB941">
        <v>1</v>
      </c>
      <c r="AC941" s="2">
        <v>10</v>
      </c>
      <c r="AD941">
        <v>3</v>
      </c>
      <c r="AE941">
        <v>3</v>
      </c>
      <c r="AF941" s="2">
        <v>10</v>
      </c>
      <c r="AG941">
        <v>4</v>
      </c>
      <c r="AH941">
        <v>1</v>
      </c>
      <c r="AI941">
        <v>1</v>
      </c>
      <c r="AJ941" s="2" t="str">
        <f>IF(A941 A941 &lt;= 25, "18-25", IF(A941 &lt;=35, "26-35", IF(A941 &lt;=45, "36-45", IF(Table3[[#This Row],[Age]] &lt;=55, "46-55", "56+"))))</f>
        <v>26-35</v>
      </c>
      <c r="AK941" t="str">
        <f t="shared" si="14"/>
        <v>Low</v>
      </c>
      <c r="AL941" s="2" t="str">
        <f>IF(AF941 &lt; 3, "0-2 Years", IF(AF941 &lt;= 5, "3-5 Years", IF(AF941 &lt;= 10, "6-10 Years",IF(Table3[[#This Row],[Years At Company]]&lt;=20, "11-20 Years","20+ Years"))))</f>
        <v>6-10 Years</v>
      </c>
    </row>
    <row r="942" spans="1:38" x14ac:dyDescent="0.25">
      <c r="A942" s="2">
        <v>39</v>
      </c>
      <c r="B942" t="s">
        <v>35</v>
      </c>
      <c r="C942" t="s">
        <v>36</v>
      </c>
      <c r="D942" s="2">
        <v>360</v>
      </c>
      <c r="E942" t="s">
        <v>45</v>
      </c>
      <c r="F942" s="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 s="2">
        <v>3904</v>
      </c>
      <c r="T942">
        <v>22154</v>
      </c>
      <c r="U942">
        <v>0</v>
      </c>
      <c r="V942" t="s">
        <v>42</v>
      </c>
      <c r="W942" t="s">
        <v>43</v>
      </c>
      <c r="X942" s="2">
        <v>13</v>
      </c>
      <c r="Y942">
        <v>3</v>
      </c>
      <c r="Z942">
        <v>1</v>
      </c>
      <c r="AA942">
        <v>80</v>
      </c>
      <c r="AB942">
        <v>0</v>
      </c>
      <c r="AC942" s="2">
        <v>6</v>
      </c>
      <c r="AD942">
        <v>2</v>
      </c>
      <c r="AE942">
        <v>3</v>
      </c>
      <c r="AF942" s="2">
        <v>5</v>
      </c>
      <c r="AG942">
        <v>2</v>
      </c>
      <c r="AH942">
        <v>0</v>
      </c>
      <c r="AI942">
        <v>3</v>
      </c>
      <c r="AJ942" s="2" t="str">
        <f>IF(A942 A942 &lt;= 25, "18-25", IF(A942 &lt;=35, "26-35", IF(A942 &lt;=45, "36-45", IF(Table3[[#This Row],[Age]] &lt;=55, "46-55", "56+"))))</f>
        <v>36-45</v>
      </c>
      <c r="AK942" t="str">
        <f t="shared" si="14"/>
        <v>Low</v>
      </c>
      <c r="AL942" s="2" t="str">
        <f>IF(AF942 &lt; 3, "0-2 Years", IF(AF942 &lt;= 5, "3-5 Years", IF(AF942 &lt;= 10, "6-10 Years",IF(Table3[[#This Row],[Years At Company]]&lt;=20, "11-20 Years","20+ Years"))))</f>
        <v>3-5 Years</v>
      </c>
    </row>
    <row r="943" spans="1:38" x14ac:dyDescent="0.25">
      <c r="A943" s="2">
        <v>30</v>
      </c>
      <c r="B943" t="s">
        <v>43</v>
      </c>
      <c r="C943" t="s">
        <v>36</v>
      </c>
      <c r="D943" s="2">
        <v>1138</v>
      </c>
      <c r="E943" t="s">
        <v>45</v>
      </c>
      <c r="F943" s="2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 s="2">
        <v>4627</v>
      </c>
      <c r="T943">
        <v>23631</v>
      </c>
      <c r="U943">
        <v>0</v>
      </c>
      <c r="V943" t="s">
        <v>42</v>
      </c>
      <c r="W943" t="s">
        <v>43</v>
      </c>
      <c r="X943" s="2">
        <v>12</v>
      </c>
      <c r="Y943">
        <v>3</v>
      </c>
      <c r="Z943">
        <v>1</v>
      </c>
      <c r="AA943">
        <v>80</v>
      </c>
      <c r="AB943">
        <v>1</v>
      </c>
      <c r="AC943" s="2">
        <v>10</v>
      </c>
      <c r="AD943">
        <v>6</v>
      </c>
      <c r="AE943">
        <v>3</v>
      </c>
      <c r="AF943" s="2">
        <v>9</v>
      </c>
      <c r="AG943">
        <v>2</v>
      </c>
      <c r="AH943">
        <v>6</v>
      </c>
      <c r="AI943">
        <v>7</v>
      </c>
      <c r="AJ943" s="2" t="str">
        <f>IF(A943 A943 &lt;= 25, "18-25", IF(A943 &lt;=35, "26-35", IF(A943 &lt;=45, "36-45", IF(Table3[[#This Row],[Age]] &lt;=55, "46-55", "56+"))))</f>
        <v>26-35</v>
      </c>
      <c r="AK943" t="str">
        <f t="shared" si="14"/>
        <v>Low</v>
      </c>
      <c r="AL943" s="2" t="str">
        <f>IF(AF943 &lt; 3, "0-2 Years", IF(AF943 &lt;= 5, "3-5 Years", IF(AF943 &lt;= 10, "6-10 Years",IF(Table3[[#This Row],[Years At Company]]&lt;=20, "11-20 Years","20+ Years"))))</f>
        <v>6-10 Years</v>
      </c>
    </row>
    <row r="944" spans="1:38" x14ac:dyDescent="0.25">
      <c r="A944" s="2">
        <v>36</v>
      </c>
      <c r="B944" t="s">
        <v>43</v>
      </c>
      <c r="C944" t="s">
        <v>36</v>
      </c>
      <c r="D944" s="2">
        <v>325</v>
      </c>
      <c r="E944" t="s">
        <v>45</v>
      </c>
      <c r="F944" s="2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 s="2">
        <v>7094</v>
      </c>
      <c r="T944">
        <v>5747</v>
      </c>
      <c r="U944">
        <v>3</v>
      </c>
      <c r="V944" t="s">
        <v>42</v>
      </c>
      <c r="W944" t="s">
        <v>43</v>
      </c>
      <c r="X944" s="2">
        <v>12</v>
      </c>
      <c r="Y944">
        <v>3</v>
      </c>
      <c r="Z944">
        <v>1</v>
      </c>
      <c r="AA944">
        <v>80</v>
      </c>
      <c r="AB944">
        <v>0</v>
      </c>
      <c r="AC944" s="2">
        <v>10</v>
      </c>
      <c r="AD944">
        <v>0</v>
      </c>
      <c r="AE944">
        <v>3</v>
      </c>
      <c r="AF944" s="2">
        <v>7</v>
      </c>
      <c r="AG944">
        <v>7</v>
      </c>
      <c r="AH944">
        <v>1</v>
      </c>
      <c r="AI944">
        <v>7</v>
      </c>
      <c r="AJ944" s="2" t="str">
        <f>IF(A944 A944 &lt;= 25, "18-25", IF(A944 &lt;=35, "26-35", IF(A944 &lt;=45, "36-45", IF(Table3[[#This Row],[Age]] &lt;=55, "46-55", "56+"))))</f>
        <v>36-45</v>
      </c>
      <c r="AK944" t="str">
        <f t="shared" si="14"/>
        <v>Medium</v>
      </c>
      <c r="AL944" s="2" t="str">
        <f>IF(AF944 &lt; 3, "0-2 Years", IF(AF944 &lt;= 5, "3-5 Years", IF(AF944 &lt;= 10, "6-10 Years",IF(Table3[[#This Row],[Years At Company]]&lt;=20, "11-20 Years","20+ Years"))))</f>
        <v>6-10 Years</v>
      </c>
    </row>
    <row r="945" spans="1:38" x14ac:dyDescent="0.25">
      <c r="A945" s="2">
        <v>46</v>
      </c>
      <c r="B945" t="s">
        <v>43</v>
      </c>
      <c r="C945" t="s">
        <v>36</v>
      </c>
      <c r="D945" s="2">
        <v>991</v>
      </c>
      <c r="E945" t="s">
        <v>61</v>
      </c>
      <c r="F945" s="2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 s="2">
        <v>3423</v>
      </c>
      <c r="T945">
        <v>22957</v>
      </c>
      <c r="U945">
        <v>6</v>
      </c>
      <c r="V945" t="s">
        <v>42</v>
      </c>
      <c r="W945" t="s">
        <v>43</v>
      </c>
      <c r="X945" s="2">
        <v>12</v>
      </c>
      <c r="Y945">
        <v>3</v>
      </c>
      <c r="Z945">
        <v>3</v>
      </c>
      <c r="AA945">
        <v>80</v>
      </c>
      <c r="AB945">
        <v>0</v>
      </c>
      <c r="AC945" s="2">
        <v>10</v>
      </c>
      <c r="AD945">
        <v>3</v>
      </c>
      <c r="AE945">
        <v>4</v>
      </c>
      <c r="AF945" s="2">
        <v>7</v>
      </c>
      <c r="AG945">
        <v>6</v>
      </c>
      <c r="AH945">
        <v>5</v>
      </c>
      <c r="AI945">
        <v>7</v>
      </c>
      <c r="AJ945" s="2" t="str">
        <f>IF(A945 A945 &lt;= 25, "18-25", IF(A945 &lt;=35, "26-35", IF(A945 &lt;=45, "36-45", IF(Table3[[#This Row],[Age]] &lt;=55, "46-55", "56+"))))</f>
        <v>46-55</v>
      </c>
      <c r="AK945" t="str">
        <f t="shared" si="14"/>
        <v>Low</v>
      </c>
      <c r="AL945" s="2" t="str">
        <f>IF(AF945 &lt; 3, "0-2 Years", IF(AF945 &lt;= 5, "3-5 Years", IF(AF945 &lt;= 10, "6-10 Years",IF(Table3[[#This Row],[Years At Company]]&lt;=20, "11-20 Years","20+ Years"))))</f>
        <v>6-10 Years</v>
      </c>
    </row>
    <row r="946" spans="1:38" x14ac:dyDescent="0.25">
      <c r="A946" s="2">
        <v>28</v>
      </c>
      <c r="B946" t="s">
        <v>43</v>
      </c>
      <c r="C946" t="s">
        <v>55</v>
      </c>
      <c r="D946" s="2">
        <v>1476</v>
      </c>
      <c r="E946" t="s">
        <v>45</v>
      </c>
      <c r="F946" s="2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 s="2">
        <v>6674</v>
      </c>
      <c r="T946">
        <v>16392</v>
      </c>
      <c r="U946">
        <v>0</v>
      </c>
      <c r="V946" t="s">
        <v>42</v>
      </c>
      <c r="W946" t="s">
        <v>43</v>
      </c>
      <c r="X946" s="2">
        <v>11</v>
      </c>
      <c r="Y946">
        <v>3</v>
      </c>
      <c r="Z946">
        <v>1</v>
      </c>
      <c r="AA946">
        <v>80</v>
      </c>
      <c r="AB946">
        <v>3</v>
      </c>
      <c r="AC946" s="2">
        <v>10</v>
      </c>
      <c r="AD946">
        <v>6</v>
      </c>
      <c r="AE946">
        <v>3</v>
      </c>
      <c r="AF946" s="2">
        <v>9</v>
      </c>
      <c r="AG946">
        <v>8</v>
      </c>
      <c r="AH946">
        <v>7</v>
      </c>
      <c r="AI946">
        <v>5</v>
      </c>
      <c r="AJ946" s="2" t="str">
        <f>IF(A946 A946 &lt;= 25, "18-25", IF(A946 &lt;=35, "26-35", IF(A946 &lt;=45, "36-45", IF(Table3[[#This Row],[Age]] &lt;=55, "46-55", "56+"))))</f>
        <v>26-35</v>
      </c>
      <c r="AK946" t="str">
        <f t="shared" si="14"/>
        <v>Medium</v>
      </c>
      <c r="AL946" s="2" t="str">
        <f>IF(AF946 &lt; 3, "0-2 Years", IF(AF946 &lt;= 5, "3-5 Years", IF(AF946 &lt;= 10, "6-10 Years",IF(Table3[[#This Row],[Years At Company]]&lt;=20, "11-20 Years","20+ Years"))))</f>
        <v>6-10 Years</v>
      </c>
    </row>
    <row r="947" spans="1:38" x14ac:dyDescent="0.25">
      <c r="A947" s="2">
        <v>50</v>
      </c>
      <c r="B947" t="s">
        <v>43</v>
      </c>
      <c r="C947" t="s">
        <v>36</v>
      </c>
      <c r="D947" s="2">
        <v>1322</v>
      </c>
      <c r="E947" t="s">
        <v>45</v>
      </c>
      <c r="F947" s="2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 s="2">
        <v>16880</v>
      </c>
      <c r="T947">
        <v>22422</v>
      </c>
      <c r="U947">
        <v>4</v>
      </c>
      <c r="V947" t="s">
        <v>42</v>
      </c>
      <c r="W947" t="s">
        <v>35</v>
      </c>
      <c r="X947" s="2">
        <v>11</v>
      </c>
      <c r="Y947">
        <v>3</v>
      </c>
      <c r="Z947">
        <v>2</v>
      </c>
      <c r="AA947">
        <v>80</v>
      </c>
      <c r="AB947">
        <v>0</v>
      </c>
      <c r="AC947" s="2">
        <v>25</v>
      </c>
      <c r="AD947">
        <v>2</v>
      </c>
      <c r="AE947">
        <v>3</v>
      </c>
      <c r="AF947" s="2">
        <v>3</v>
      </c>
      <c r="AG947">
        <v>2</v>
      </c>
      <c r="AH947">
        <v>1</v>
      </c>
      <c r="AI947">
        <v>2</v>
      </c>
      <c r="AJ947" s="2" t="str">
        <f>IF(A947 A947 &lt;= 25, "18-25", IF(A947 &lt;=35, "26-35", IF(A947 &lt;=45, "36-45", IF(Table3[[#This Row],[Age]] &lt;=55, "46-55", "56+"))))</f>
        <v>46-55</v>
      </c>
      <c r="AK947" t="str">
        <f t="shared" si="14"/>
        <v>High</v>
      </c>
      <c r="AL947" s="2" t="str">
        <f>IF(AF947 &lt; 3, "0-2 Years", IF(AF947 &lt;= 5, "3-5 Years", IF(AF947 &lt;= 10, "6-10 Years",IF(Table3[[#This Row],[Years At Company]]&lt;=20, "11-20 Years","20+ Years"))))</f>
        <v>3-5 Years</v>
      </c>
    </row>
    <row r="948" spans="1:38" x14ac:dyDescent="0.25">
      <c r="A948" s="2">
        <v>40</v>
      </c>
      <c r="B948" t="s">
        <v>35</v>
      </c>
      <c r="C948" t="s">
        <v>36</v>
      </c>
      <c r="D948" s="2">
        <v>299</v>
      </c>
      <c r="E948" t="s">
        <v>37</v>
      </c>
      <c r="F948" s="2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 s="2">
        <v>9094</v>
      </c>
      <c r="T948">
        <v>17235</v>
      </c>
      <c r="U948">
        <v>2</v>
      </c>
      <c r="V948" t="s">
        <v>42</v>
      </c>
      <c r="W948" t="s">
        <v>35</v>
      </c>
      <c r="X948" s="2">
        <v>12</v>
      </c>
      <c r="Y948">
        <v>3</v>
      </c>
      <c r="Z948">
        <v>3</v>
      </c>
      <c r="AA948">
        <v>80</v>
      </c>
      <c r="AB948">
        <v>0</v>
      </c>
      <c r="AC948" s="2">
        <v>9</v>
      </c>
      <c r="AD948">
        <v>2</v>
      </c>
      <c r="AE948">
        <v>3</v>
      </c>
      <c r="AF948" s="2">
        <v>5</v>
      </c>
      <c r="AG948">
        <v>4</v>
      </c>
      <c r="AH948">
        <v>1</v>
      </c>
      <c r="AI948">
        <v>0</v>
      </c>
      <c r="AJ948" s="2" t="str">
        <f>IF(A948 A948 &lt;= 25, "18-25", IF(A948 &lt;=35, "26-35", IF(A948 &lt;=45, "36-45", IF(Table3[[#This Row],[Age]] &lt;=55, "46-55", "56+"))))</f>
        <v>36-45</v>
      </c>
      <c r="AK948" t="str">
        <f t="shared" si="14"/>
        <v>Medium</v>
      </c>
      <c r="AL948" s="2" t="str">
        <f>IF(AF948 &lt; 3, "0-2 Years", IF(AF948 &lt;= 5, "3-5 Years", IF(AF948 &lt;= 10, "6-10 Years",IF(Table3[[#This Row],[Years At Company]]&lt;=20, "11-20 Years","20+ Years"))))</f>
        <v>3-5 Years</v>
      </c>
    </row>
    <row r="949" spans="1:38" x14ac:dyDescent="0.25">
      <c r="A949" s="2">
        <v>52</v>
      </c>
      <c r="B949" t="s">
        <v>35</v>
      </c>
      <c r="C949" t="s">
        <v>36</v>
      </c>
      <c r="D949" s="2">
        <v>1030</v>
      </c>
      <c r="E949" t="s">
        <v>37</v>
      </c>
      <c r="F949" s="2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 s="2">
        <v>8446</v>
      </c>
      <c r="T949">
        <v>21534</v>
      </c>
      <c r="U949">
        <v>9</v>
      </c>
      <c r="V949" t="s">
        <v>42</v>
      </c>
      <c r="W949" t="s">
        <v>35</v>
      </c>
      <c r="X949" s="2">
        <v>19</v>
      </c>
      <c r="Y949">
        <v>3</v>
      </c>
      <c r="Z949">
        <v>3</v>
      </c>
      <c r="AA949">
        <v>80</v>
      </c>
      <c r="AB949">
        <v>0</v>
      </c>
      <c r="AC949" s="2">
        <v>10</v>
      </c>
      <c r="AD949">
        <v>2</v>
      </c>
      <c r="AE949">
        <v>2</v>
      </c>
      <c r="AF949" s="2">
        <v>8</v>
      </c>
      <c r="AG949">
        <v>7</v>
      </c>
      <c r="AH949">
        <v>7</v>
      </c>
      <c r="AI949">
        <v>7</v>
      </c>
      <c r="AJ949" s="2" t="str">
        <f>IF(A949 A949 &lt;= 25, "18-25", IF(A949 &lt;=35, "26-35", IF(A949 &lt;=45, "36-45", IF(Table3[[#This Row],[Age]] &lt;=55, "46-55", "56+"))))</f>
        <v>46-55</v>
      </c>
      <c r="AK949" t="str">
        <f t="shared" si="14"/>
        <v>Medium</v>
      </c>
      <c r="AL949" s="2" t="str">
        <f>IF(AF949 &lt; 3, "0-2 Years", IF(AF949 &lt;= 5, "3-5 Years", IF(AF949 &lt;= 10, "6-10 Years",IF(Table3[[#This Row],[Years At Company]]&lt;=20, "11-20 Years","20+ Years"))))</f>
        <v>6-10 Years</v>
      </c>
    </row>
    <row r="950" spans="1:38" x14ac:dyDescent="0.25">
      <c r="A950" s="2">
        <v>30</v>
      </c>
      <c r="B950" t="s">
        <v>43</v>
      </c>
      <c r="C950" t="s">
        <v>36</v>
      </c>
      <c r="D950" s="2">
        <v>634</v>
      </c>
      <c r="E950" t="s">
        <v>45</v>
      </c>
      <c r="F950" s="2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 s="2">
        <v>11916</v>
      </c>
      <c r="T950">
        <v>25927</v>
      </c>
      <c r="U950">
        <v>1</v>
      </c>
      <c r="V950" t="s">
        <v>42</v>
      </c>
      <c r="W950" t="s">
        <v>35</v>
      </c>
      <c r="X950" s="2">
        <v>23</v>
      </c>
      <c r="Y950">
        <v>4</v>
      </c>
      <c r="Z950">
        <v>4</v>
      </c>
      <c r="AA950">
        <v>80</v>
      </c>
      <c r="AB950">
        <v>2</v>
      </c>
      <c r="AC950" s="2">
        <v>9</v>
      </c>
      <c r="AD950">
        <v>2</v>
      </c>
      <c r="AE950">
        <v>3</v>
      </c>
      <c r="AF950" s="2">
        <v>9</v>
      </c>
      <c r="AG950">
        <v>1</v>
      </c>
      <c r="AH950">
        <v>0</v>
      </c>
      <c r="AI950">
        <v>8</v>
      </c>
      <c r="AJ950" s="2" t="str">
        <f>IF(A950 A950 &lt;= 25, "18-25", IF(A950 &lt;=35, "26-35", IF(A950 &lt;=45, "36-45", IF(Table3[[#This Row],[Age]] &lt;=55, "46-55", "56+"))))</f>
        <v>26-35</v>
      </c>
      <c r="AK950" t="str">
        <f t="shared" si="14"/>
        <v>High</v>
      </c>
      <c r="AL950" s="2" t="str">
        <f>IF(AF950 &lt; 3, "0-2 Years", IF(AF950 &lt;= 5, "3-5 Years", IF(AF950 &lt;= 10, "6-10 Years",IF(Table3[[#This Row],[Years At Company]]&lt;=20, "11-20 Years","20+ Years"))))</f>
        <v>6-10 Years</v>
      </c>
    </row>
    <row r="951" spans="1:38" x14ac:dyDescent="0.25">
      <c r="A951" s="2">
        <v>39</v>
      </c>
      <c r="B951" t="s">
        <v>43</v>
      </c>
      <c r="C951" t="s">
        <v>36</v>
      </c>
      <c r="D951" s="2">
        <v>524</v>
      </c>
      <c r="E951" t="s">
        <v>45</v>
      </c>
      <c r="F951" s="2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 s="2">
        <v>4534</v>
      </c>
      <c r="T951">
        <v>13352</v>
      </c>
      <c r="U951">
        <v>0</v>
      </c>
      <c r="V951" t="s">
        <v>42</v>
      </c>
      <c r="W951" t="s">
        <v>43</v>
      </c>
      <c r="X951" s="2">
        <v>11</v>
      </c>
      <c r="Y951">
        <v>3</v>
      </c>
      <c r="Z951">
        <v>1</v>
      </c>
      <c r="AA951">
        <v>80</v>
      </c>
      <c r="AB951">
        <v>0</v>
      </c>
      <c r="AC951" s="2">
        <v>9</v>
      </c>
      <c r="AD951">
        <v>6</v>
      </c>
      <c r="AE951">
        <v>3</v>
      </c>
      <c r="AF951" s="2">
        <v>8</v>
      </c>
      <c r="AG951">
        <v>7</v>
      </c>
      <c r="AH951">
        <v>1</v>
      </c>
      <c r="AI951">
        <v>7</v>
      </c>
      <c r="AJ951" s="2" t="str">
        <f>IF(A951 A951 &lt;= 25, "18-25", IF(A951 &lt;=35, "26-35", IF(A951 &lt;=45, "36-45", IF(Table3[[#This Row],[Age]] &lt;=55, "46-55", "56+"))))</f>
        <v>36-45</v>
      </c>
      <c r="AK951" t="str">
        <f t="shared" si="14"/>
        <v>Low</v>
      </c>
      <c r="AL951" s="2" t="str">
        <f>IF(AF951 &lt; 3, "0-2 Years", IF(AF951 &lt;= 5, "3-5 Years", IF(AF951 &lt;= 10, "6-10 Years",IF(Table3[[#This Row],[Years At Company]]&lt;=20, "11-20 Years","20+ Years"))))</f>
        <v>6-10 Years</v>
      </c>
    </row>
    <row r="952" spans="1:38" x14ac:dyDescent="0.25">
      <c r="A952" s="2">
        <v>31</v>
      </c>
      <c r="B952" t="s">
        <v>43</v>
      </c>
      <c r="C952" t="s">
        <v>55</v>
      </c>
      <c r="D952" s="2">
        <v>587</v>
      </c>
      <c r="E952" t="s">
        <v>37</v>
      </c>
      <c r="F952" s="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 s="2">
        <v>9852</v>
      </c>
      <c r="T952">
        <v>8935</v>
      </c>
      <c r="U952">
        <v>1</v>
      </c>
      <c r="V952" t="s">
        <v>42</v>
      </c>
      <c r="W952" t="s">
        <v>35</v>
      </c>
      <c r="X952" s="2">
        <v>19</v>
      </c>
      <c r="Y952">
        <v>3</v>
      </c>
      <c r="Z952">
        <v>1</v>
      </c>
      <c r="AA952">
        <v>80</v>
      </c>
      <c r="AB952">
        <v>1</v>
      </c>
      <c r="AC952" s="2">
        <v>10</v>
      </c>
      <c r="AD952">
        <v>5</v>
      </c>
      <c r="AE952">
        <v>2</v>
      </c>
      <c r="AF952" s="2">
        <v>10</v>
      </c>
      <c r="AG952">
        <v>8</v>
      </c>
      <c r="AH952">
        <v>9</v>
      </c>
      <c r="AI952">
        <v>6</v>
      </c>
      <c r="AJ952" s="2" t="str">
        <f>IF(A952 A952 &lt;= 25, "18-25", IF(A952 &lt;=35, "26-35", IF(A952 &lt;=45, "36-45", IF(Table3[[#This Row],[Age]] &lt;=55, "46-55", "56+"))))</f>
        <v>26-35</v>
      </c>
      <c r="AK952" t="str">
        <f t="shared" si="14"/>
        <v>Medium</v>
      </c>
      <c r="AL952" s="2" t="str">
        <f>IF(AF952 &lt; 3, "0-2 Years", IF(AF952 &lt;= 5, "3-5 Years", IF(AF952 &lt;= 10, "6-10 Years",IF(Table3[[#This Row],[Years At Company]]&lt;=20, "11-20 Years","20+ Years"))))</f>
        <v>6-10 Years</v>
      </c>
    </row>
    <row r="953" spans="1:38" x14ac:dyDescent="0.25">
      <c r="A953" s="2">
        <v>41</v>
      </c>
      <c r="B953" t="s">
        <v>43</v>
      </c>
      <c r="C953" t="s">
        <v>55</v>
      </c>
      <c r="D953" s="2">
        <v>256</v>
      </c>
      <c r="E953" t="s">
        <v>37</v>
      </c>
      <c r="F953" s="2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 s="2">
        <v>6151</v>
      </c>
      <c r="T953">
        <v>22074</v>
      </c>
      <c r="U953">
        <v>1</v>
      </c>
      <c r="V953" t="s">
        <v>42</v>
      </c>
      <c r="W953" t="s">
        <v>43</v>
      </c>
      <c r="X953" s="2">
        <v>13</v>
      </c>
      <c r="Y953">
        <v>3</v>
      </c>
      <c r="Z953">
        <v>1</v>
      </c>
      <c r="AA953">
        <v>80</v>
      </c>
      <c r="AB953">
        <v>0</v>
      </c>
      <c r="AC953" s="2">
        <v>19</v>
      </c>
      <c r="AD953">
        <v>4</v>
      </c>
      <c r="AE953">
        <v>3</v>
      </c>
      <c r="AF953" s="2">
        <v>19</v>
      </c>
      <c r="AG953">
        <v>2</v>
      </c>
      <c r="AH953">
        <v>11</v>
      </c>
      <c r="AI953">
        <v>9</v>
      </c>
      <c r="AJ953" s="2" t="str">
        <f>IF(A953 A953 &lt;= 25, "18-25", IF(A953 &lt;=35, "26-35", IF(A953 &lt;=45, "36-45", IF(Table3[[#This Row],[Age]] &lt;=55, "46-55", "56+"))))</f>
        <v>36-45</v>
      </c>
      <c r="AK953" t="str">
        <f t="shared" si="14"/>
        <v>Medium</v>
      </c>
      <c r="AL953" s="2" t="str">
        <f>IF(AF953 &lt; 3, "0-2 Years", IF(AF953 &lt;= 5, "3-5 Years", IF(AF953 &lt;= 10, "6-10 Years",IF(Table3[[#This Row],[Years At Company]]&lt;=20, "11-20 Years","20+ Years"))))</f>
        <v>11-20 Years</v>
      </c>
    </row>
    <row r="954" spans="1:38" x14ac:dyDescent="0.25">
      <c r="A954" s="2">
        <v>31</v>
      </c>
      <c r="B954" t="s">
        <v>35</v>
      </c>
      <c r="C954" t="s">
        <v>44</v>
      </c>
      <c r="D954" s="2">
        <v>1060</v>
      </c>
      <c r="E954" t="s">
        <v>37</v>
      </c>
      <c r="F954" s="2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 s="2">
        <v>2302</v>
      </c>
      <c r="T954">
        <v>8319</v>
      </c>
      <c r="U954">
        <v>1</v>
      </c>
      <c r="V954" t="s">
        <v>42</v>
      </c>
      <c r="W954" t="s">
        <v>35</v>
      </c>
      <c r="X954" s="2">
        <v>11</v>
      </c>
      <c r="Y954">
        <v>3</v>
      </c>
      <c r="Z954">
        <v>1</v>
      </c>
      <c r="AA954">
        <v>80</v>
      </c>
      <c r="AB954">
        <v>0</v>
      </c>
      <c r="AC954" s="2">
        <v>3</v>
      </c>
      <c r="AD954">
        <v>2</v>
      </c>
      <c r="AE954">
        <v>4</v>
      </c>
      <c r="AF954" s="2">
        <v>3</v>
      </c>
      <c r="AG954">
        <v>2</v>
      </c>
      <c r="AH954">
        <v>2</v>
      </c>
      <c r="AI954">
        <v>2</v>
      </c>
      <c r="AJ954" s="2" t="str">
        <f>IF(A954 A954 &lt;= 25, "18-25", IF(A954 &lt;=35, "26-35", IF(A954 &lt;=45, "36-45", IF(Table3[[#This Row],[Age]] &lt;=55, "46-55", "56+"))))</f>
        <v>26-35</v>
      </c>
      <c r="AK954" t="str">
        <f t="shared" si="14"/>
        <v>Low</v>
      </c>
      <c r="AL954" s="2" t="str">
        <f>IF(AF954 &lt; 3, "0-2 Years", IF(AF954 &lt;= 5, "3-5 Years", IF(AF954 &lt;= 10, "6-10 Years",IF(Table3[[#This Row],[Years At Company]]&lt;=20, "11-20 Years","20+ Years"))))</f>
        <v>3-5 Years</v>
      </c>
    </row>
    <row r="955" spans="1:38" x14ac:dyDescent="0.25">
      <c r="A955" s="2">
        <v>44</v>
      </c>
      <c r="B955" t="s">
        <v>35</v>
      </c>
      <c r="C955" t="s">
        <v>36</v>
      </c>
      <c r="D955" s="2">
        <v>935</v>
      </c>
      <c r="E955" t="s">
        <v>45</v>
      </c>
      <c r="F955" s="2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 s="2">
        <v>2362</v>
      </c>
      <c r="T955">
        <v>14669</v>
      </c>
      <c r="U955">
        <v>4</v>
      </c>
      <c r="V955" t="s">
        <v>42</v>
      </c>
      <c r="W955" t="s">
        <v>43</v>
      </c>
      <c r="X955" s="2">
        <v>12</v>
      </c>
      <c r="Y955">
        <v>3</v>
      </c>
      <c r="Z955">
        <v>3</v>
      </c>
      <c r="AA955">
        <v>80</v>
      </c>
      <c r="AB955">
        <v>0</v>
      </c>
      <c r="AC955" s="2">
        <v>10</v>
      </c>
      <c r="AD955">
        <v>4</v>
      </c>
      <c r="AE955">
        <v>4</v>
      </c>
      <c r="AF955" s="2">
        <v>3</v>
      </c>
      <c r="AG955">
        <v>2</v>
      </c>
      <c r="AH955">
        <v>1</v>
      </c>
      <c r="AI955">
        <v>2</v>
      </c>
      <c r="AJ955" s="2" t="str">
        <f>IF(A955 A955 &lt;= 25, "18-25", IF(A955 &lt;=35, "26-35", IF(A955 &lt;=45, "36-45", IF(Table3[[#This Row],[Age]] &lt;=55, "46-55", "56+"))))</f>
        <v>36-45</v>
      </c>
      <c r="AK955" t="str">
        <f t="shared" si="14"/>
        <v>Low</v>
      </c>
      <c r="AL955" s="2" t="str">
        <f>IF(AF955 &lt; 3, "0-2 Years", IF(AF955 &lt;= 5, "3-5 Years", IF(AF955 &lt;= 10, "6-10 Years",IF(Table3[[#This Row],[Years At Company]]&lt;=20, "11-20 Years","20+ Years"))))</f>
        <v>3-5 Years</v>
      </c>
    </row>
    <row r="956" spans="1:38" x14ac:dyDescent="0.25">
      <c r="A956" s="2">
        <v>42</v>
      </c>
      <c r="B956" t="s">
        <v>43</v>
      </c>
      <c r="C956" t="s">
        <v>55</v>
      </c>
      <c r="D956" s="2">
        <v>495</v>
      </c>
      <c r="E956" t="s">
        <v>45</v>
      </c>
      <c r="F956" s="2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 s="2">
        <v>17861</v>
      </c>
      <c r="T956">
        <v>26582</v>
      </c>
      <c r="U956">
        <v>0</v>
      </c>
      <c r="V956" t="s">
        <v>42</v>
      </c>
      <c r="W956" t="s">
        <v>35</v>
      </c>
      <c r="X956" s="2">
        <v>13</v>
      </c>
      <c r="Y956">
        <v>3</v>
      </c>
      <c r="Z956">
        <v>4</v>
      </c>
      <c r="AA956">
        <v>80</v>
      </c>
      <c r="AB956">
        <v>0</v>
      </c>
      <c r="AC956" s="2">
        <v>21</v>
      </c>
      <c r="AD956">
        <v>3</v>
      </c>
      <c r="AE956">
        <v>2</v>
      </c>
      <c r="AF956" s="2">
        <v>20</v>
      </c>
      <c r="AG956">
        <v>8</v>
      </c>
      <c r="AH956">
        <v>2</v>
      </c>
      <c r="AI956">
        <v>10</v>
      </c>
      <c r="AJ956" s="2" t="str">
        <f>IF(A956 A956 &lt;= 25, "18-25", IF(A956 &lt;=35, "26-35", IF(A956 &lt;=45, "36-45", IF(Table3[[#This Row],[Age]] &lt;=55, "46-55", "56+"))))</f>
        <v>36-45</v>
      </c>
      <c r="AK956" t="str">
        <f t="shared" si="14"/>
        <v>High</v>
      </c>
      <c r="AL956" s="2" t="str">
        <f>IF(AF956 &lt; 3, "0-2 Years", IF(AF956 &lt;= 5, "3-5 Years", IF(AF956 &lt;= 10, "6-10 Years",IF(Table3[[#This Row],[Years At Company]]&lt;=20, "11-20 Years","20+ Years"))))</f>
        <v>11-20 Years</v>
      </c>
    </row>
    <row r="957" spans="1:38" x14ac:dyDescent="0.25">
      <c r="A957" s="2">
        <v>55</v>
      </c>
      <c r="B957" t="s">
        <v>43</v>
      </c>
      <c r="C957" t="s">
        <v>36</v>
      </c>
      <c r="D957" s="2">
        <v>282</v>
      </c>
      <c r="E957" t="s">
        <v>45</v>
      </c>
      <c r="F957" s="2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 s="2">
        <v>19187</v>
      </c>
      <c r="T957">
        <v>6992</v>
      </c>
      <c r="U957">
        <v>4</v>
      </c>
      <c r="V957" t="s">
        <v>42</v>
      </c>
      <c r="W957" t="s">
        <v>43</v>
      </c>
      <c r="X957" s="2">
        <v>14</v>
      </c>
      <c r="Y957">
        <v>3</v>
      </c>
      <c r="Z957">
        <v>4</v>
      </c>
      <c r="AA957">
        <v>80</v>
      </c>
      <c r="AB957">
        <v>1</v>
      </c>
      <c r="AC957" s="2">
        <v>23</v>
      </c>
      <c r="AD957">
        <v>5</v>
      </c>
      <c r="AE957">
        <v>3</v>
      </c>
      <c r="AF957" s="2">
        <v>19</v>
      </c>
      <c r="AG957">
        <v>9</v>
      </c>
      <c r="AH957">
        <v>9</v>
      </c>
      <c r="AI957">
        <v>11</v>
      </c>
      <c r="AJ957" s="2" t="str">
        <f>IF(A957 A957 &lt;= 25, "18-25", IF(A957 &lt;=35, "26-35", IF(A957 &lt;=45, "36-45", IF(Table3[[#This Row],[Age]] &lt;=55, "46-55", "56+"))))</f>
        <v>46-55</v>
      </c>
      <c r="AK957" t="str">
        <f t="shared" si="14"/>
        <v>High</v>
      </c>
      <c r="AL957" s="2" t="str">
        <f>IF(AF957 &lt; 3, "0-2 Years", IF(AF957 &lt;= 5, "3-5 Years", IF(AF957 &lt;= 10, "6-10 Years",IF(Table3[[#This Row],[Years At Company]]&lt;=20, "11-20 Years","20+ Years"))))</f>
        <v>11-20 Years</v>
      </c>
    </row>
    <row r="958" spans="1:38" x14ac:dyDescent="0.25">
      <c r="A958" s="2">
        <v>56</v>
      </c>
      <c r="B958" t="s">
        <v>43</v>
      </c>
      <c r="C958" t="s">
        <v>36</v>
      </c>
      <c r="D958" s="2">
        <v>206</v>
      </c>
      <c r="E958" t="s">
        <v>61</v>
      </c>
      <c r="F958" s="2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 s="2">
        <v>19717</v>
      </c>
      <c r="T958">
        <v>4022</v>
      </c>
      <c r="U958">
        <v>6</v>
      </c>
      <c r="V958" t="s">
        <v>42</v>
      </c>
      <c r="W958" t="s">
        <v>43</v>
      </c>
      <c r="X958" s="2">
        <v>14</v>
      </c>
      <c r="Y958">
        <v>3</v>
      </c>
      <c r="Z958">
        <v>1</v>
      </c>
      <c r="AA958">
        <v>80</v>
      </c>
      <c r="AB958">
        <v>0</v>
      </c>
      <c r="AC958" s="2">
        <v>36</v>
      </c>
      <c r="AD958">
        <v>4</v>
      </c>
      <c r="AE958">
        <v>3</v>
      </c>
      <c r="AF958" s="2">
        <v>7</v>
      </c>
      <c r="AG958">
        <v>3</v>
      </c>
      <c r="AH958">
        <v>7</v>
      </c>
      <c r="AI958">
        <v>7</v>
      </c>
      <c r="AJ958" s="2" t="str">
        <f>IF(A958 A958 &lt;= 25, "18-25", IF(A958 &lt;=35, "26-35", IF(A958 &lt;=45, "36-45", IF(Table3[[#This Row],[Age]] &lt;=55, "46-55", "56+"))))</f>
        <v>56+</v>
      </c>
      <c r="AK958" t="str">
        <f t="shared" si="14"/>
        <v>High</v>
      </c>
      <c r="AL958" s="2" t="str">
        <f>IF(AF958 &lt; 3, "0-2 Years", IF(AF958 &lt;= 5, "3-5 Years", IF(AF958 &lt;= 10, "6-10 Years",IF(Table3[[#This Row],[Years At Company]]&lt;=20, "11-20 Years","20+ Years"))))</f>
        <v>6-10 Years</v>
      </c>
    </row>
    <row r="959" spans="1:38" x14ac:dyDescent="0.25">
      <c r="A959" s="2">
        <v>40</v>
      </c>
      <c r="B959" t="s">
        <v>43</v>
      </c>
      <c r="C959" t="s">
        <v>55</v>
      </c>
      <c r="D959" s="2">
        <v>458</v>
      </c>
      <c r="E959" t="s">
        <v>45</v>
      </c>
      <c r="F959" s="2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 s="2">
        <v>3544</v>
      </c>
      <c r="T959">
        <v>8532</v>
      </c>
      <c r="U959">
        <v>9</v>
      </c>
      <c r="V959" t="s">
        <v>42</v>
      </c>
      <c r="W959" t="s">
        <v>43</v>
      </c>
      <c r="X959" s="2">
        <v>16</v>
      </c>
      <c r="Y959">
        <v>3</v>
      </c>
      <c r="Z959">
        <v>2</v>
      </c>
      <c r="AA959">
        <v>80</v>
      </c>
      <c r="AB959">
        <v>1</v>
      </c>
      <c r="AC959" s="2">
        <v>6</v>
      </c>
      <c r="AD959">
        <v>0</v>
      </c>
      <c r="AE959">
        <v>3</v>
      </c>
      <c r="AF959" s="2">
        <v>4</v>
      </c>
      <c r="AG959">
        <v>2</v>
      </c>
      <c r="AH959">
        <v>0</v>
      </c>
      <c r="AI959">
        <v>0</v>
      </c>
      <c r="AJ959" s="2" t="str">
        <f>IF(A959 A959 &lt;= 25, "18-25", IF(A959 &lt;=35, "26-35", IF(A959 &lt;=45, "36-45", IF(Table3[[#This Row],[Age]] &lt;=55, "46-55", "56+"))))</f>
        <v>36-45</v>
      </c>
      <c r="AK959" t="str">
        <f t="shared" si="14"/>
        <v>Low</v>
      </c>
      <c r="AL959" s="2" t="str">
        <f>IF(AF959 &lt; 3, "0-2 Years", IF(AF959 &lt;= 5, "3-5 Years", IF(AF959 &lt;= 10, "6-10 Years",IF(Table3[[#This Row],[Years At Company]]&lt;=20, "11-20 Years","20+ Years"))))</f>
        <v>3-5 Years</v>
      </c>
    </row>
    <row r="960" spans="1:38" x14ac:dyDescent="0.25">
      <c r="A960" s="2">
        <v>34</v>
      </c>
      <c r="B960" t="s">
        <v>43</v>
      </c>
      <c r="C960" t="s">
        <v>36</v>
      </c>
      <c r="D960" s="2">
        <v>943</v>
      </c>
      <c r="E960" t="s">
        <v>45</v>
      </c>
      <c r="F960" s="2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 s="2">
        <v>8500</v>
      </c>
      <c r="T960">
        <v>5494</v>
      </c>
      <c r="U960">
        <v>0</v>
      </c>
      <c r="V960" t="s">
        <v>42</v>
      </c>
      <c r="W960" t="s">
        <v>43</v>
      </c>
      <c r="X960" s="2">
        <v>11</v>
      </c>
      <c r="Y960">
        <v>3</v>
      </c>
      <c r="Z960">
        <v>4</v>
      </c>
      <c r="AA960">
        <v>80</v>
      </c>
      <c r="AB960">
        <v>1</v>
      </c>
      <c r="AC960" s="2">
        <v>10</v>
      </c>
      <c r="AD960">
        <v>0</v>
      </c>
      <c r="AE960">
        <v>2</v>
      </c>
      <c r="AF960" s="2">
        <v>9</v>
      </c>
      <c r="AG960">
        <v>7</v>
      </c>
      <c r="AH960">
        <v>1</v>
      </c>
      <c r="AI960">
        <v>6</v>
      </c>
      <c r="AJ960" s="2" t="str">
        <f>IF(A960 A960 &lt;= 25, "18-25", IF(A960 &lt;=35, "26-35", IF(A960 &lt;=45, "36-45", IF(Table3[[#This Row],[Age]] &lt;=55, "46-55", "56+"))))</f>
        <v>26-35</v>
      </c>
      <c r="AK960" t="str">
        <f t="shared" si="14"/>
        <v>Medium</v>
      </c>
      <c r="AL960" s="2" t="str">
        <f>IF(AF960 &lt; 3, "0-2 Years", IF(AF960 &lt;= 5, "3-5 Years", IF(AF960 &lt;= 10, "6-10 Years",IF(Table3[[#This Row],[Years At Company]]&lt;=20, "11-20 Years","20+ Years"))))</f>
        <v>6-10 Years</v>
      </c>
    </row>
    <row r="961" spans="1:38" x14ac:dyDescent="0.25">
      <c r="A961" s="2">
        <v>40</v>
      </c>
      <c r="B961" t="s">
        <v>43</v>
      </c>
      <c r="C961" t="s">
        <v>36</v>
      </c>
      <c r="D961" s="2">
        <v>523</v>
      </c>
      <c r="E961" t="s">
        <v>45</v>
      </c>
      <c r="F961" s="2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 s="2">
        <v>4661</v>
      </c>
      <c r="T961">
        <v>22455</v>
      </c>
      <c r="U961">
        <v>1</v>
      </c>
      <c r="V961" t="s">
        <v>42</v>
      </c>
      <c r="W961" t="s">
        <v>43</v>
      </c>
      <c r="X961" s="2">
        <v>13</v>
      </c>
      <c r="Y961">
        <v>3</v>
      </c>
      <c r="Z961">
        <v>3</v>
      </c>
      <c r="AA961">
        <v>80</v>
      </c>
      <c r="AB961">
        <v>0</v>
      </c>
      <c r="AC961" s="2">
        <v>9</v>
      </c>
      <c r="AD961">
        <v>4</v>
      </c>
      <c r="AE961">
        <v>3</v>
      </c>
      <c r="AF961" s="2">
        <v>9</v>
      </c>
      <c r="AG961">
        <v>8</v>
      </c>
      <c r="AH961">
        <v>8</v>
      </c>
      <c r="AI961">
        <v>8</v>
      </c>
      <c r="AJ961" s="2" t="str">
        <f>IF(A961 A961 &lt;= 25, "18-25", IF(A961 &lt;=35, "26-35", IF(A961 &lt;=45, "36-45", IF(Table3[[#This Row],[Age]] &lt;=55, "46-55", "56+"))))</f>
        <v>36-45</v>
      </c>
      <c r="AK961" t="str">
        <f t="shared" si="14"/>
        <v>Low</v>
      </c>
      <c r="AL961" s="2" t="str">
        <f>IF(AF961 &lt; 3, "0-2 Years", IF(AF961 &lt;= 5, "3-5 Years", IF(AF961 &lt;= 10, "6-10 Years",IF(Table3[[#This Row],[Years At Company]]&lt;=20, "11-20 Years","20+ Years"))))</f>
        <v>6-10 Years</v>
      </c>
    </row>
    <row r="962" spans="1:38" x14ac:dyDescent="0.25">
      <c r="A962" s="2">
        <v>41</v>
      </c>
      <c r="B962" t="s">
        <v>43</v>
      </c>
      <c r="C962" t="s">
        <v>44</v>
      </c>
      <c r="D962" s="2">
        <v>1018</v>
      </c>
      <c r="E962" t="s">
        <v>37</v>
      </c>
      <c r="F962" s="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 s="2">
        <v>4103</v>
      </c>
      <c r="T962">
        <v>4297</v>
      </c>
      <c r="U962">
        <v>0</v>
      </c>
      <c r="V962" t="s">
        <v>42</v>
      </c>
      <c r="W962" t="s">
        <v>43</v>
      </c>
      <c r="X962" s="2">
        <v>17</v>
      </c>
      <c r="Y962">
        <v>3</v>
      </c>
      <c r="Z962">
        <v>4</v>
      </c>
      <c r="AA962">
        <v>80</v>
      </c>
      <c r="AB962">
        <v>1</v>
      </c>
      <c r="AC962" s="2">
        <v>10</v>
      </c>
      <c r="AD962">
        <v>2</v>
      </c>
      <c r="AE962">
        <v>3</v>
      </c>
      <c r="AF962" s="2">
        <v>9</v>
      </c>
      <c r="AG962">
        <v>3</v>
      </c>
      <c r="AH962">
        <v>1</v>
      </c>
      <c r="AI962">
        <v>7</v>
      </c>
      <c r="AJ962" s="2" t="str">
        <f>IF(A962 A962 &lt;= 25, "18-25", IF(A962 &lt;=35, "26-35", IF(A962 &lt;=45, "36-45", IF(Table3[[#This Row],[Age]] &lt;=55, "46-55", "56+"))))</f>
        <v>36-45</v>
      </c>
      <c r="AK962" t="str">
        <f t="shared" ref="AK962:AK1025" si="15">IF(S962 &lt; 5000, "Low",IF(S962 &lt;=9999, "Medium", "High"))</f>
        <v>Low</v>
      </c>
      <c r="AL962" s="2" t="str">
        <f>IF(AF962 &lt; 3, "0-2 Years", IF(AF962 &lt;= 5, "3-5 Years", IF(AF962 &lt;= 10, "6-10 Years",IF(Table3[[#This Row],[Years At Company]]&lt;=20, "11-20 Years","20+ Years"))))</f>
        <v>6-10 Years</v>
      </c>
    </row>
    <row r="963" spans="1:38" x14ac:dyDescent="0.25">
      <c r="A963" s="2">
        <v>35</v>
      </c>
      <c r="B963" t="s">
        <v>43</v>
      </c>
      <c r="C963" t="s">
        <v>44</v>
      </c>
      <c r="D963" s="2">
        <v>482</v>
      </c>
      <c r="E963" t="s">
        <v>45</v>
      </c>
      <c r="F963" s="2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 s="2">
        <v>4249</v>
      </c>
      <c r="T963">
        <v>2690</v>
      </c>
      <c r="U963">
        <v>1</v>
      </c>
      <c r="V963" t="s">
        <v>42</v>
      </c>
      <c r="W963" t="s">
        <v>35</v>
      </c>
      <c r="X963" s="2">
        <v>11</v>
      </c>
      <c r="Y963">
        <v>3</v>
      </c>
      <c r="Z963">
        <v>2</v>
      </c>
      <c r="AA963">
        <v>80</v>
      </c>
      <c r="AB963">
        <v>0</v>
      </c>
      <c r="AC963" s="2">
        <v>9</v>
      </c>
      <c r="AD963">
        <v>3</v>
      </c>
      <c r="AE963">
        <v>3</v>
      </c>
      <c r="AF963" s="2">
        <v>9</v>
      </c>
      <c r="AG963">
        <v>6</v>
      </c>
      <c r="AH963">
        <v>1</v>
      </c>
      <c r="AI963">
        <v>1</v>
      </c>
      <c r="AJ963" s="2" t="str">
        <f>IF(A963 A963 &lt;= 25, "18-25", IF(A963 &lt;=35, "26-35", IF(A963 &lt;=45, "36-45", IF(Table3[[#This Row],[Age]] &lt;=55, "46-55", "56+"))))</f>
        <v>26-35</v>
      </c>
      <c r="AK963" t="str">
        <f t="shared" si="15"/>
        <v>Low</v>
      </c>
      <c r="AL963" s="2" t="str">
        <f>IF(AF963 &lt; 3, "0-2 Years", IF(AF963 &lt;= 5, "3-5 Years", IF(AF963 &lt;= 10, "6-10 Years",IF(Table3[[#This Row],[Years At Company]]&lt;=20, "11-20 Years","20+ Years"))))</f>
        <v>6-10 Years</v>
      </c>
    </row>
    <row r="964" spans="1:38" x14ac:dyDescent="0.25">
      <c r="A964" s="2">
        <v>51</v>
      </c>
      <c r="B964" t="s">
        <v>43</v>
      </c>
      <c r="C964" t="s">
        <v>36</v>
      </c>
      <c r="D964" s="2">
        <v>770</v>
      </c>
      <c r="E964" t="s">
        <v>61</v>
      </c>
      <c r="F964" s="2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 s="2">
        <v>14026</v>
      </c>
      <c r="T964">
        <v>17588</v>
      </c>
      <c r="U964">
        <v>1</v>
      </c>
      <c r="V964" t="s">
        <v>42</v>
      </c>
      <c r="W964" t="s">
        <v>35</v>
      </c>
      <c r="X964" s="2">
        <v>11</v>
      </c>
      <c r="Y964">
        <v>3</v>
      </c>
      <c r="Z964">
        <v>2</v>
      </c>
      <c r="AA964">
        <v>80</v>
      </c>
      <c r="AB964">
        <v>1</v>
      </c>
      <c r="AC964" s="2">
        <v>33</v>
      </c>
      <c r="AD964">
        <v>2</v>
      </c>
      <c r="AE964">
        <v>3</v>
      </c>
      <c r="AF964" s="2">
        <v>33</v>
      </c>
      <c r="AG964">
        <v>9</v>
      </c>
      <c r="AH964">
        <v>0</v>
      </c>
      <c r="AI964">
        <v>10</v>
      </c>
      <c r="AJ964" s="2" t="str">
        <f>IF(A964 A964 &lt;= 25, "18-25", IF(A964 &lt;=35, "26-35", IF(A964 &lt;=45, "36-45", IF(Table3[[#This Row],[Age]] &lt;=55, "46-55", "56+"))))</f>
        <v>46-55</v>
      </c>
      <c r="AK964" t="str">
        <f t="shared" si="15"/>
        <v>High</v>
      </c>
      <c r="AL964" s="2" t="str">
        <f>IF(AF964 &lt; 3, "0-2 Years", IF(AF964 &lt;= 5, "3-5 Years", IF(AF964 &lt;= 10, "6-10 Years",IF(Table3[[#This Row],[Years At Company]]&lt;=20, "11-20 Years","20+ Years"))))</f>
        <v>20+ Years</v>
      </c>
    </row>
    <row r="965" spans="1:38" x14ac:dyDescent="0.25">
      <c r="A965" s="2">
        <v>38</v>
      </c>
      <c r="B965" t="s">
        <v>43</v>
      </c>
      <c r="C965" t="s">
        <v>36</v>
      </c>
      <c r="D965" s="2">
        <v>1009</v>
      </c>
      <c r="E965" t="s">
        <v>37</v>
      </c>
      <c r="F965" s="2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 s="2">
        <v>6893</v>
      </c>
      <c r="T965">
        <v>19461</v>
      </c>
      <c r="U965">
        <v>3</v>
      </c>
      <c r="V965" t="s">
        <v>42</v>
      </c>
      <c r="W965" t="s">
        <v>43</v>
      </c>
      <c r="X965" s="2">
        <v>15</v>
      </c>
      <c r="Y965">
        <v>3</v>
      </c>
      <c r="Z965">
        <v>4</v>
      </c>
      <c r="AA965">
        <v>80</v>
      </c>
      <c r="AB965">
        <v>1</v>
      </c>
      <c r="AC965" s="2">
        <v>11</v>
      </c>
      <c r="AD965">
        <v>3</v>
      </c>
      <c r="AE965">
        <v>3</v>
      </c>
      <c r="AF965" s="2">
        <v>7</v>
      </c>
      <c r="AG965">
        <v>7</v>
      </c>
      <c r="AH965">
        <v>1</v>
      </c>
      <c r="AI965">
        <v>7</v>
      </c>
      <c r="AJ965" s="2" t="str">
        <f>IF(A965 A965 &lt;= 25, "18-25", IF(A965 &lt;=35, "26-35", IF(A965 &lt;=45, "36-45", IF(Table3[[#This Row],[Age]] &lt;=55, "46-55", "56+"))))</f>
        <v>36-45</v>
      </c>
      <c r="AK965" t="str">
        <f t="shared" si="15"/>
        <v>Medium</v>
      </c>
      <c r="AL965" s="2" t="str">
        <f>IF(AF965 &lt; 3, "0-2 Years", IF(AF965 &lt;= 5, "3-5 Years", IF(AF965 &lt;= 10, "6-10 Years",IF(Table3[[#This Row],[Years At Company]]&lt;=20, "11-20 Years","20+ Years"))))</f>
        <v>6-10 Years</v>
      </c>
    </row>
    <row r="966" spans="1:38" x14ac:dyDescent="0.25">
      <c r="A966" s="2">
        <v>34</v>
      </c>
      <c r="B966" t="s">
        <v>43</v>
      </c>
      <c r="C966" t="s">
        <v>36</v>
      </c>
      <c r="D966" s="2">
        <v>507</v>
      </c>
      <c r="E966" t="s">
        <v>37</v>
      </c>
      <c r="F966" s="2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 s="2">
        <v>6125</v>
      </c>
      <c r="T966">
        <v>23553</v>
      </c>
      <c r="U966">
        <v>1</v>
      </c>
      <c r="V966" t="s">
        <v>42</v>
      </c>
      <c r="W966" t="s">
        <v>43</v>
      </c>
      <c r="X966" s="2">
        <v>12</v>
      </c>
      <c r="Y966">
        <v>3</v>
      </c>
      <c r="Z966">
        <v>4</v>
      </c>
      <c r="AA966">
        <v>80</v>
      </c>
      <c r="AB966">
        <v>0</v>
      </c>
      <c r="AC966" s="2">
        <v>10</v>
      </c>
      <c r="AD966">
        <v>6</v>
      </c>
      <c r="AE966">
        <v>4</v>
      </c>
      <c r="AF966" s="2">
        <v>10</v>
      </c>
      <c r="AG966">
        <v>8</v>
      </c>
      <c r="AH966">
        <v>9</v>
      </c>
      <c r="AI966">
        <v>6</v>
      </c>
      <c r="AJ966" s="2" t="str">
        <f>IF(A966 A966 &lt;= 25, "18-25", IF(A966 &lt;=35, "26-35", IF(A966 &lt;=45, "36-45", IF(Table3[[#This Row],[Age]] &lt;=55, "46-55", "56+"))))</f>
        <v>26-35</v>
      </c>
      <c r="AK966" t="str">
        <f t="shared" si="15"/>
        <v>Medium</v>
      </c>
      <c r="AL966" s="2" t="str">
        <f>IF(AF966 &lt; 3, "0-2 Years", IF(AF966 &lt;= 5, "3-5 Years", IF(AF966 &lt;= 10, "6-10 Years",IF(Table3[[#This Row],[Years At Company]]&lt;=20, "11-20 Years","20+ Years"))))</f>
        <v>6-10 Years</v>
      </c>
    </row>
    <row r="967" spans="1:38" x14ac:dyDescent="0.25">
      <c r="A967" s="2">
        <v>25</v>
      </c>
      <c r="B967" t="s">
        <v>43</v>
      </c>
      <c r="C967" t="s">
        <v>36</v>
      </c>
      <c r="D967" s="2">
        <v>882</v>
      </c>
      <c r="E967" t="s">
        <v>45</v>
      </c>
      <c r="F967" s="2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 s="2">
        <v>3669</v>
      </c>
      <c r="T967">
        <v>9075</v>
      </c>
      <c r="U967">
        <v>3</v>
      </c>
      <c r="V967" t="s">
        <v>42</v>
      </c>
      <c r="W967" t="s">
        <v>43</v>
      </c>
      <c r="X967" s="2">
        <v>11</v>
      </c>
      <c r="Y967">
        <v>3</v>
      </c>
      <c r="Z967">
        <v>3</v>
      </c>
      <c r="AA967">
        <v>80</v>
      </c>
      <c r="AB967">
        <v>3</v>
      </c>
      <c r="AC967" s="2">
        <v>7</v>
      </c>
      <c r="AD967">
        <v>6</v>
      </c>
      <c r="AE967">
        <v>2</v>
      </c>
      <c r="AF967" s="2">
        <v>3</v>
      </c>
      <c r="AG967">
        <v>2</v>
      </c>
      <c r="AH967">
        <v>1</v>
      </c>
      <c r="AI967">
        <v>2</v>
      </c>
      <c r="AJ967" s="2" t="str">
        <f>IF(A967 A967 &lt;= 25, "18-25", IF(A967 &lt;=35, "26-35", IF(A967 &lt;=45, "36-45", IF(Table3[[#This Row],[Age]] &lt;=55, "46-55", "56+"))))</f>
        <v>18-25</v>
      </c>
      <c r="AK967" t="str">
        <f t="shared" si="15"/>
        <v>Low</v>
      </c>
      <c r="AL967" s="2" t="str">
        <f>IF(AF967 &lt; 3, "0-2 Years", IF(AF967 &lt;= 5, "3-5 Years", IF(AF967 &lt;= 10, "6-10 Years",IF(Table3[[#This Row],[Years At Company]]&lt;=20, "11-20 Years","20+ Years"))))</f>
        <v>3-5 Years</v>
      </c>
    </row>
    <row r="968" spans="1:38" x14ac:dyDescent="0.25">
      <c r="A968" s="2">
        <v>58</v>
      </c>
      <c r="B968" t="s">
        <v>35</v>
      </c>
      <c r="C968" t="s">
        <v>36</v>
      </c>
      <c r="D968" s="2">
        <v>601</v>
      </c>
      <c r="E968" t="s">
        <v>45</v>
      </c>
      <c r="F968" s="2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 s="2">
        <v>10008</v>
      </c>
      <c r="T968">
        <v>12023</v>
      </c>
      <c r="U968">
        <v>7</v>
      </c>
      <c r="V968" t="s">
        <v>42</v>
      </c>
      <c r="W968" t="s">
        <v>35</v>
      </c>
      <c r="X968" s="2">
        <v>14</v>
      </c>
      <c r="Y968">
        <v>3</v>
      </c>
      <c r="Z968">
        <v>4</v>
      </c>
      <c r="AA968">
        <v>80</v>
      </c>
      <c r="AB968">
        <v>0</v>
      </c>
      <c r="AC968" s="2">
        <v>31</v>
      </c>
      <c r="AD968">
        <v>0</v>
      </c>
      <c r="AE968">
        <v>2</v>
      </c>
      <c r="AF968" s="2">
        <v>10</v>
      </c>
      <c r="AG968">
        <v>9</v>
      </c>
      <c r="AH968">
        <v>5</v>
      </c>
      <c r="AI968">
        <v>9</v>
      </c>
      <c r="AJ968" s="2" t="str">
        <f>IF(A968 A968 &lt;= 25, "18-25", IF(A968 &lt;=35, "26-35", IF(A968 &lt;=45, "36-45", IF(Table3[[#This Row],[Age]] &lt;=55, "46-55", "56+"))))</f>
        <v>56+</v>
      </c>
      <c r="AK968" t="str">
        <f t="shared" si="15"/>
        <v>High</v>
      </c>
      <c r="AL968" s="2" t="str">
        <f>IF(AF968 &lt; 3, "0-2 Years", IF(AF968 &lt;= 5, "3-5 Years", IF(AF968 &lt;= 10, "6-10 Years",IF(Table3[[#This Row],[Years At Company]]&lt;=20, "11-20 Years","20+ Years"))))</f>
        <v>6-10 Years</v>
      </c>
    </row>
    <row r="969" spans="1:38" x14ac:dyDescent="0.25">
      <c r="A969" s="2">
        <v>40</v>
      </c>
      <c r="B969" t="s">
        <v>43</v>
      </c>
      <c r="C969" t="s">
        <v>36</v>
      </c>
      <c r="D969" s="2">
        <v>329</v>
      </c>
      <c r="E969" t="s">
        <v>45</v>
      </c>
      <c r="F969" s="2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 s="2">
        <v>2387</v>
      </c>
      <c r="T969">
        <v>6762</v>
      </c>
      <c r="U969">
        <v>3</v>
      </c>
      <c r="V969" t="s">
        <v>42</v>
      </c>
      <c r="W969" t="s">
        <v>43</v>
      </c>
      <c r="X969" s="2">
        <v>22</v>
      </c>
      <c r="Y969">
        <v>4</v>
      </c>
      <c r="Z969">
        <v>3</v>
      </c>
      <c r="AA969">
        <v>80</v>
      </c>
      <c r="AB969">
        <v>1</v>
      </c>
      <c r="AC969" s="2">
        <v>7</v>
      </c>
      <c r="AD969">
        <v>3</v>
      </c>
      <c r="AE969">
        <v>3</v>
      </c>
      <c r="AF969" s="2">
        <v>4</v>
      </c>
      <c r="AG969">
        <v>2</v>
      </c>
      <c r="AH969">
        <v>0</v>
      </c>
      <c r="AI969">
        <v>3</v>
      </c>
      <c r="AJ969" s="2" t="str">
        <f>IF(A969 A969 &lt;= 25, "18-25", IF(A969 &lt;=35, "26-35", IF(A969 &lt;=45, "36-45", IF(Table3[[#This Row],[Age]] &lt;=55, "46-55", "56+"))))</f>
        <v>36-45</v>
      </c>
      <c r="AK969" t="str">
        <f t="shared" si="15"/>
        <v>Low</v>
      </c>
      <c r="AL969" s="2" t="str">
        <f>IF(AF969 &lt; 3, "0-2 Years", IF(AF969 &lt;= 5, "3-5 Years", IF(AF969 &lt;= 10, "6-10 Years",IF(Table3[[#This Row],[Years At Company]]&lt;=20, "11-20 Years","20+ Years"))))</f>
        <v>3-5 Years</v>
      </c>
    </row>
    <row r="970" spans="1:38" x14ac:dyDescent="0.25">
      <c r="A970" s="2">
        <v>36</v>
      </c>
      <c r="B970" t="s">
        <v>43</v>
      </c>
      <c r="C970" t="s">
        <v>44</v>
      </c>
      <c r="D970" s="2">
        <v>607</v>
      </c>
      <c r="E970" t="s">
        <v>37</v>
      </c>
      <c r="F970" s="2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 s="2">
        <v>4639</v>
      </c>
      <c r="T970">
        <v>2261</v>
      </c>
      <c r="U970">
        <v>2</v>
      </c>
      <c r="V970" t="s">
        <v>42</v>
      </c>
      <c r="W970" t="s">
        <v>43</v>
      </c>
      <c r="X970" s="2">
        <v>16</v>
      </c>
      <c r="Y970">
        <v>3</v>
      </c>
      <c r="Z970">
        <v>4</v>
      </c>
      <c r="AA970">
        <v>80</v>
      </c>
      <c r="AB970">
        <v>1</v>
      </c>
      <c r="AC970" s="2">
        <v>17</v>
      </c>
      <c r="AD970">
        <v>2</v>
      </c>
      <c r="AE970">
        <v>2</v>
      </c>
      <c r="AF970" s="2">
        <v>15</v>
      </c>
      <c r="AG970">
        <v>7</v>
      </c>
      <c r="AH970">
        <v>6</v>
      </c>
      <c r="AI970">
        <v>13</v>
      </c>
      <c r="AJ970" s="2" t="str">
        <f>IF(A970 A970 &lt;= 25, "18-25", IF(A970 &lt;=35, "26-35", IF(A970 &lt;=45, "36-45", IF(Table3[[#This Row],[Age]] &lt;=55, "46-55", "56+"))))</f>
        <v>36-45</v>
      </c>
      <c r="AK970" t="str">
        <f t="shared" si="15"/>
        <v>Low</v>
      </c>
      <c r="AL970" s="2" t="str">
        <f>IF(AF970 &lt; 3, "0-2 Years", IF(AF970 &lt;= 5, "3-5 Years", IF(AF970 &lt;= 10, "6-10 Years",IF(Table3[[#This Row],[Years At Company]]&lt;=20, "11-20 Years","20+ Years"))))</f>
        <v>11-20 Years</v>
      </c>
    </row>
    <row r="971" spans="1:38" x14ac:dyDescent="0.25">
      <c r="A971" s="2">
        <v>48</v>
      </c>
      <c r="B971" t="s">
        <v>43</v>
      </c>
      <c r="C971" t="s">
        <v>36</v>
      </c>
      <c r="D971" s="2">
        <v>855</v>
      </c>
      <c r="E971" t="s">
        <v>45</v>
      </c>
      <c r="F971" s="2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 s="2">
        <v>7898</v>
      </c>
      <c r="T971">
        <v>18706</v>
      </c>
      <c r="U971">
        <v>1</v>
      </c>
      <c r="V971" t="s">
        <v>42</v>
      </c>
      <c r="W971" t="s">
        <v>43</v>
      </c>
      <c r="X971" s="2">
        <v>11</v>
      </c>
      <c r="Y971">
        <v>3</v>
      </c>
      <c r="Z971">
        <v>3</v>
      </c>
      <c r="AA971">
        <v>80</v>
      </c>
      <c r="AB971">
        <v>0</v>
      </c>
      <c r="AC971" s="2">
        <v>11</v>
      </c>
      <c r="AD971">
        <v>2</v>
      </c>
      <c r="AE971">
        <v>3</v>
      </c>
      <c r="AF971" s="2">
        <v>10</v>
      </c>
      <c r="AG971">
        <v>9</v>
      </c>
      <c r="AH971">
        <v>0</v>
      </c>
      <c r="AI971">
        <v>8</v>
      </c>
      <c r="AJ971" s="2" t="str">
        <f>IF(A971 A971 &lt;= 25, "18-25", IF(A971 &lt;=35, "26-35", IF(A971 &lt;=45, "36-45", IF(Table3[[#This Row],[Age]] &lt;=55, "46-55", "56+"))))</f>
        <v>46-55</v>
      </c>
      <c r="AK971" t="str">
        <f t="shared" si="15"/>
        <v>Medium</v>
      </c>
      <c r="AL971" s="2" t="str">
        <f>IF(AF971 &lt; 3, "0-2 Years", IF(AF971 &lt;= 5, "3-5 Years", IF(AF971 &lt;= 10, "6-10 Years",IF(Table3[[#This Row],[Years At Company]]&lt;=20, "11-20 Years","20+ Years"))))</f>
        <v>6-10 Years</v>
      </c>
    </row>
    <row r="972" spans="1:38" x14ac:dyDescent="0.25">
      <c r="A972" s="2">
        <v>27</v>
      </c>
      <c r="B972" t="s">
        <v>43</v>
      </c>
      <c r="C972" t="s">
        <v>36</v>
      </c>
      <c r="D972" s="2">
        <v>1291</v>
      </c>
      <c r="E972" t="s">
        <v>37</v>
      </c>
      <c r="F972" s="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 s="2">
        <v>2534</v>
      </c>
      <c r="T972">
        <v>6527</v>
      </c>
      <c r="U972">
        <v>8</v>
      </c>
      <c r="V972" t="s">
        <v>42</v>
      </c>
      <c r="W972" t="s">
        <v>43</v>
      </c>
      <c r="X972" s="2">
        <v>14</v>
      </c>
      <c r="Y972">
        <v>3</v>
      </c>
      <c r="Z972">
        <v>2</v>
      </c>
      <c r="AA972">
        <v>80</v>
      </c>
      <c r="AB972">
        <v>1</v>
      </c>
      <c r="AC972" s="2">
        <v>5</v>
      </c>
      <c r="AD972">
        <v>4</v>
      </c>
      <c r="AE972">
        <v>3</v>
      </c>
      <c r="AF972" s="2">
        <v>1</v>
      </c>
      <c r="AG972">
        <v>0</v>
      </c>
      <c r="AH972">
        <v>0</v>
      </c>
      <c r="AI972">
        <v>0</v>
      </c>
      <c r="AJ972" s="2" t="str">
        <f>IF(A972 A972 &lt;= 25, "18-25", IF(A972 &lt;=35, "26-35", IF(A972 &lt;=45, "36-45", IF(Table3[[#This Row],[Age]] &lt;=55, "46-55", "56+"))))</f>
        <v>26-35</v>
      </c>
      <c r="AK972" t="str">
        <f t="shared" si="15"/>
        <v>Low</v>
      </c>
      <c r="AL972" s="2" t="str">
        <f>IF(AF972 &lt; 3, "0-2 Years", IF(AF972 &lt;= 5, "3-5 Years", IF(AF972 &lt;= 10, "6-10 Years",IF(Table3[[#This Row],[Years At Company]]&lt;=20, "11-20 Years","20+ Years"))))</f>
        <v>0-2 Years</v>
      </c>
    </row>
    <row r="973" spans="1:38" x14ac:dyDescent="0.25">
      <c r="A973" s="2">
        <v>51</v>
      </c>
      <c r="B973" t="s">
        <v>43</v>
      </c>
      <c r="C973" t="s">
        <v>36</v>
      </c>
      <c r="D973" s="2">
        <v>1405</v>
      </c>
      <c r="E973" t="s">
        <v>45</v>
      </c>
      <c r="F973" s="2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 s="2">
        <v>13142</v>
      </c>
      <c r="T973">
        <v>24439</v>
      </c>
      <c r="U973">
        <v>3</v>
      </c>
      <c r="V973" t="s">
        <v>42</v>
      </c>
      <c r="W973" t="s">
        <v>43</v>
      </c>
      <c r="X973" s="2">
        <v>16</v>
      </c>
      <c r="Y973">
        <v>3</v>
      </c>
      <c r="Z973">
        <v>2</v>
      </c>
      <c r="AA973">
        <v>80</v>
      </c>
      <c r="AB973">
        <v>0</v>
      </c>
      <c r="AC973" s="2">
        <v>29</v>
      </c>
      <c r="AD973">
        <v>1</v>
      </c>
      <c r="AE973">
        <v>2</v>
      </c>
      <c r="AF973" s="2">
        <v>5</v>
      </c>
      <c r="AG973">
        <v>2</v>
      </c>
      <c r="AH973">
        <v>0</v>
      </c>
      <c r="AI973">
        <v>3</v>
      </c>
      <c r="AJ973" s="2" t="str">
        <f>IF(A973 A973 &lt;= 25, "18-25", IF(A973 &lt;=35, "26-35", IF(A973 &lt;=45, "36-45", IF(Table3[[#This Row],[Age]] &lt;=55, "46-55", "56+"))))</f>
        <v>46-55</v>
      </c>
      <c r="AK973" t="str">
        <f t="shared" si="15"/>
        <v>High</v>
      </c>
      <c r="AL973" s="2" t="str">
        <f>IF(AF973 &lt; 3, "0-2 Years", IF(AF973 &lt;= 5, "3-5 Years", IF(AF973 &lt;= 10, "6-10 Years",IF(Table3[[#This Row],[Years At Company]]&lt;=20, "11-20 Years","20+ Years"))))</f>
        <v>3-5 Years</v>
      </c>
    </row>
    <row r="974" spans="1:38" x14ac:dyDescent="0.25">
      <c r="A974" s="2">
        <v>18</v>
      </c>
      <c r="B974" t="s">
        <v>43</v>
      </c>
      <c r="C974" t="s">
        <v>55</v>
      </c>
      <c r="D974" s="2">
        <v>1124</v>
      </c>
      <c r="E974" t="s">
        <v>45</v>
      </c>
      <c r="F974" s="2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 s="2">
        <v>1611</v>
      </c>
      <c r="T974">
        <v>19305</v>
      </c>
      <c r="U974">
        <v>1</v>
      </c>
      <c r="V974" t="s">
        <v>42</v>
      </c>
      <c r="W974" t="s">
        <v>43</v>
      </c>
      <c r="X974" s="2">
        <v>15</v>
      </c>
      <c r="Y974">
        <v>3</v>
      </c>
      <c r="Z974">
        <v>3</v>
      </c>
      <c r="AA974">
        <v>80</v>
      </c>
      <c r="AB974">
        <v>0</v>
      </c>
      <c r="AC974" s="2">
        <v>0</v>
      </c>
      <c r="AD974">
        <v>5</v>
      </c>
      <c r="AE974">
        <v>4</v>
      </c>
      <c r="AF974" s="2">
        <v>0</v>
      </c>
      <c r="AG974">
        <v>0</v>
      </c>
      <c r="AH974">
        <v>0</v>
      </c>
      <c r="AI974">
        <v>0</v>
      </c>
      <c r="AJ974" s="2" t="str">
        <f>IF(A974 A974 &lt;= 25, "18-25", IF(A974 &lt;=35, "26-35", IF(A974 &lt;=45, "36-45", IF(Table3[[#This Row],[Age]] &lt;=55, "46-55", "56+"))))</f>
        <v>18-25</v>
      </c>
      <c r="AK974" t="str">
        <f t="shared" si="15"/>
        <v>Low</v>
      </c>
      <c r="AL974" s="2" t="str">
        <f>IF(AF974 &lt; 3, "0-2 Years", IF(AF974 &lt;= 5, "3-5 Years", IF(AF974 &lt;= 10, "6-10 Years",IF(Table3[[#This Row],[Years At Company]]&lt;=20, "11-20 Years","20+ Years"))))</f>
        <v>0-2 Years</v>
      </c>
    </row>
    <row r="975" spans="1:38" x14ac:dyDescent="0.25">
      <c r="A975" s="2">
        <v>35</v>
      </c>
      <c r="B975" t="s">
        <v>43</v>
      </c>
      <c r="C975" t="s">
        <v>36</v>
      </c>
      <c r="D975" s="2">
        <v>817</v>
      </c>
      <c r="E975" t="s">
        <v>45</v>
      </c>
      <c r="F975" s="2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 s="2">
        <v>5363</v>
      </c>
      <c r="T975">
        <v>10846</v>
      </c>
      <c r="U975">
        <v>0</v>
      </c>
      <c r="V975" t="s">
        <v>42</v>
      </c>
      <c r="W975" t="s">
        <v>43</v>
      </c>
      <c r="X975" s="2">
        <v>12</v>
      </c>
      <c r="Y975">
        <v>3</v>
      </c>
      <c r="Z975">
        <v>2</v>
      </c>
      <c r="AA975">
        <v>80</v>
      </c>
      <c r="AB975">
        <v>1</v>
      </c>
      <c r="AC975" s="2">
        <v>10</v>
      </c>
      <c r="AD975">
        <v>0</v>
      </c>
      <c r="AE975">
        <v>3</v>
      </c>
      <c r="AF975" s="2">
        <v>9</v>
      </c>
      <c r="AG975">
        <v>7</v>
      </c>
      <c r="AH975">
        <v>0</v>
      </c>
      <c r="AI975">
        <v>0</v>
      </c>
      <c r="AJ975" s="2" t="str">
        <f>IF(A975 A975 &lt;= 25, "18-25", IF(A975 &lt;=35, "26-35", IF(A975 &lt;=45, "36-45", IF(Table3[[#This Row],[Age]] &lt;=55, "46-55", "56+"))))</f>
        <v>26-35</v>
      </c>
      <c r="AK975" t="str">
        <f t="shared" si="15"/>
        <v>Medium</v>
      </c>
      <c r="AL975" s="2" t="str">
        <f>IF(AF975 &lt; 3, "0-2 Years", IF(AF975 &lt;= 5, "3-5 Years", IF(AF975 &lt;= 10, "6-10 Years",IF(Table3[[#This Row],[Years At Company]]&lt;=20, "11-20 Years","20+ Years"))))</f>
        <v>6-10 Years</v>
      </c>
    </row>
    <row r="976" spans="1:38" x14ac:dyDescent="0.25">
      <c r="A976" s="2">
        <v>27</v>
      </c>
      <c r="B976" t="s">
        <v>43</v>
      </c>
      <c r="C976" t="s">
        <v>44</v>
      </c>
      <c r="D976" s="2">
        <v>793</v>
      </c>
      <c r="E976" t="s">
        <v>37</v>
      </c>
      <c r="F976" s="2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 s="2">
        <v>5071</v>
      </c>
      <c r="T976">
        <v>20392</v>
      </c>
      <c r="U976">
        <v>3</v>
      </c>
      <c r="V976" t="s">
        <v>42</v>
      </c>
      <c r="W976" t="s">
        <v>43</v>
      </c>
      <c r="X976" s="2">
        <v>20</v>
      </c>
      <c r="Y976">
        <v>4</v>
      </c>
      <c r="Z976">
        <v>2</v>
      </c>
      <c r="AA976">
        <v>80</v>
      </c>
      <c r="AB976">
        <v>0</v>
      </c>
      <c r="AC976" s="2">
        <v>8</v>
      </c>
      <c r="AD976">
        <v>3</v>
      </c>
      <c r="AE976">
        <v>3</v>
      </c>
      <c r="AF976" s="2">
        <v>6</v>
      </c>
      <c r="AG976">
        <v>2</v>
      </c>
      <c r="AH976">
        <v>0</v>
      </c>
      <c r="AI976">
        <v>0</v>
      </c>
      <c r="AJ976" s="2" t="str">
        <f>IF(A976 A976 &lt;= 25, "18-25", IF(A976 &lt;=35, "26-35", IF(A976 &lt;=45, "36-45", IF(Table3[[#This Row],[Age]] &lt;=55, "46-55", "56+"))))</f>
        <v>26-35</v>
      </c>
      <c r="AK976" t="str">
        <f t="shared" si="15"/>
        <v>Medium</v>
      </c>
      <c r="AL976" s="2" t="str">
        <f>IF(AF976 &lt; 3, "0-2 Years", IF(AF976 &lt;= 5, "3-5 Years", IF(AF976 &lt;= 10, "6-10 Years",IF(Table3[[#This Row],[Years At Company]]&lt;=20, "11-20 Years","20+ Years"))))</f>
        <v>6-10 Years</v>
      </c>
    </row>
    <row r="977" spans="1:38" x14ac:dyDescent="0.25">
      <c r="A977" s="2">
        <v>55</v>
      </c>
      <c r="B977" t="s">
        <v>35</v>
      </c>
      <c r="C977" t="s">
        <v>36</v>
      </c>
      <c r="D977" s="2">
        <v>267</v>
      </c>
      <c r="E977" t="s">
        <v>37</v>
      </c>
      <c r="F977" s="2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 s="2">
        <v>13695</v>
      </c>
      <c r="T977">
        <v>9277</v>
      </c>
      <c r="U977">
        <v>6</v>
      </c>
      <c r="V977" t="s">
        <v>42</v>
      </c>
      <c r="W977" t="s">
        <v>35</v>
      </c>
      <c r="X977" s="2">
        <v>17</v>
      </c>
      <c r="Y977">
        <v>3</v>
      </c>
      <c r="Z977">
        <v>3</v>
      </c>
      <c r="AA977">
        <v>80</v>
      </c>
      <c r="AB977">
        <v>0</v>
      </c>
      <c r="AC977" s="2">
        <v>24</v>
      </c>
      <c r="AD977">
        <v>2</v>
      </c>
      <c r="AE977">
        <v>2</v>
      </c>
      <c r="AF977" s="2">
        <v>19</v>
      </c>
      <c r="AG977">
        <v>7</v>
      </c>
      <c r="AH977">
        <v>3</v>
      </c>
      <c r="AI977">
        <v>8</v>
      </c>
      <c r="AJ977" s="2" t="str">
        <f>IF(A977 A977 &lt;= 25, "18-25", IF(A977 &lt;=35, "26-35", IF(A977 &lt;=45, "36-45", IF(Table3[[#This Row],[Age]] &lt;=55, "46-55", "56+"))))</f>
        <v>46-55</v>
      </c>
      <c r="AK977" t="str">
        <f t="shared" si="15"/>
        <v>High</v>
      </c>
      <c r="AL977" s="2" t="str">
        <f>IF(AF977 &lt; 3, "0-2 Years", IF(AF977 &lt;= 5, "3-5 Years", IF(AF977 &lt;= 10, "6-10 Years",IF(Table3[[#This Row],[Years At Company]]&lt;=20, "11-20 Years","20+ Years"))))</f>
        <v>11-20 Years</v>
      </c>
    </row>
    <row r="978" spans="1:38" x14ac:dyDescent="0.25">
      <c r="A978" s="2">
        <v>56</v>
      </c>
      <c r="B978" t="s">
        <v>43</v>
      </c>
      <c r="C978" t="s">
        <v>36</v>
      </c>
      <c r="D978" s="2">
        <v>1369</v>
      </c>
      <c r="E978" t="s">
        <v>45</v>
      </c>
      <c r="F978" s="2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 s="2">
        <v>13402</v>
      </c>
      <c r="T978">
        <v>18235</v>
      </c>
      <c r="U978">
        <v>4</v>
      </c>
      <c r="V978" t="s">
        <v>42</v>
      </c>
      <c r="W978" t="s">
        <v>35</v>
      </c>
      <c r="X978" s="2">
        <v>12</v>
      </c>
      <c r="Y978">
        <v>3</v>
      </c>
      <c r="Z978">
        <v>1</v>
      </c>
      <c r="AA978">
        <v>80</v>
      </c>
      <c r="AB978">
        <v>1</v>
      </c>
      <c r="AC978" s="2">
        <v>33</v>
      </c>
      <c r="AD978">
        <v>0</v>
      </c>
      <c r="AE978">
        <v>3</v>
      </c>
      <c r="AF978" s="2">
        <v>19</v>
      </c>
      <c r="AG978">
        <v>16</v>
      </c>
      <c r="AH978">
        <v>15</v>
      </c>
      <c r="AI978">
        <v>9</v>
      </c>
      <c r="AJ978" s="2" t="str">
        <f>IF(A978 A978 &lt;= 25, "18-25", IF(A978 &lt;=35, "26-35", IF(A978 &lt;=45, "36-45", IF(Table3[[#This Row],[Age]] &lt;=55, "46-55", "56+"))))</f>
        <v>56+</v>
      </c>
      <c r="AK978" t="str">
        <f t="shared" si="15"/>
        <v>High</v>
      </c>
      <c r="AL978" s="2" t="str">
        <f>IF(AF978 &lt; 3, "0-2 Years", IF(AF978 &lt;= 5, "3-5 Years", IF(AF978 &lt;= 10, "6-10 Years",IF(Table3[[#This Row],[Years At Company]]&lt;=20, "11-20 Years","20+ Years"))))</f>
        <v>11-20 Years</v>
      </c>
    </row>
    <row r="979" spans="1:38" x14ac:dyDescent="0.25">
      <c r="A979" s="2">
        <v>34</v>
      </c>
      <c r="B979" t="s">
        <v>43</v>
      </c>
      <c r="C979" t="s">
        <v>55</v>
      </c>
      <c r="D979" s="2">
        <v>999</v>
      </c>
      <c r="E979" t="s">
        <v>45</v>
      </c>
      <c r="F979" s="2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 s="2">
        <v>2029</v>
      </c>
      <c r="T979">
        <v>15891</v>
      </c>
      <c r="U979">
        <v>1</v>
      </c>
      <c r="V979" t="s">
        <v>42</v>
      </c>
      <c r="W979" t="s">
        <v>43</v>
      </c>
      <c r="X979" s="2">
        <v>20</v>
      </c>
      <c r="Y979">
        <v>4</v>
      </c>
      <c r="Z979">
        <v>3</v>
      </c>
      <c r="AA979">
        <v>80</v>
      </c>
      <c r="AB979">
        <v>3</v>
      </c>
      <c r="AC979" s="2">
        <v>5</v>
      </c>
      <c r="AD979">
        <v>2</v>
      </c>
      <c r="AE979">
        <v>3</v>
      </c>
      <c r="AF979" s="2">
        <v>5</v>
      </c>
      <c r="AG979">
        <v>4</v>
      </c>
      <c r="AH979">
        <v>0</v>
      </c>
      <c r="AI979">
        <v>0</v>
      </c>
      <c r="AJ979" s="2" t="str">
        <f>IF(A979 A979 &lt;= 25, "18-25", IF(A979 &lt;=35, "26-35", IF(A979 &lt;=45, "36-45", IF(Table3[[#This Row],[Age]] &lt;=55, "46-55", "56+"))))</f>
        <v>26-35</v>
      </c>
      <c r="AK979" t="str">
        <f t="shared" si="15"/>
        <v>Low</v>
      </c>
      <c r="AL979" s="2" t="str">
        <f>IF(AF979 &lt; 3, "0-2 Years", IF(AF979 &lt;= 5, "3-5 Years", IF(AF979 &lt;= 10, "6-10 Years",IF(Table3[[#This Row],[Years At Company]]&lt;=20, "11-20 Years","20+ Years"))))</f>
        <v>3-5 Years</v>
      </c>
    </row>
    <row r="980" spans="1:38" x14ac:dyDescent="0.25">
      <c r="A980" s="2">
        <v>40</v>
      </c>
      <c r="B980" t="s">
        <v>43</v>
      </c>
      <c r="C980" t="s">
        <v>36</v>
      </c>
      <c r="D980" s="2">
        <v>1202</v>
      </c>
      <c r="E980" t="s">
        <v>45</v>
      </c>
      <c r="F980" s="2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 s="2">
        <v>6377</v>
      </c>
      <c r="T980">
        <v>13888</v>
      </c>
      <c r="U980">
        <v>5</v>
      </c>
      <c r="V980" t="s">
        <v>42</v>
      </c>
      <c r="W980" t="s">
        <v>43</v>
      </c>
      <c r="X980" s="2">
        <v>20</v>
      </c>
      <c r="Y980">
        <v>4</v>
      </c>
      <c r="Z980">
        <v>2</v>
      </c>
      <c r="AA980">
        <v>80</v>
      </c>
      <c r="AB980">
        <v>3</v>
      </c>
      <c r="AC980" s="2">
        <v>15</v>
      </c>
      <c r="AD980">
        <v>0</v>
      </c>
      <c r="AE980">
        <v>3</v>
      </c>
      <c r="AF980" s="2">
        <v>12</v>
      </c>
      <c r="AG980">
        <v>11</v>
      </c>
      <c r="AH980">
        <v>11</v>
      </c>
      <c r="AI980">
        <v>8</v>
      </c>
      <c r="AJ980" s="2" t="str">
        <f>IF(A980 A980 &lt;= 25, "18-25", IF(A980 &lt;=35, "26-35", IF(A980 &lt;=45, "36-45", IF(Table3[[#This Row],[Age]] &lt;=55, "46-55", "56+"))))</f>
        <v>36-45</v>
      </c>
      <c r="AK980" t="str">
        <f t="shared" si="15"/>
        <v>Medium</v>
      </c>
      <c r="AL980" s="2" t="str">
        <f>IF(AF980 &lt; 3, "0-2 Years", IF(AF980 &lt;= 5, "3-5 Years", IF(AF980 &lt;= 10, "6-10 Years",IF(Table3[[#This Row],[Years At Company]]&lt;=20, "11-20 Years","20+ Years"))))</f>
        <v>11-20 Years</v>
      </c>
    </row>
    <row r="981" spans="1:38" x14ac:dyDescent="0.25">
      <c r="A981" s="2">
        <v>34</v>
      </c>
      <c r="B981" t="s">
        <v>43</v>
      </c>
      <c r="C981" t="s">
        <v>36</v>
      </c>
      <c r="D981" s="2">
        <v>285</v>
      </c>
      <c r="E981" t="s">
        <v>45</v>
      </c>
      <c r="F981" s="2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 s="2">
        <v>5429</v>
      </c>
      <c r="T981">
        <v>17491</v>
      </c>
      <c r="U981">
        <v>4</v>
      </c>
      <c r="V981" t="s">
        <v>42</v>
      </c>
      <c r="W981" t="s">
        <v>43</v>
      </c>
      <c r="X981" s="2">
        <v>13</v>
      </c>
      <c r="Y981">
        <v>3</v>
      </c>
      <c r="Z981">
        <v>1</v>
      </c>
      <c r="AA981">
        <v>80</v>
      </c>
      <c r="AB981">
        <v>2</v>
      </c>
      <c r="AC981" s="2">
        <v>10</v>
      </c>
      <c r="AD981">
        <v>1</v>
      </c>
      <c r="AE981">
        <v>3</v>
      </c>
      <c r="AF981" s="2">
        <v>8</v>
      </c>
      <c r="AG981">
        <v>7</v>
      </c>
      <c r="AH981">
        <v>7</v>
      </c>
      <c r="AI981">
        <v>7</v>
      </c>
      <c r="AJ981" s="2" t="str">
        <f>IF(A981 A981 &lt;= 25, "18-25", IF(A981 &lt;=35, "26-35", IF(A981 &lt;=45, "36-45", IF(Table3[[#This Row],[Age]] &lt;=55, "46-55", "56+"))))</f>
        <v>26-35</v>
      </c>
      <c r="AK981" t="str">
        <f t="shared" si="15"/>
        <v>Medium</v>
      </c>
      <c r="AL981" s="2" t="str">
        <f>IF(AF981 &lt; 3, "0-2 Years", IF(AF981 &lt;= 5, "3-5 Years", IF(AF981 &lt;= 10, "6-10 Years",IF(Table3[[#This Row],[Years At Company]]&lt;=20, "11-20 Years","20+ Years"))))</f>
        <v>6-10 Years</v>
      </c>
    </row>
    <row r="982" spans="1:38" x14ac:dyDescent="0.25">
      <c r="A982" s="2">
        <v>31</v>
      </c>
      <c r="B982" t="s">
        <v>35</v>
      </c>
      <c r="C982" t="s">
        <v>44</v>
      </c>
      <c r="D982" s="2">
        <v>703</v>
      </c>
      <c r="E982" t="s">
        <v>37</v>
      </c>
      <c r="F982" s="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 s="2">
        <v>2785</v>
      </c>
      <c r="T982">
        <v>11882</v>
      </c>
      <c r="U982">
        <v>7</v>
      </c>
      <c r="V982" t="s">
        <v>42</v>
      </c>
      <c r="W982" t="s">
        <v>43</v>
      </c>
      <c r="X982" s="2">
        <v>14</v>
      </c>
      <c r="Y982">
        <v>3</v>
      </c>
      <c r="Z982">
        <v>3</v>
      </c>
      <c r="AA982">
        <v>80</v>
      </c>
      <c r="AB982">
        <v>0</v>
      </c>
      <c r="AC982" s="2">
        <v>3</v>
      </c>
      <c r="AD982">
        <v>3</v>
      </c>
      <c r="AE982">
        <v>4</v>
      </c>
      <c r="AF982" s="2">
        <v>1</v>
      </c>
      <c r="AG982">
        <v>0</v>
      </c>
      <c r="AH982">
        <v>0</v>
      </c>
      <c r="AI982">
        <v>0</v>
      </c>
      <c r="AJ982" s="2" t="str">
        <f>IF(A982 A982 &lt;= 25, "18-25", IF(A982 &lt;=35, "26-35", IF(A982 &lt;=45, "36-45", IF(Table3[[#This Row],[Age]] &lt;=55, "46-55", "56+"))))</f>
        <v>26-35</v>
      </c>
      <c r="AK982" t="str">
        <f t="shared" si="15"/>
        <v>Low</v>
      </c>
      <c r="AL982" s="2" t="str">
        <f>IF(AF982 &lt; 3, "0-2 Years", IF(AF982 &lt;= 5, "3-5 Years", IF(AF982 &lt;= 10, "6-10 Years",IF(Table3[[#This Row],[Years At Company]]&lt;=20, "11-20 Years","20+ Years"))))</f>
        <v>0-2 Years</v>
      </c>
    </row>
    <row r="983" spans="1:38" x14ac:dyDescent="0.25">
      <c r="A983" s="2">
        <v>35</v>
      </c>
      <c r="B983" t="s">
        <v>35</v>
      </c>
      <c r="C983" t="s">
        <v>44</v>
      </c>
      <c r="D983" s="2">
        <v>662</v>
      </c>
      <c r="E983" t="s">
        <v>37</v>
      </c>
      <c r="F983" s="2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 s="2">
        <v>4614</v>
      </c>
      <c r="T983">
        <v>23288</v>
      </c>
      <c r="U983">
        <v>0</v>
      </c>
      <c r="V983" t="s">
        <v>42</v>
      </c>
      <c r="W983" t="s">
        <v>35</v>
      </c>
      <c r="X983" s="2">
        <v>18</v>
      </c>
      <c r="Y983">
        <v>3</v>
      </c>
      <c r="Z983">
        <v>3</v>
      </c>
      <c r="AA983">
        <v>80</v>
      </c>
      <c r="AB983">
        <v>1</v>
      </c>
      <c r="AC983" s="2">
        <v>5</v>
      </c>
      <c r="AD983">
        <v>0</v>
      </c>
      <c r="AE983">
        <v>2</v>
      </c>
      <c r="AF983" s="2">
        <v>4</v>
      </c>
      <c r="AG983">
        <v>2</v>
      </c>
      <c r="AH983">
        <v>3</v>
      </c>
      <c r="AI983">
        <v>2</v>
      </c>
      <c r="AJ983" s="2" t="str">
        <f>IF(A983 A983 &lt;= 25, "18-25", IF(A983 &lt;=35, "26-35", IF(A983 &lt;=45, "36-45", IF(Table3[[#This Row],[Age]] &lt;=55, "46-55", "56+"))))</f>
        <v>26-35</v>
      </c>
      <c r="AK983" t="str">
        <f t="shared" si="15"/>
        <v>Low</v>
      </c>
      <c r="AL983" s="2" t="str">
        <f>IF(AF983 &lt; 3, "0-2 Years", IF(AF983 &lt;= 5, "3-5 Years", IF(AF983 &lt;= 10, "6-10 Years",IF(Table3[[#This Row],[Years At Company]]&lt;=20, "11-20 Years","20+ Years"))))</f>
        <v>3-5 Years</v>
      </c>
    </row>
    <row r="984" spans="1:38" x14ac:dyDescent="0.25">
      <c r="A984" s="2">
        <v>38</v>
      </c>
      <c r="B984" t="s">
        <v>43</v>
      </c>
      <c r="C984" t="s">
        <v>44</v>
      </c>
      <c r="D984" s="2">
        <v>693</v>
      </c>
      <c r="E984" t="s">
        <v>45</v>
      </c>
      <c r="F984" s="2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 s="2">
        <v>2610</v>
      </c>
      <c r="T984">
        <v>15748</v>
      </c>
      <c r="U984">
        <v>1</v>
      </c>
      <c r="V984" t="s">
        <v>42</v>
      </c>
      <c r="W984" t="s">
        <v>43</v>
      </c>
      <c r="X984" s="2">
        <v>11</v>
      </c>
      <c r="Y984">
        <v>3</v>
      </c>
      <c r="Z984">
        <v>4</v>
      </c>
      <c r="AA984">
        <v>80</v>
      </c>
      <c r="AB984">
        <v>3</v>
      </c>
      <c r="AC984" s="2">
        <v>4</v>
      </c>
      <c r="AD984">
        <v>2</v>
      </c>
      <c r="AE984">
        <v>3</v>
      </c>
      <c r="AF984" s="2">
        <v>4</v>
      </c>
      <c r="AG984">
        <v>2</v>
      </c>
      <c r="AH984">
        <v>0</v>
      </c>
      <c r="AI984">
        <v>3</v>
      </c>
      <c r="AJ984" s="2" t="str">
        <f>IF(A984 A984 &lt;= 25, "18-25", IF(A984 &lt;=35, "26-35", IF(A984 &lt;=45, "36-45", IF(Table3[[#This Row],[Age]] &lt;=55, "46-55", "56+"))))</f>
        <v>36-45</v>
      </c>
      <c r="AK984" t="str">
        <f t="shared" si="15"/>
        <v>Low</v>
      </c>
      <c r="AL984" s="2" t="str">
        <f>IF(AF984 &lt; 3, "0-2 Years", IF(AF984 &lt;= 5, "3-5 Years", IF(AF984 &lt;= 10, "6-10 Years",IF(Table3[[#This Row],[Years At Company]]&lt;=20, "11-20 Years","20+ Years"))))</f>
        <v>3-5 Years</v>
      </c>
    </row>
    <row r="985" spans="1:38" x14ac:dyDescent="0.25">
      <c r="A985" s="2">
        <v>34</v>
      </c>
      <c r="B985" t="s">
        <v>43</v>
      </c>
      <c r="C985" t="s">
        <v>36</v>
      </c>
      <c r="D985" s="2">
        <v>404</v>
      </c>
      <c r="E985" t="s">
        <v>45</v>
      </c>
      <c r="F985" s="2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 s="2">
        <v>6687</v>
      </c>
      <c r="T985">
        <v>6163</v>
      </c>
      <c r="U985">
        <v>1</v>
      </c>
      <c r="V985" t="s">
        <v>42</v>
      </c>
      <c r="W985" t="s">
        <v>43</v>
      </c>
      <c r="X985" s="2">
        <v>11</v>
      </c>
      <c r="Y985">
        <v>3</v>
      </c>
      <c r="Z985">
        <v>4</v>
      </c>
      <c r="AA985">
        <v>80</v>
      </c>
      <c r="AB985">
        <v>0</v>
      </c>
      <c r="AC985" s="2">
        <v>14</v>
      </c>
      <c r="AD985">
        <v>2</v>
      </c>
      <c r="AE985">
        <v>4</v>
      </c>
      <c r="AF985" s="2">
        <v>14</v>
      </c>
      <c r="AG985">
        <v>11</v>
      </c>
      <c r="AH985">
        <v>4</v>
      </c>
      <c r="AI985">
        <v>11</v>
      </c>
      <c r="AJ985" s="2" t="str">
        <f>IF(A985 A985 &lt;= 25, "18-25", IF(A985 &lt;=35, "26-35", IF(A985 &lt;=45, "36-45", IF(Table3[[#This Row],[Age]] &lt;=55, "46-55", "56+"))))</f>
        <v>26-35</v>
      </c>
      <c r="AK985" t="str">
        <f t="shared" si="15"/>
        <v>Medium</v>
      </c>
      <c r="AL985" s="2" t="str">
        <f>IF(AF985 &lt; 3, "0-2 Years", IF(AF985 &lt;= 5, "3-5 Years", IF(AF985 &lt;= 10, "6-10 Years",IF(Table3[[#This Row],[Years At Company]]&lt;=20, "11-20 Years","20+ Years"))))</f>
        <v>11-20 Years</v>
      </c>
    </row>
    <row r="986" spans="1:38" x14ac:dyDescent="0.25">
      <c r="A986" s="2">
        <v>28</v>
      </c>
      <c r="B986" t="s">
        <v>43</v>
      </c>
      <c r="C986" t="s">
        <v>36</v>
      </c>
      <c r="D986" s="2">
        <v>736</v>
      </c>
      <c r="E986" t="s">
        <v>37</v>
      </c>
      <c r="F986" s="2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 s="2">
        <v>4724</v>
      </c>
      <c r="T986">
        <v>24232</v>
      </c>
      <c r="U986">
        <v>1</v>
      </c>
      <c r="V986" t="s">
        <v>42</v>
      </c>
      <c r="W986" t="s">
        <v>43</v>
      </c>
      <c r="X986" s="2">
        <v>11</v>
      </c>
      <c r="Y986">
        <v>3</v>
      </c>
      <c r="Z986">
        <v>3</v>
      </c>
      <c r="AA986">
        <v>80</v>
      </c>
      <c r="AB986">
        <v>1</v>
      </c>
      <c r="AC986" s="2">
        <v>5</v>
      </c>
      <c r="AD986">
        <v>0</v>
      </c>
      <c r="AE986">
        <v>3</v>
      </c>
      <c r="AF986" s="2">
        <v>5</v>
      </c>
      <c r="AG986">
        <v>3</v>
      </c>
      <c r="AH986">
        <v>0</v>
      </c>
      <c r="AI986">
        <v>4</v>
      </c>
      <c r="AJ986" s="2" t="str">
        <f>IF(A986 A986 &lt;= 25, "18-25", IF(A986 &lt;=35, "26-35", IF(A986 &lt;=45, "36-45", IF(Table3[[#This Row],[Age]] &lt;=55, "46-55", "56+"))))</f>
        <v>26-35</v>
      </c>
      <c r="AK986" t="str">
        <f t="shared" si="15"/>
        <v>Low</v>
      </c>
      <c r="AL986" s="2" t="str">
        <f>IF(AF986 &lt; 3, "0-2 Years", IF(AF986 &lt;= 5, "3-5 Years", IF(AF986 &lt;= 10, "6-10 Years",IF(Table3[[#This Row],[Years At Company]]&lt;=20, "11-20 Years","20+ Years"))))</f>
        <v>3-5 Years</v>
      </c>
    </row>
    <row r="987" spans="1:38" x14ac:dyDescent="0.25">
      <c r="A987" s="2">
        <v>31</v>
      </c>
      <c r="B987" t="s">
        <v>35</v>
      </c>
      <c r="C987" t="s">
        <v>36</v>
      </c>
      <c r="D987" s="2">
        <v>330</v>
      </c>
      <c r="E987" t="s">
        <v>45</v>
      </c>
      <c r="F987" s="2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 s="2">
        <v>6179</v>
      </c>
      <c r="T987">
        <v>21057</v>
      </c>
      <c r="U987">
        <v>1</v>
      </c>
      <c r="V987" t="s">
        <v>42</v>
      </c>
      <c r="W987" t="s">
        <v>35</v>
      </c>
      <c r="X987" s="2">
        <v>15</v>
      </c>
      <c r="Y987">
        <v>3</v>
      </c>
      <c r="Z987">
        <v>4</v>
      </c>
      <c r="AA987">
        <v>80</v>
      </c>
      <c r="AB987">
        <v>2</v>
      </c>
      <c r="AC987" s="2">
        <v>10</v>
      </c>
      <c r="AD987">
        <v>3</v>
      </c>
      <c r="AE987">
        <v>2</v>
      </c>
      <c r="AF987" s="2">
        <v>10</v>
      </c>
      <c r="AG987">
        <v>2</v>
      </c>
      <c r="AH987">
        <v>6</v>
      </c>
      <c r="AI987">
        <v>7</v>
      </c>
      <c r="AJ987" s="2" t="str">
        <f>IF(A987 A987 &lt;= 25, "18-25", IF(A987 &lt;=35, "26-35", IF(A987 &lt;=45, "36-45", IF(Table3[[#This Row],[Age]] &lt;=55, "46-55", "56+"))))</f>
        <v>26-35</v>
      </c>
      <c r="AK987" t="str">
        <f t="shared" si="15"/>
        <v>Medium</v>
      </c>
      <c r="AL987" s="2" t="str">
        <f>IF(AF987 &lt; 3, "0-2 Years", IF(AF987 &lt;= 5, "3-5 Years", IF(AF987 &lt;= 10, "6-10 Years",IF(Table3[[#This Row],[Years At Company]]&lt;=20, "11-20 Years","20+ Years"))))</f>
        <v>6-10 Years</v>
      </c>
    </row>
    <row r="988" spans="1:38" x14ac:dyDescent="0.25">
      <c r="A988" s="2">
        <v>39</v>
      </c>
      <c r="B988" t="s">
        <v>43</v>
      </c>
      <c r="C988" t="s">
        <v>36</v>
      </c>
      <c r="D988" s="2">
        <v>1498</v>
      </c>
      <c r="E988" t="s">
        <v>37</v>
      </c>
      <c r="F988" s="2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 s="2">
        <v>6120</v>
      </c>
      <c r="T988">
        <v>3567</v>
      </c>
      <c r="U988">
        <v>3</v>
      </c>
      <c r="V988" t="s">
        <v>42</v>
      </c>
      <c r="W988" t="s">
        <v>35</v>
      </c>
      <c r="X988" s="2">
        <v>12</v>
      </c>
      <c r="Y988">
        <v>3</v>
      </c>
      <c r="Z988">
        <v>4</v>
      </c>
      <c r="AA988">
        <v>80</v>
      </c>
      <c r="AB988">
        <v>2</v>
      </c>
      <c r="AC988" s="2">
        <v>8</v>
      </c>
      <c r="AD988">
        <v>2</v>
      </c>
      <c r="AE988">
        <v>4</v>
      </c>
      <c r="AF988" s="2">
        <v>5</v>
      </c>
      <c r="AG988">
        <v>4</v>
      </c>
      <c r="AH988">
        <v>1</v>
      </c>
      <c r="AI988">
        <v>4</v>
      </c>
      <c r="AJ988" s="2" t="str">
        <f>IF(A988 A988 &lt;= 25, "18-25", IF(A988 &lt;=35, "26-35", IF(A988 &lt;=45, "36-45", IF(Table3[[#This Row],[Age]] &lt;=55, "46-55", "56+"))))</f>
        <v>36-45</v>
      </c>
      <c r="AK988" t="str">
        <f t="shared" si="15"/>
        <v>Medium</v>
      </c>
      <c r="AL988" s="2" t="str">
        <f>IF(AF988 &lt; 3, "0-2 Years", IF(AF988 &lt;= 5, "3-5 Years", IF(AF988 &lt;= 10, "6-10 Years",IF(Table3[[#This Row],[Years At Company]]&lt;=20, "11-20 Years","20+ Years"))))</f>
        <v>3-5 Years</v>
      </c>
    </row>
    <row r="989" spans="1:38" x14ac:dyDescent="0.25">
      <c r="A989" s="2">
        <v>51</v>
      </c>
      <c r="B989" t="s">
        <v>43</v>
      </c>
      <c r="C989" t="s">
        <v>44</v>
      </c>
      <c r="D989" s="2">
        <v>541</v>
      </c>
      <c r="E989" t="s">
        <v>37</v>
      </c>
      <c r="F989" s="2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 s="2">
        <v>10596</v>
      </c>
      <c r="T989">
        <v>15395</v>
      </c>
      <c r="U989">
        <v>2</v>
      </c>
      <c r="V989" t="s">
        <v>42</v>
      </c>
      <c r="W989" t="s">
        <v>43</v>
      </c>
      <c r="X989" s="2">
        <v>11</v>
      </c>
      <c r="Y989">
        <v>3</v>
      </c>
      <c r="Z989">
        <v>2</v>
      </c>
      <c r="AA989">
        <v>80</v>
      </c>
      <c r="AB989">
        <v>0</v>
      </c>
      <c r="AC989" s="2">
        <v>14</v>
      </c>
      <c r="AD989">
        <v>5</v>
      </c>
      <c r="AE989">
        <v>3</v>
      </c>
      <c r="AF989" s="2">
        <v>4</v>
      </c>
      <c r="AG989">
        <v>2</v>
      </c>
      <c r="AH989">
        <v>3</v>
      </c>
      <c r="AI989">
        <v>2</v>
      </c>
      <c r="AJ989" s="2" t="str">
        <f>IF(A989 A989 &lt;= 25, "18-25", IF(A989 &lt;=35, "26-35", IF(A989 &lt;=45, "36-45", IF(Table3[[#This Row],[Age]] &lt;=55, "46-55", "56+"))))</f>
        <v>46-55</v>
      </c>
      <c r="AK989" t="str">
        <f t="shared" si="15"/>
        <v>High</v>
      </c>
      <c r="AL989" s="2" t="str">
        <f>IF(AF989 &lt; 3, "0-2 Years", IF(AF989 &lt;= 5, "3-5 Years", IF(AF989 &lt;= 10, "6-10 Years",IF(Table3[[#This Row],[Years At Company]]&lt;=20, "11-20 Years","20+ Years"))))</f>
        <v>3-5 Years</v>
      </c>
    </row>
    <row r="990" spans="1:38" x14ac:dyDescent="0.25">
      <c r="A990" s="2">
        <v>41</v>
      </c>
      <c r="B990" t="s">
        <v>43</v>
      </c>
      <c r="C990" t="s">
        <v>44</v>
      </c>
      <c r="D990" s="2">
        <v>1200</v>
      </c>
      <c r="E990" t="s">
        <v>45</v>
      </c>
      <c r="F990" s="2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 s="2">
        <v>5467</v>
      </c>
      <c r="T990">
        <v>13953</v>
      </c>
      <c r="U990">
        <v>3</v>
      </c>
      <c r="V990" t="s">
        <v>42</v>
      </c>
      <c r="W990" t="s">
        <v>35</v>
      </c>
      <c r="X990" s="2">
        <v>14</v>
      </c>
      <c r="Y990">
        <v>3</v>
      </c>
      <c r="Z990">
        <v>1</v>
      </c>
      <c r="AA990">
        <v>80</v>
      </c>
      <c r="AB990">
        <v>2</v>
      </c>
      <c r="AC990" s="2">
        <v>12</v>
      </c>
      <c r="AD990">
        <v>4</v>
      </c>
      <c r="AE990">
        <v>2</v>
      </c>
      <c r="AF990" s="2">
        <v>6</v>
      </c>
      <c r="AG990">
        <v>2</v>
      </c>
      <c r="AH990">
        <v>3</v>
      </c>
      <c r="AI990">
        <v>3</v>
      </c>
      <c r="AJ990" s="2" t="str">
        <f>IF(A990 A990 &lt;= 25, "18-25", IF(A990 &lt;=35, "26-35", IF(A990 &lt;=45, "36-45", IF(Table3[[#This Row],[Age]] &lt;=55, "46-55", "56+"))))</f>
        <v>36-45</v>
      </c>
      <c r="AK990" t="str">
        <f t="shared" si="15"/>
        <v>Medium</v>
      </c>
      <c r="AL990" s="2" t="str">
        <f>IF(AF990 &lt; 3, "0-2 Years", IF(AF990 &lt;= 5, "3-5 Years", IF(AF990 &lt;= 10, "6-10 Years",IF(Table3[[#This Row],[Years At Company]]&lt;=20, "11-20 Years","20+ Years"))))</f>
        <v>6-10 Years</v>
      </c>
    </row>
    <row r="991" spans="1:38" x14ac:dyDescent="0.25">
      <c r="A991" s="2">
        <v>37</v>
      </c>
      <c r="B991" t="s">
        <v>43</v>
      </c>
      <c r="C991" t="s">
        <v>36</v>
      </c>
      <c r="D991" s="2">
        <v>1439</v>
      </c>
      <c r="E991" t="s">
        <v>45</v>
      </c>
      <c r="F991" s="2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 s="2">
        <v>2996</v>
      </c>
      <c r="T991">
        <v>5182</v>
      </c>
      <c r="U991">
        <v>7</v>
      </c>
      <c r="V991" t="s">
        <v>42</v>
      </c>
      <c r="W991" t="s">
        <v>35</v>
      </c>
      <c r="X991" s="2">
        <v>15</v>
      </c>
      <c r="Y991">
        <v>3</v>
      </c>
      <c r="Z991">
        <v>4</v>
      </c>
      <c r="AA991">
        <v>80</v>
      </c>
      <c r="AB991">
        <v>0</v>
      </c>
      <c r="AC991" s="2">
        <v>8</v>
      </c>
      <c r="AD991">
        <v>2</v>
      </c>
      <c r="AE991">
        <v>3</v>
      </c>
      <c r="AF991" s="2">
        <v>6</v>
      </c>
      <c r="AG991">
        <v>4</v>
      </c>
      <c r="AH991">
        <v>1</v>
      </c>
      <c r="AI991">
        <v>3</v>
      </c>
      <c r="AJ991" s="2" t="str">
        <f>IF(A991 A991 &lt;= 25, "18-25", IF(A991 &lt;=35, "26-35", IF(A991 &lt;=45, "36-45", IF(Table3[[#This Row],[Age]] &lt;=55, "46-55", "56+"))))</f>
        <v>36-45</v>
      </c>
      <c r="AK991" t="str">
        <f t="shared" si="15"/>
        <v>Low</v>
      </c>
      <c r="AL991" s="2" t="str">
        <f>IF(AF991 &lt; 3, "0-2 Years", IF(AF991 &lt;= 5, "3-5 Years", IF(AF991 &lt;= 10, "6-10 Years",IF(Table3[[#This Row],[Years At Company]]&lt;=20, "11-20 Years","20+ Years"))))</f>
        <v>6-10 Years</v>
      </c>
    </row>
    <row r="992" spans="1:38" x14ac:dyDescent="0.25">
      <c r="A992" s="2">
        <v>33</v>
      </c>
      <c r="B992" t="s">
        <v>43</v>
      </c>
      <c r="C992" t="s">
        <v>44</v>
      </c>
      <c r="D992" s="2">
        <v>1111</v>
      </c>
      <c r="E992" t="s">
        <v>37</v>
      </c>
      <c r="F992" s="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 s="2">
        <v>9998</v>
      </c>
      <c r="T992">
        <v>19293</v>
      </c>
      <c r="U992">
        <v>6</v>
      </c>
      <c r="V992" t="s">
        <v>42</v>
      </c>
      <c r="W992" t="s">
        <v>43</v>
      </c>
      <c r="X992" s="2">
        <v>13</v>
      </c>
      <c r="Y992">
        <v>3</v>
      </c>
      <c r="Z992">
        <v>1</v>
      </c>
      <c r="AA992">
        <v>80</v>
      </c>
      <c r="AB992">
        <v>0</v>
      </c>
      <c r="AC992" s="2">
        <v>8</v>
      </c>
      <c r="AD992">
        <v>2</v>
      </c>
      <c r="AE992">
        <v>4</v>
      </c>
      <c r="AF992" s="2">
        <v>5</v>
      </c>
      <c r="AG992">
        <v>4</v>
      </c>
      <c r="AH992">
        <v>1</v>
      </c>
      <c r="AI992">
        <v>2</v>
      </c>
      <c r="AJ992" s="2" t="str">
        <f>IF(A992 A992 &lt;= 25, "18-25", IF(A992 &lt;=35, "26-35", IF(A992 &lt;=45, "36-45", IF(Table3[[#This Row],[Age]] &lt;=55, "46-55", "56+"))))</f>
        <v>26-35</v>
      </c>
      <c r="AK992" t="str">
        <f t="shared" si="15"/>
        <v>Medium</v>
      </c>
      <c r="AL992" s="2" t="str">
        <f>IF(AF992 &lt; 3, "0-2 Years", IF(AF992 &lt;= 5, "3-5 Years", IF(AF992 &lt;= 10, "6-10 Years",IF(Table3[[#This Row],[Years At Company]]&lt;=20, "11-20 Years","20+ Years"))))</f>
        <v>3-5 Years</v>
      </c>
    </row>
    <row r="993" spans="1:38" x14ac:dyDescent="0.25">
      <c r="A993" s="2">
        <v>32</v>
      </c>
      <c r="B993" t="s">
        <v>43</v>
      </c>
      <c r="C993" t="s">
        <v>36</v>
      </c>
      <c r="D993" s="2">
        <v>499</v>
      </c>
      <c r="E993" t="s">
        <v>37</v>
      </c>
      <c r="F993" s="2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 s="2">
        <v>4078</v>
      </c>
      <c r="T993">
        <v>20497</v>
      </c>
      <c r="U993">
        <v>0</v>
      </c>
      <c r="V993" t="s">
        <v>42</v>
      </c>
      <c r="W993" t="s">
        <v>35</v>
      </c>
      <c r="X993" s="2">
        <v>13</v>
      </c>
      <c r="Y993">
        <v>3</v>
      </c>
      <c r="Z993">
        <v>1</v>
      </c>
      <c r="AA993">
        <v>80</v>
      </c>
      <c r="AB993">
        <v>3</v>
      </c>
      <c r="AC993" s="2">
        <v>4</v>
      </c>
      <c r="AD993">
        <v>3</v>
      </c>
      <c r="AE993">
        <v>2</v>
      </c>
      <c r="AF993" s="2">
        <v>3</v>
      </c>
      <c r="AG993">
        <v>2</v>
      </c>
      <c r="AH993">
        <v>1</v>
      </c>
      <c r="AI993">
        <v>2</v>
      </c>
      <c r="AJ993" s="2" t="str">
        <f>IF(A993 A993 &lt;= 25, "18-25", IF(A993 &lt;=35, "26-35", IF(A993 &lt;=45, "36-45", IF(Table3[[#This Row],[Age]] &lt;=55, "46-55", "56+"))))</f>
        <v>26-35</v>
      </c>
      <c r="AK993" t="str">
        <f t="shared" si="15"/>
        <v>Low</v>
      </c>
      <c r="AL993" s="2" t="str">
        <f>IF(AF993 &lt; 3, "0-2 Years", IF(AF993 &lt;= 5, "3-5 Years", IF(AF993 &lt;= 10, "6-10 Years",IF(Table3[[#This Row],[Years At Company]]&lt;=20, "11-20 Years","20+ Years"))))</f>
        <v>3-5 Years</v>
      </c>
    </row>
    <row r="994" spans="1:38" x14ac:dyDescent="0.25">
      <c r="A994" s="2">
        <v>39</v>
      </c>
      <c r="B994" t="s">
        <v>43</v>
      </c>
      <c r="C994" t="s">
        <v>55</v>
      </c>
      <c r="D994" s="2">
        <v>1485</v>
      </c>
      <c r="E994" t="s">
        <v>45</v>
      </c>
      <c r="F994" s="2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 s="2">
        <v>10920</v>
      </c>
      <c r="T994">
        <v>3449</v>
      </c>
      <c r="U994">
        <v>3</v>
      </c>
      <c r="V994" t="s">
        <v>42</v>
      </c>
      <c r="W994" t="s">
        <v>43</v>
      </c>
      <c r="X994" s="2">
        <v>21</v>
      </c>
      <c r="Y994">
        <v>4</v>
      </c>
      <c r="Z994">
        <v>2</v>
      </c>
      <c r="AA994">
        <v>80</v>
      </c>
      <c r="AB994">
        <v>1</v>
      </c>
      <c r="AC994" s="2">
        <v>13</v>
      </c>
      <c r="AD994">
        <v>2</v>
      </c>
      <c r="AE994">
        <v>3</v>
      </c>
      <c r="AF994" s="2">
        <v>6</v>
      </c>
      <c r="AG994">
        <v>4</v>
      </c>
      <c r="AH994">
        <v>0</v>
      </c>
      <c r="AI994">
        <v>5</v>
      </c>
      <c r="AJ994" s="2" t="str">
        <f>IF(A994 A994 &lt;= 25, "18-25", IF(A994 &lt;=35, "26-35", IF(A994 &lt;=45, "36-45", IF(Table3[[#This Row],[Age]] &lt;=55, "46-55", "56+"))))</f>
        <v>36-45</v>
      </c>
      <c r="AK994" t="str">
        <f t="shared" si="15"/>
        <v>High</v>
      </c>
      <c r="AL994" s="2" t="str">
        <f>IF(AF994 &lt; 3, "0-2 Years", IF(AF994 &lt;= 5, "3-5 Years", IF(AF994 &lt;= 10, "6-10 Years",IF(Table3[[#This Row],[Years At Company]]&lt;=20, "11-20 Years","20+ Years"))))</f>
        <v>6-10 Years</v>
      </c>
    </row>
    <row r="995" spans="1:38" x14ac:dyDescent="0.25">
      <c r="A995" s="2">
        <v>25</v>
      </c>
      <c r="B995" t="s">
        <v>43</v>
      </c>
      <c r="C995" t="s">
        <v>36</v>
      </c>
      <c r="D995" s="2">
        <v>1372</v>
      </c>
      <c r="E995" t="s">
        <v>37</v>
      </c>
      <c r="F995" s="2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 s="2">
        <v>6232</v>
      </c>
      <c r="T995">
        <v>12477</v>
      </c>
      <c r="U995">
        <v>2</v>
      </c>
      <c r="V995" t="s">
        <v>42</v>
      </c>
      <c r="W995" t="s">
        <v>43</v>
      </c>
      <c r="X995" s="2">
        <v>11</v>
      </c>
      <c r="Y995">
        <v>3</v>
      </c>
      <c r="Z995">
        <v>2</v>
      </c>
      <c r="AA995">
        <v>80</v>
      </c>
      <c r="AB995">
        <v>0</v>
      </c>
      <c r="AC995" s="2">
        <v>6</v>
      </c>
      <c r="AD995">
        <v>3</v>
      </c>
      <c r="AE995">
        <v>2</v>
      </c>
      <c r="AF995" s="2">
        <v>3</v>
      </c>
      <c r="AG995">
        <v>2</v>
      </c>
      <c r="AH995">
        <v>1</v>
      </c>
      <c r="AI995">
        <v>2</v>
      </c>
      <c r="AJ995" s="2" t="str">
        <f>IF(A995 A995 &lt;= 25, "18-25", IF(A995 &lt;=35, "26-35", IF(A995 &lt;=45, "36-45", IF(Table3[[#This Row],[Age]] &lt;=55, "46-55", "56+"))))</f>
        <v>18-25</v>
      </c>
      <c r="AK995" t="str">
        <f t="shared" si="15"/>
        <v>Medium</v>
      </c>
      <c r="AL995" s="2" t="str">
        <f>IF(AF995 &lt; 3, "0-2 Years", IF(AF995 &lt;= 5, "3-5 Years", IF(AF995 &lt;= 10, "6-10 Years",IF(Table3[[#This Row],[Years At Company]]&lt;=20, "11-20 Years","20+ Years"))))</f>
        <v>3-5 Years</v>
      </c>
    </row>
    <row r="996" spans="1:38" x14ac:dyDescent="0.25">
      <c r="A996" s="2">
        <v>52</v>
      </c>
      <c r="B996" t="s">
        <v>43</v>
      </c>
      <c r="C996" t="s">
        <v>44</v>
      </c>
      <c r="D996" s="2">
        <v>322</v>
      </c>
      <c r="E996" t="s">
        <v>45</v>
      </c>
      <c r="F996" s="2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 s="2">
        <v>13247</v>
      </c>
      <c r="T996">
        <v>9731</v>
      </c>
      <c r="U996">
        <v>2</v>
      </c>
      <c r="V996" t="s">
        <v>42</v>
      </c>
      <c r="W996" t="s">
        <v>35</v>
      </c>
      <c r="X996" s="2">
        <v>11</v>
      </c>
      <c r="Y996">
        <v>3</v>
      </c>
      <c r="Z996">
        <v>2</v>
      </c>
      <c r="AA996">
        <v>80</v>
      </c>
      <c r="AB996">
        <v>1</v>
      </c>
      <c r="AC996" s="2">
        <v>24</v>
      </c>
      <c r="AD996">
        <v>3</v>
      </c>
      <c r="AE996">
        <v>2</v>
      </c>
      <c r="AF996" s="2">
        <v>5</v>
      </c>
      <c r="AG996">
        <v>3</v>
      </c>
      <c r="AH996">
        <v>0</v>
      </c>
      <c r="AI996">
        <v>2</v>
      </c>
      <c r="AJ996" s="2" t="str">
        <f>IF(A996 A996 &lt;= 25, "18-25", IF(A996 &lt;=35, "26-35", IF(A996 &lt;=45, "36-45", IF(Table3[[#This Row],[Age]] &lt;=55, "46-55", "56+"))))</f>
        <v>46-55</v>
      </c>
      <c r="AK996" t="str">
        <f t="shared" si="15"/>
        <v>High</v>
      </c>
      <c r="AL996" s="2" t="str">
        <f>IF(AF996 &lt; 3, "0-2 Years", IF(AF996 &lt;= 5, "3-5 Years", IF(AF996 &lt;= 10, "6-10 Years",IF(Table3[[#This Row],[Years At Company]]&lt;=20, "11-20 Years","20+ Years"))))</f>
        <v>3-5 Years</v>
      </c>
    </row>
    <row r="997" spans="1:38" x14ac:dyDescent="0.25">
      <c r="A997" s="2">
        <v>43</v>
      </c>
      <c r="B997" t="s">
        <v>43</v>
      </c>
      <c r="C997" t="s">
        <v>36</v>
      </c>
      <c r="D997" s="2">
        <v>930</v>
      </c>
      <c r="E997" t="s">
        <v>45</v>
      </c>
      <c r="F997" s="2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 s="2">
        <v>4081</v>
      </c>
      <c r="T997">
        <v>20003</v>
      </c>
      <c r="U997">
        <v>1</v>
      </c>
      <c r="V997" t="s">
        <v>42</v>
      </c>
      <c r="W997" t="s">
        <v>35</v>
      </c>
      <c r="X997" s="2">
        <v>14</v>
      </c>
      <c r="Y997">
        <v>3</v>
      </c>
      <c r="Z997">
        <v>1</v>
      </c>
      <c r="AA997">
        <v>80</v>
      </c>
      <c r="AB997">
        <v>0</v>
      </c>
      <c r="AC997" s="2">
        <v>20</v>
      </c>
      <c r="AD997">
        <v>3</v>
      </c>
      <c r="AE997">
        <v>1</v>
      </c>
      <c r="AF997" s="2">
        <v>20</v>
      </c>
      <c r="AG997">
        <v>7</v>
      </c>
      <c r="AH997">
        <v>1</v>
      </c>
      <c r="AI997">
        <v>8</v>
      </c>
      <c r="AJ997" s="2" t="str">
        <f>IF(A997 A997 &lt;= 25, "18-25", IF(A997 &lt;=35, "26-35", IF(A997 &lt;=45, "36-45", IF(Table3[[#This Row],[Age]] &lt;=55, "46-55", "56+"))))</f>
        <v>36-45</v>
      </c>
      <c r="AK997" t="str">
        <f t="shared" si="15"/>
        <v>Low</v>
      </c>
      <c r="AL997" s="2" t="str">
        <f>IF(AF997 &lt; 3, "0-2 Years", IF(AF997 &lt;= 5, "3-5 Years", IF(AF997 &lt;= 10, "6-10 Years",IF(Table3[[#This Row],[Years At Company]]&lt;=20, "11-20 Years","20+ Years"))))</f>
        <v>11-20 Years</v>
      </c>
    </row>
    <row r="998" spans="1:38" x14ac:dyDescent="0.25">
      <c r="A998" s="2">
        <v>27</v>
      </c>
      <c r="B998" t="s">
        <v>43</v>
      </c>
      <c r="C998" t="s">
        <v>36</v>
      </c>
      <c r="D998" s="2">
        <v>205</v>
      </c>
      <c r="E998" t="s">
        <v>37</v>
      </c>
      <c r="F998" s="2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 s="2">
        <v>5769</v>
      </c>
      <c r="T998">
        <v>7100</v>
      </c>
      <c r="U998">
        <v>1</v>
      </c>
      <c r="V998" t="s">
        <v>42</v>
      </c>
      <c r="W998" t="s">
        <v>35</v>
      </c>
      <c r="X998" s="2">
        <v>11</v>
      </c>
      <c r="Y998">
        <v>3</v>
      </c>
      <c r="Z998">
        <v>4</v>
      </c>
      <c r="AA998">
        <v>80</v>
      </c>
      <c r="AB998">
        <v>0</v>
      </c>
      <c r="AC998" s="2">
        <v>6</v>
      </c>
      <c r="AD998">
        <v>3</v>
      </c>
      <c r="AE998">
        <v>3</v>
      </c>
      <c r="AF998" s="2">
        <v>6</v>
      </c>
      <c r="AG998">
        <v>2</v>
      </c>
      <c r="AH998">
        <v>4</v>
      </c>
      <c r="AI998">
        <v>4</v>
      </c>
      <c r="AJ998" s="2" t="str">
        <f>IF(A998 A998 &lt;= 25, "18-25", IF(A998 &lt;=35, "26-35", IF(A998 &lt;=45, "36-45", IF(Table3[[#This Row],[Age]] &lt;=55, "46-55", "56+"))))</f>
        <v>26-35</v>
      </c>
      <c r="AK998" t="str">
        <f t="shared" si="15"/>
        <v>Medium</v>
      </c>
      <c r="AL998" s="2" t="str">
        <f>IF(AF998 &lt; 3, "0-2 Years", IF(AF998 &lt;= 5, "3-5 Years", IF(AF998 &lt;= 10, "6-10 Years",IF(Table3[[#This Row],[Years At Company]]&lt;=20, "11-20 Years","20+ Years"))))</f>
        <v>6-10 Years</v>
      </c>
    </row>
    <row r="999" spans="1:38" x14ac:dyDescent="0.25">
      <c r="A999" s="2">
        <v>27</v>
      </c>
      <c r="B999" t="s">
        <v>35</v>
      </c>
      <c r="C999" t="s">
        <v>36</v>
      </c>
      <c r="D999" s="2">
        <v>135</v>
      </c>
      <c r="E999" t="s">
        <v>45</v>
      </c>
      <c r="F999" s="2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 s="2">
        <v>2394</v>
      </c>
      <c r="T999">
        <v>25681</v>
      </c>
      <c r="U999">
        <v>1</v>
      </c>
      <c r="V999" t="s">
        <v>42</v>
      </c>
      <c r="W999" t="s">
        <v>35</v>
      </c>
      <c r="X999" s="2">
        <v>13</v>
      </c>
      <c r="Y999">
        <v>3</v>
      </c>
      <c r="Z999">
        <v>4</v>
      </c>
      <c r="AA999">
        <v>80</v>
      </c>
      <c r="AB999">
        <v>0</v>
      </c>
      <c r="AC999" s="2">
        <v>8</v>
      </c>
      <c r="AD999">
        <v>2</v>
      </c>
      <c r="AE999">
        <v>3</v>
      </c>
      <c r="AF999" s="2">
        <v>8</v>
      </c>
      <c r="AG999">
        <v>2</v>
      </c>
      <c r="AH999">
        <v>7</v>
      </c>
      <c r="AI999">
        <v>7</v>
      </c>
      <c r="AJ999" s="2" t="str">
        <f>IF(A999 A999 &lt;= 25, "18-25", IF(A999 &lt;=35, "26-35", IF(A999 &lt;=45, "36-45", IF(Table3[[#This Row],[Age]] &lt;=55, "46-55", "56+"))))</f>
        <v>26-35</v>
      </c>
      <c r="AK999" t="str">
        <f t="shared" si="15"/>
        <v>Low</v>
      </c>
      <c r="AL999" s="2" t="str">
        <f>IF(AF999 &lt; 3, "0-2 Years", IF(AF999 &lt;= 5, "3-5 Years", IF(AF999 &lt;= 10, "6-10 Years",IF(Table3[[#This Row],[Years At Company]]&lt;=20, "11-20 Years","20+ Years"))))</f>
        <v>6-10 Years</v>
      </c>
    </row>
    <row r="1000" spans="1:38" x14ac:dyDescent="0.25">
      <c r="A1000" s="2">
        <v>26</v>
      </c>
      <c r="B1000" t="s">
        <v>43</v>
      </c>
      <c r="C1000" t="s">
        <v>36</v>
      </c>
      <c r="D1000" s="2">
        <v>683</v>
      </c>
      <c r="E1000" t="s">
        <v>45</v>
      </c>
      <c r="F1000" s="2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 s="2">
        <v>3904</v>
      </c>
      <c r="T1000">
        <v>4050</v>
      </c>
      <c r="U1000">
        <v>0</v>
      </c>
      <c r="V1000" t="s">
        <v>42</v>
      </c>
      <c r="W1000" t="s">
        <v>43</v>
      </c>
      <c r="X1000" s="2">
        <v>12</v>
      </c>
      <c r="Y1000">
        <v>3</v>
      </c>
      <c r="Z1000">
        <v>4</v>
      </c>
      <c r="AA1000">
        <v>80</v>
      </c>
      <c r="AB1000">
        <v>0</v>
      </c>
      <c r="AC1000" s="2">
        <v>5</v>
      </c>
      <c r="AD1000">
        <v>2</v>
      </c>
      <c r="AE1000">
        <v>3</v>
      </c>
      <c r="AF1000" s="2">
        <v>4</v>
      </c>
      <c r="AG1000">
        <v>3</v>
      </c>
      <c r="AH1000">
        <v>1</v>
      </c>
      <c r="AI1000">
        <v>1</v>
      </c>
      <c r="AJ1000" s="2" t="str">
        <f>IF(A1000 A1000 &lt;= 25, "18-25", IF(A1000 &lt;=35, "26-35", IF(A1000 &lt;=45, "36-45", IF(Table3[[#This Row],[Age]] &lt;=55, "46-55", "56+"))))</f>
        <v>26-35</v>
      </c>
      <c r="AK1000" t="str">
        <f t="shared" si="15"/>
        <v>Low</v>
      </c>
      <c r="AL1000" s="2" t="str">
        <f>IF(AF1000 &lt; 3, "0-2 Years", IF(AF1000 &lt;= 5, "3-5 Years", IF(AF1000 &lt;= 10, "6-10 Years",IF(Table3[[#This Row],[Years At Company]]&lt;=20, "11-20 Years","20+ Years"))))</f>
        <v>3-5 Years</v>
      </c>
    </row>
    <row r="1001" spans="1:38" x14ac:dyDescent="0.25">
      <c r="A1001" s="2">
        <v>42</v>
      </c>
      <c r="B1001" t="s">
        <v>43</v>
      </c>
      <c r="C1001" t="s">
        <v>36</v>
      </c>
      <c r="D1001" s="2">
        <v>1147</v>
      </c>
      <c r="E1001" t="s">
        <v>61</v>
      </c>
      <c r="F1001" s="2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 s="2">
        <v>16799</v>
      </c>
      <c r="T1001">
        <v>16616</v>
      </c>
      <c r="U1001">
        <v>0</v>
      </c>
      <c r="V1001" t="s">
        <v>42</v>
      </c>
      <c r="W1001" t="s">
        <v>43</v>
      </c>
      <c r="X1001" s="2">
        <v>14</v>
      </c>
      <c r="Y1001">
        <v>3</v>
      </c>
      <c r="Z1001">
        <v>3</v>
      </c>
      <c r="AA1001">
        <v>80</v>
      </c>
      <c r="AB1001">
        <v>1</v>
      </c>
      <c r="AC1001" s="2">
        <v>21</v>
      </c>
      <c r="AD1001">
        <v>5</v>
      </c>
      <c r="AE1001">
        <v>3</v>
      </c>
      <c r="AF1001" s="2">
        <v>20</v>
      </c>
      <c r="AG1001">
        <v>7</v>
      </c>
      <c r="AH1001">
        <v>0</v>
      </c>
      <c r="AI1001">
        <v>9</v>
      </c>
      <c r="AJ1001" s="2" t="str">
        <f>IF(A1001 A1001 &lt;= 25, "18-25", IF(A1001 &lt;=35, "26-35", IF(A1001 &lt;=45, "36-45", IF(Table3[[#This Row],[Age]] &lt;=55, "46-55", "56+"))))</f>
        <v>36-45</v>
      </c>
      <c r="AK1001" t="str">
        <f t="shared" si="15"/>
        <v>High</v>
      </c>
      <c r="AL1001" s="2" t="str">
        <f>IF(AF1001 &lt; 3, "0-2 Years", IF(AF1001 &lt;= 5, "3-5 Years", IF(AF1001 &lt;= 10, "6-10 Years",IF(Table3[[#This Row],[Years At Company]]&lt;=20, "11-20 Years","20+ Years"))))</f>
        <v>11-20 Years</v>
      </c>
    </row>
    <row r="1002" spans="1:38" x14ac:dyDescent="0.25">
      <c r="A1002" s="2">
        <v>52</v>
      </c>
      <c r="B1002" t="s">
        <v>43</v>
      </c>
      <c r="C1002" t="s">
        <v>36</v>
      </c>
      <c r="D1002" s="2">
        <v>258</v>
      </c>
      <c r="E1002" t="s">
        <v>45</v>
      </c>
      <c r="F1002" s="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 s="2">
        <v>2950</v>
      </c>
      <c r="T1002">
        <v>17363</v>
      </c>
      <c r="U1002">
        <v>9</v>
      </c>
      <c r="V1002" t="s">
        <v>42</v>
      </c>
      <c r="W1002" t="s">
        <v>43</v>
      </c>
      <c r="X1002" s="2">
        <v>13</v>
      </c>
      <c r="Y1002">
        <v>3</v>
      </c>
      <c r="Z1002">
        <v>3</v>
      </c>
      <c r="AA1002">
        <v>80</v>
      </c>
      <c r="AB1002">
        <v>0</v>
      </c>
      <c r="AC1002" s="2">
        <v>12</v>
      </c>
      <c r="AD1002">
        <v>2</v>
      </c>
      <c r="AE1002">
        <v>1</v>
      </c>
      <c r="AF1002" s="2">
        <v>5</v>
      </c>
      <c r="AG1002">
        <v>4</v>
      </c>
      <c r="AH1002">
        <v>0</v>
      </c>
      <c r="AI1002">
        <v>4</v>
      </c>
      <c r="AJ1002" s="2" t="str">
        <f>IF(A1002 A1002 &lt;= 25, "18-25", IF(A1002 &lt;=35, "26-35", IF(A1002 &lt;=45, "36-45", IF(Table3[[#This Row],[Age]] &lt;=55, "46-55", "56+"))))</f>
        <v>46-55</v>
      </c>
      <c r="AK1002" t="str">
        <f t="shared" si="15"/>
        <v>Low</v>
      </c>
      <c r="AL1002" s="2" t="str">
        <f>IF(AF1002 &lt; 3, "0-2 Years", IF(AF1002 &lt;= 5, "3-5 Years", IF(AF1002 &lt;= 10, "6-10 Years",IF(Table3[[#This Row],[Years At Company]]&lt;=20, "11-20 Years","20+ Years"))))</f>
        <v>3-5 Years</v>
      </c>
    </row>
    <row r="1003" spans="1:38" x14ac:dyDescent="0.25">
      <c r="A1003" s="2">
        <v>37</v>
      </c>
      <c r="B1003" t="s">
        <v>43</v>
      </c>
      <c r="C1003" t="s">
        <v>36</v>
      </c>
      <c r="D1003" s="2">
        <v>1462</v>
      </c>
      <c r="E1003" t="s">
        <v>45</v>
      </c>
      <c r="F1003" s="2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 s="2">
        <v>3629</v>
      </c>
      <c r="T1003">
        <v>19106</v>
      </c>
      <c r="U1003">
        <v>4</v>
      </c>
      <c r="V1003" t="s">
        <v>42</v>
      </c>
      <c r="W1003" t="s">
        <v>43</v>
      </c>
      <c r="X1003" s="2">
        <v>18</v>
      </c>
      <c r="Y1003">
        <v>3</v>
      </c>
      <c r="Z1003">
        <v>1</v>
      </c>
      <c r="AA1003">
        <v>80</v>
      </c>
      <c r="AB1003">
        <v>0</v>
      </c>
      <c r="AC1003" s="2">
        <v>8</v>
      </c>
      <c r="AD1003">
        <v>6</v>
      </c>
      <c r="AE1003">
        <v>3</v>
      </c>
      <c r="AF1003" s="2">
        <v>3</v>
      </c>
      <c r="AG1003">
        <v>2</v>
      </c>
      <c r="AH1003">
        <v>0</v>
      </c>
      <c r="AI1003">
        <v>2</v>
      </c>
      <c r="AJ1003" s="2" t="str">
        <f>IF(A1003 A1003 &lt;= 25, "18-25", IF(A1003 &lt;=35, "26-35", IF(A1003 &lt;=45, "36-45", IF(Table3[[#This Row],[Age]] &lt;=55, "46-55", "56+"))))</f>
        <v>36-45</v>
      </c>
      <c r="AK1003" t="str">
        <f t="shared" si="15"/>
        <v>Low</v>
      </c>
      <c r="AL1003" s="2" t="str">
        <f>IF(AF1003 &lt; 3, "0-2 Years", IF(AF1003 &lt;= 5, "3-5 Years", IF(AF1003 &lt;= 10, "6-10 Years",IF(Table3[[#This Row],[Years At Company]]&lt;=20, "11-20 Years","20+ Years"))))</f>
        <v>3-5 Years</v>
      </c>
    </row>
    <row r="1004" spans="1:38" x14ac:dyDescent="0.25">
      <c r="A1004" s="2">
        <v>35</v>
      </c>
      <c r="B1004" t="s">
        <v>43</v>
      </c>
      <c r="C1004" t="s">
        <v>44</v>
      </c>
      <c r="D1004" s="2">
        <v>200</v>
      </c>
      <c r="E1004" t="s">
        <v>45</v>
      </c>
      <c r="F1004" s="2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 s="2">
        <v>9362</v>
      </c>
      <c r="T1004">
        <v>19944</v>
      </c>
      <c r="U1004">
        <v>2</v>
      </c>
      <c r="V1004" t="s">
        <v>42</v>
      </c>
      <c r="W1004" t="s">
        <v>43</v>
      </c>
      <c r="X1004" s="2">
        <v>11</v>
      </c>
      <c r="Y1004">
        <v>3</v>
      </c>
      <c r="Z1004">
        <v>3</v>
      </c>
      <c r="AA1004">
        <v>80</v>
      </c>
      <c r="AB1004">
        <v>0</v>
      </c>
      <c r="AC1004" s="2">
        <v>10</v>
      </c>
      <c r="AD1004">
        <v>2</v>
      </c>
      <c r="AE1004">
        <v>3</v>
      </c>
      <c r="AF1004" s="2">
        <v>2</v>
      </c>
      <c r="AG1004">
        <v>2</v>
      </c>
      <c r="AH1004">
        <v>2</v>
      </c>
      <c r="AI1004">
        <v>2</v>
      </c>
      <c r="AJ1004" s="2" t="str">
        <f>IF(A1004 A1004 &lt;= 25, "18-25", IF(A1004 &lt;=35, "26-35", IF(A1004 &lt;=45, "36-45", IF(Table3[[#This Row],[Age]] &lt;=55, "46-55", "56+"))))</f>
        <v>26-35</v>
      </c>
      <c r="AK1004" t="str">
        <f t="shared" si="15"/>
        <v>Medium</v>
      </c>
      <c r="AL1004" s="2" t="str">
        <f>IF(AF1004 &lt; 3, "0-2 Years", IF(AF1004 &lt;= 5, "3-5 Years", IF(AF1004 &lt;= 10, "6-10 Years",IF(Table3[[#This Row],[Years At Company]]&lt;=20, "11-20 Years","20+ Years"))))</f>
        <v>0-2 Years</v>
      </c>
    </row>
    <row r="1005" spans="1:38" x14ac:dyDescent="0.25">
      <c r="A1005" s="2">
        <v>25</v>
      </c>
      <c r="B1005" t="s">
        <v>43</v>
      </c>
      <c r="C1005" t="s">
        <v>36</v>
      </c>
      <c r="D1005" s="2">
        <v>949</v>
      </c>
      <c r="E1005" t="s">
        <v>45</v>
      </c>
      <c r="F1005" s="2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 s="2">
        <v>3229</v>
      </c>
      <c r="T1005">
        <v>4910</v>
      </c>
      <c r="U1005">
        <v>4</v>
      </c>
      <c r="V1005" t="s">
        <v>42</v>
      </c>
      <c r="W1005" t="s">
        <v>43</v>
      </c>
      <c r="X1005" s="2">
        <v>11</v>
      </c>
      <c r="Y1005">
        <v>3</v>
      </c>
      <c r="Z1005">
        <v>2</v>
      </c>
      <c r="AA1005">
        <v>80</v>
      </c>
      <c r="AB1005">
        <v>1</v>
      </c>
      <c r="AC1005" s="2">
        <v>7</v>
      </c>
      <c r="AD1005">
        <v>2</v>
      </c>
      <c r="AE1005">
        <v>2</v>
      </c>
      <c r="AF1005" s="2">
        <v>3</v>
      </c>
      <c r="AG1005">
        <v>2</v>
      </c>
      <c r="AH1005">
        <v>0</v>
      </c>
      <c r="AI1005">
        <v>2</v>
      </c>
      <c r="AJ1005" s="2" t="str">
        <f>IF(A1005 A1005 &lt;= 25, "18-25", IF(A1005 &lt;=35, "26-35", IF(A1005 &lt;=45, "36-45", IF(Table3[[#This Row],[Age]] &lt;=55, "46-55", "56+"))))</f>
        <v>18-25</v>
      </c>
      <c r="AK1005" t="str">
        <f t="shared" si="15"/>
        <v>Low</v>
      </c>
      <c r="AL1005" s="2" t="str">
        <f>IF(AF1005 &lt; 3, "0-2 Years", IF(AF1005 &lt;= 5, "3-5 Years", IF(AF1005 &lt;= 10, "6-10 Years",IF(Table3[[#This Row],[Years At Company]]&lt;=20, "11-20 Years","20+ Years"))))</f>
        <v>3-5 Years</v>
      </c>
    </row>
    <row r="1006" spans="1:38" x14ac:dyDescent="0.25">
      <c r="A1006" s="2">
        <v>26</v>
      </c>
      <c r="B1006" t="s">
        <v>43</v>
      </c>
      <c r="C1006" t="s">
        <v>36</v>
      </c>
      <c r="D1006" s="2">
        <v>652</v>
      </c>
      <c r="E1006" t="s">
        <v>45</v>
      </c>
      <c r="F1006" s="2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 s="2">
        <v>3578</v>
      </c>
      <c r="T1006">
        <v>23577</v>
      </c>
      <c r="U1006">
        <v>0</v>
      </c>
      <c r="V1006" t="s">
        <v>42</v>
      </c>
      <c r="W1006" t="s">
        <v>43</v>
      </c>
      <c r="X1006" s="2">
        <v>12</v>
      </c>
      <c r="Y1006">
        <v>3</v>
      </c>
      <c r="Z1006">
        <v>4</v>
      </c>
      <c r="AA1006">
        <v>80</v>
      </c>
      <c r="AB1006">
        <v>0</v>
      </c>
      <c r="AC1006" s="2">
        <v>8</v>
      </c>
      <c r="AD1006">
        <v>2</v>
      </c>
      <c r="AE1006">
        <v>3</v>
      </c>
      <c r="AF1006" s="2">
        <v>7</v>
      </c>
      <c r="AG1006">
        <v>7</v>
      </c>
      <c r="AH1006">
        <v>0</v>
      </c>
      <c r="AI1006">
        <v>7</v>
      </c>
      <c r="AJ1006" s="2" t="str">
        <f>IF(A1006 A1006 &lt;= 25, "18-25", IF(A1006 &lt;=35, "26-35", IF(A1006 &lt;=45, "36-45", IF(Table3[[#This Row],[Age]] &lt;=55, "46-55", "56+"))))</f>
        <v>26-35</v>
      </c>
      <c r="AK1006" t="str">
        <f t="shared" si="15"/>
        <v>Low</v>
      </c>
      <c r="AL1006" s="2" t="str">
        <f>IF(AF1006 &lt; 3, "0-2 Years", IF(AF1006 &lt;= 5, "3-5 Years", IF(AF1006 &lt;= 10, "6-10 Years",IF(Table3[[#This Row],[Years At Company]]&lt;=20, "11-20 Years","20+ Years"))))</f>
        <v>6-10 Years</v>
      </c>
    </row>
    <row r="1007" spans="1:38" x14ac:dyDescent="0.25">
      <c r="A1007" s="2">
        <v>29</v>
      </c>
      <c r="B1007" t="s">
        <v>43</v>
      </c>
      <c r="C1007" t="s">
        <v>36</v>
      </c>
      <c r="D1007" s="2">
        <v>332</v>
      </c>
      <c r="E1007" t="s">
        <v>61</v>
      </c>
      <c r="F1007" s="2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 s="2">
        <v>7988</v>
      </c>
      <c r="T1007">
        <v>9769</v>
      </c>
      <c r="U1007">
        <v>1</v>
      </c>
      <c r="V1007" t="s">
        <v>42</v>
      </c>
      <c r="W1007" t="s">
        <v>43</v>
      </c>
      <c r="X1007" s="2">
        <v>13</v>
      </c>
      <c r="Y1007">
        <v>3</v>
      </c>
      <c r="Z1007">
        <v>1</v>
      </c>
      <c r="AA1007">
        <v>80</v>
      </c>
      <c r="AB1007">
        <v>0</v>
      </c>
      <c r="AC1007" s="2">
        <v>10</v>
      </c>
      <c r="AD1007">
        <v>3</v>
      </c>
      <c r="AE1007">
        <v>2</v>
      </c>
      <c r="AF1007" s="2">
        <v>10</v>
      </c>
      <c r="AG1007">
        <v>9</v>
      </c>
      <c r="AH1007">
        <v>0</v>
      </c>
      <c r="AI1007">
        <v>9</v>
      </c>
      <c r="AJ1007" s="2" t="str">
        <f>IF(A1007 A1007 &lt;= 25, "18-25", IF(A1007 &lt;=35, "26-35", IF(A1007 &lt;=45, "36-45", IF(Table3[[#This Row],[Age]] &lt;=55, "46-55", "56+"))))</f>
        <v>26-35</v>
      </c>
      <c r="AK1007" t="str">
        <f t="shared" si="15"/>
        <v>Medium</v>
      </c>
      <c r="AL1007" s="2" t="str">
        <f>IF(AF1007 &lt; 3, "0-2 Years", IF(AF1007 &lt;= 5, "3-5 Years", IF(AF1007 &lt;= 10, "6-10 Years",IF(Table3[[#This Row],[Years At Company]]&lt;=20, "11-20 Years","20+ Years"))))</f>
        <v>6-10 Years</v>
      </c>
    </row>
    <row r="1008" spans="1:38" x14ac:dyDescent="0.25">
      <c r="A1008" s="2">
        <v>49</v>
      </c>
      <c r="B1008" t="s">
        <v>35</v>
      </c>
      <c r="C1008" t="s">
        <v>44</v>
      </c>
      <c r="D1008" s="2">
        <v>1475</v>
      </c>
      <c r="E1008" t="s">
        <v>45</v>
      </c>
      <c r="F1008" s="2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 s="2">
        <v>4284</v>
      </c>
      <c r="T1008">
        <v>22710</v>
      </c>
      <c r="U1008">
        <v>3</v>
      </c>
      <c r="V1008" t="s">
        <v>42</v>
      </c>
      <c r="W1008" t="s">
        <v>43</v>
      </c>
      <c r="X1008" s="2">
        <v>20</v>
      </c>
      <c r="Y1008">
        <v>4</v>
      </c>
      <c r="Z1008">
        <v>1</v>
      </c>
      <c r="AA1008">
        <v>80</v>
      </c>
      <c r="AB1008">
        <v>0</v>
      </c>
      <c r="AC1008" s="2">
        <v>20</v>
      </c>
      <c r="AD1008">
        <v>2</v>
      </c>
      <c r="AE1008">
        <v>3</v>
      </c>
      <c r="AF1008" s="2">
        <v>4</v>
      </c>
      <c r="AG1008">
        <v>3</v>
      </c>
      <c r="AH1008">
        <v>1</v>
      </c>
      <c r="AI1008">
        <v>3</v>
      </c>
      <c r="AJ1008" s="2" t="str">
        <f>IF(A1008 A1008 &lt;= 25, "18-25", IF(A1008 &lt;=35, "26-35", IF(A1008 &lt;=45, "36-45", IF(Table3[[#This Row],[Age]] &lt;=55, "46-55", "56+"))))</f>
        <v>46-55</v>
      </c>
      <c r="AK1008" t="str">
        <f t="shared" si="15"/>
        <v>Low</v>
      </c>
      <c r="AL1008" s="2" t="str">
        <f>IF(AF1008 &lt; 3, "0-2 Years", IF(AF1008 &lt;= 5, "3-5 Years", IF(AF1008 &lt;= 10, "6-10 Years",IF(Table3[[#This Row],[Years At Company]]&lt;=20, "11-20 Years","20+ Years"))))</f>
        <v>3-5 Years</v>
      </c>
    </row>
    <row r="1009" spans="1:38" x14ac:dyDescent="0.25">
      <c r="A1009" s="2">
        <v>29</v>
      </c>
      <c r="B1009" t="s">
        <v>35</v>
      </c>
      <c r="C1009" t="s">
        <v>44</v>
      </c>
      <c r="D1009" s="2">
        <v>337</v>
      </c>
      <c r="E1009" t="s">
        <v>45</v>
      </c>
      <c r="F1009" s="2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 s="2">
        <v>7553</v>
      </c>
      <c r="T1009">
        <v>22930</v>
      </c>
      <c r="U1009">
        <v>0</v>
      </c>
      <c r="V1009" t="s">
        <v>42</v>
      </c>
      <c r="W1009" t="s">
        <v>35</v>
      </c>
      <c r="X1009" s="2">
        <v>12</v>
      </c>
      <c r="Y1009">
        <v>3</v>
      </c>
      <c r="Z1009">
        <v>1</v>
      </c>
      <c r="AA1009">
        <v>80</v>
      </c>
      <c r="AB1009">
        <v>0</v>
      </c>
      <c r="AC1009" s="2">
        <v>9</v>
      </c>
      <c r="AD1009">
        <v>1</v>
      </c>
      <c r="AE1009">
        <v>3</v>
      </c>
      <c r="AF1009" s="2">
        <v>8</v>
      </c>
      <c r="AG1009">
        <v>7</v>
      </c>
      <c r="AH1009">
        <v>7</v>
      </c>
      <c r="AI1009">
        <v>7</v>
      </c>
      <c r="AJ1009" s="2" t="str">
        <f>IF(A1009 A1009 &lt;= 25, "18-25", IF(A1009 &lt;=35, "26-35", IF(A1009 &lt;=45, "36-45", IF(Table3[[#This Row],[Age]] &lt;=55, "46-55", "56+"))))</f>
        <v>26-35</v>
      </c>
      <c r="AK1009" t="str">
        <f t="shared" si="15"/>
        <v>Medium</v>
      </c>
      <c r="AL1009" s="2" t="str">
        <f>IF(AF1009 &lt; 3, "0-2 Years", IF(AF1009 &lt;= 5, "3-5 Years", IF(AF1009 &lt;= 10, "6-10 Years",IF(Table3[[#This Row],[Years At Company]]&lt;=20, "11-20 Years","20+ Years"))))</f>
        <v>6-10 Years</v>
      </c>
    </row>
    <row r="1010" spans="1:38" x14ac:dyDescent="0.25">
      <c r="A1010" s="2">
        <v>54</v>
      </c>
      <c r="B1010" t="s">
        <v>43</v>
      </c>
      <c r="C1010" t="s">
        <v>36</v>
      </c>
      <c r="D1010" s="2">
        <v>971</v>
      </c>
      <c r="E1010" t="s">
        <v>45</v>
      </c>
      <c r="F1010" s="2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 s="2">
        <v>17328</v>
      </c>
      <c r="T1010">
        <v>5652</v>
      </c>
      <c r="U1010">
        <v>6</v>
      </c>
      <c r="V1010" t="s">
        <v>42</v>
      </c>
      <c r="W1010" t="s">
        <v>43</v>
      </c>
      <c r="X1010" s="2">
        <v>19</v>
      </c>
      <c r="Y1010">
        <v>3</v>
      </c>
      <c r="Z1010">
        <v>4</v>
      </c>
      <c r="AA1010">
        <v>80</v>
      </c>
      <c r="AB1010">
        <v>0</v>
      </c>
      <c r="AC1010" s="2">
        <v>29</v>
      </c>
      <c r="AD1010">
        <v>3</v>
      </c>
      <c r="AE1010">
        <v>2</v>
      </c>
      <c r="AF1010" s="2">
        <v>20</v>
      </c>
      <c r="AG1010">
        <v>7</v>
      </c>
      <c r="AH1010">
        <v>12</v>
      </c>
      <c r="AI1010">
        <v>7</v>
      </c>
      <c r="AJ1010" s="2" t="str">
        <f>IF(A1010 A1010 &lt;= 25, "18-25", IF(A1010 &lt;=35, "26-35", IF(A1010 &lt;=45, "36-45", IF(Table3[[#This Row],[Age]] &lt;=55, "46-55", "56+"))))</f>
        <v>46-55</v>
      </c>
      <c r="AK1010" t="str">
        <f t="shared" si="15"/>
        <v>High</v>
      </c>
      <c r="AL1010" s="2" t="str">
        <f>IF(AF1010 &lt; 3, "0-2 Years", IF(AF1010 &lt;= 5, "3-5 Years", IF(AF1010 &lt;= 10, "6-10 Years",IF(Table3[[#This Row],[Years At Company]]&lt;=20, "11-20 Years","20+ Years"))))</f>
        <v>11-20 Years</v>
      </c>
    </row>
    <row r="1011" spans="1:38" x14ac:dyDescent="0.25">
      <c r="A1011" s="2">
        <v>58</v>
      </c>
      <c r="B1011" t="s">
        <v>43</v>
      </c>
      <c r="C1011" t="s">
        <v>36</v>
      </c>
      <c r="D1011" s="2">
        <v>1055</v>
      </c>
      <c r="E1011" t="s">
        <v>45</v>
      </c>
      <c r="F1011" s="2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 s="2">
        <v>19701</v>
      </c>
      <c r="T1011">
        <v>22456</v>
      </c>
      <c r="U1011">
        <v>3</v>
      </c>
      <c r="V1011" t="s">
        <v>42</v>
      </c>
      <c r="W1011" t="s">
        <v>35</v>
      </c>
      <c r="X1011" s="2">
        <v>21</v>
      </c>
      <c r="Y1011">
        <v>4</v>
      </c>
      <c r="Z1011">
        <v>3</v>
      </c>
      <c r="AA1011">
        <v>80</v>
      </c>
      <c r="AB1011">
        <v>1</v>
      </c>
      <c r="AC1011" s="2">
        <v>32</v>
      </c>
      <c r="AD1011">
        <v>3</v>
      </c>
      <c r="AE1011">
        <v>3</v>
      </c>
      <c r="AF1011" s="2">
        <v>9</v>
      </c>
      <c r="AG1011">
        <v>8</v>
      </c>
      <c r="AH1011">
        <v>1</v>
      </c>
      <c r="AI1011">
        <v>5</v>
      </c>
      <c r="AJ1011" s="2" t="str">
        <f>IF(A1011 A1011 &lt;= 25, "18-25", IF(A1011 &lt;=35, "26-35", IF(A1011 &lt;=45, "36-45", IF(Table3[[#This Row],[Age]] &lt;=55, "46-55", "56+"))))</f>
        <v>56+</v>
      </c>
      <c r="AK1011" t="str">
        <f t="shared" si="15"/>
        <v>High</v>
      </c>
      <c r="AL1011" s="2" t="str">
        <f>IF(AF1011 &lt; 3, "0-2 Years", IF(AF1011 &lt;= 5, "3-5 Years", IF(AF1011 &lt;= 10, "6-10 Years",IF(Table3[[#This Row],[Years At Company]]&lt;=20, "11-20 Years","20+ Years"))))</f>
        <v>6-10 Years</v>
      </c>
    </row>
    <row r="1012" spans="1:38" x14ac:dyDescent="0.25">
      <c r="A1012" s="2">
        <v>55</v>
      </c>
      <c r="B1012" t="s">
        <v>43</v>
      </c>
      <c r="C1012" t="s">
        <v>36</v>
      </c>
      <c r="D1012" s="2">
        <v>1136</v>
      </c>
      <c r="E1012" t="s">
        <v>45</v>
      </c>
      <c r="F1012" s="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 s="2">
        <v>14732</v>
      </c>
      <c r="T1012">
        <v>12414</v>
      </c>
      <c r="U1012">
        <v>2</v>
      </c>
      <c r="V1012" t="s">
        <v>42</v>
      </c>
      <c r="W1012" t="s">
        <v>43</v>
      </c>
      <c r="X1012" s="2">
        <v>13</v>
      </c>
      <c r="Y1012">
        <v>3</v>
      </c>
      <c r="Z1012">
        <v>4</v>
      </c>
      <c r="AA1012">
        <v>80</v>
      </c>
      <c r="AB1012">
        <v>2</v>
      </c>
      <c r="AC1012" s="2">
        <v>31</v>
      </c>
      <c r="AD1012">
        <v>4</v>
      </c>
      <c r="AE1012">
        <v>4</v>
      </c>
      <c r="AF1012" s="2">
        <v>7</v>
      </c>
      <c r="AG1012">
        <v>7</v>
      </c>
      <c r="AH1012">
        <v>0</v>
      </c>
      <c r="AI1012">
        <v>0</v>
      </c>
      <c r="AJ1012" s="2" t="str">
        <f>IF(A1012 A1012 &lt;= 25, "18-25", IF(A1012 &lt;=35, "26-35", IF(A1012 &lt;=45, "36-45", IF(Table3[[#This Row],[Age]] &lt;=55, "46-55", "56+"))))</f>
        <v>46-55</v>
      </c>
      <c r="AK1012" t="str">
        <f t="shared" si="15"/>
        <v>High</v>
      </c>
      <c r="AL1012" s="2" t="str">
        <f>IF(AF1012 &lt; 3, "0-2 Years", IF(AF1012 &lt;= 5, "3-5 Years", IF(AF1012 &lt;= 10, "6-10 Years",IF(Table3[[#This Row],[Years At Company]]&lt;=20, "11-20 Years","20+ Years"))))</f>
        <v>6-10 Years</v>
      </c>
    </row>
    <row r="1013" spans="1:38" x14ac:dyDescent="0.25">
      <c r="A1013" s="2">
        <v>36</v>
      </c>
      <c r="B1013" t="s">
        <v>43</v>
      </c>
      <c r="C1013" t="s">
        <v>36</v>
      </c>
      <c r="D1013" s="2">
        <v>1174</v>
      </c>
      <c r="E1013" t="s">
        <v>37</v>
      </c>
      <c r="F1013" s="2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 s="2">
        <v>9278</v>
      </c>
      <c r="T1013">
        <v>20763</v>
      </c>
      <c r="U1013">
        <v>3</v>
      </c>
      <c r="V1013" t="s">
        <v>42</v>
      </c>
      <c r="W1013" t="s">
        <v>35</v>
      </c>
      <c r="X1013" s="2">
        <v>16</v>
      </c>
      <c r="Y1013">
        <v>3</v>
      </c>
      <c r="Z1013">
        <v>4</v>
      </c>
      <c r="AA1013">
        <v>80</v>
      </c>
      <c r="AB1013">
        <v>0</v>
      </c>
      <c r="AC1013" s="2">
        <v>15</v>
      </c>
      <c r="AD1013">
        <v>3</v>
      </c>
      <c r="AE1013">
        <v>3</v>
      </c>
      <c r="AF1013" s="2">
        <v>5</v>
      </c>
      <c r="AG1013">
        <v>4</v>
      </c>
      <c r="AH1013">
        <v>0</v>
      </c>
      <c r="AI1013">
        <v>1</v>
      </c>
      <c r="AJ1013" s="2" t="str">
        <f>IF(A1013 A1013 &lt;= 25, "18-25", IF(A1013 &lt;=35, "26-35", IF(A1013 &lt;=45, "36-45", IF(Table3[[#This Row],[Age]] &lt;=55, "46-55", "56+"))))</f>
        <v>36-45</v>
      </c>
      <c r="AK1013" t="str">
        <f t="shared" si="15"/>
        <v>Medium</v>
      </c>
      <c r="AL1013" s="2" t="str">
        <f>IF(AF1013 &lt; 3, "0-2 Years", IF(AF1013 &lt;= 5, "3-5 Years", IF(AF1013 &lt;= 10, "6-10 Years",IF(Table3[[#This Row],[Years At Company]]&lt;=20, "11-20 Years","20+ Years"))))</f>
        <v>3-5 Years</v>
      </c>
    </row>
    <row r="1014" spans="1:38" x14ac:dyDescent="0.25">
      <c r="A1014" s="2">
        <v>31</v>
      </c>
      <c r="B1014" t="s">
        <v>35</v>
      </c>
      <c r="C1014" t="s">
        <v>44</v>
      </c>
      <c r="D1014" s="2">
        <v>667</v>
      </c>
      <c r="E1014" t="s">
        <v>37</v>
      </c>
      <c r="F1014" s="2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 s="2">
        <v>1359</v>
      </c>
      <c r="T1014">
        <v>16154</v>
      </c>
      <c r="U1014">
        <v>1</v>
      </c>
      <c r="V1014" t="s">
        <v>42</v>
      </c>
      <c r="W1014" t="s">
        <v>43</v>
      </c>
      <c r="X1014" s="2">
        <v>12</v>
      </c>
      <c r="Y1014">
        <v>3</v>
      </c>
      <c r="Z1014">
        <v>2</v>
      </c>
      <c r="AA1014">
        <v>80</v>
      </c>
      <c r="AB1014">
        <v>0</v>
      </c>
      <c r="AC1014" s="2">
        <v>1</v>
      </c>
      <c r="AD1014">
        <v>3</v>
      </c>
      <c r="AE1014">
        <v>3</v>
      </c>
      <c r="AF1014" s="2">
        <v>1</v>
      </c>
      <c r="AG1014">
        <v>0</v>
      </c>
      <c r="AH1014">
        <v>0</v>
      </c>
      <c r="AI1014">
        <v>0</v>
      </c>
      <c r="AJ1014" s="2" t="str">
        <f>IF(A1014 A1014 &lt;= 25, "18-25", IF(A1014 &lt;=35, "26-35", IF(A1014 &lt;=45, "36-45", IF(Table3[[#This Row],[Age]] &lt;=55, "46-55", "56+"))))</f>
        <v>26-35</v>
      </c>
      <c r="AK1014" t="str">
        <f t="shared" si="15"/>
        <v>Low</v>
      </c>
      <c r="AL1014" s="2" t="str">
        <f>IF(AF1014 &lt; 3, "0-2 Years", IF(AF1014 &lt;= 5, "3-5 Years", IF(AF1014 &lt;= 10, "6-10 Years",IF(Table3[[#This Row],[Years At Company]]&lt;=20, "11-20 Years","20+ Years"))))</f>
        <v>0-2 Years</v>
      </c>
    </row>
    <row r="1015" spans="1:38" x14ac:dyDescent="0.25">
      <c r="A1015" s="2">
        <v>30</v>
      </c>
      <c r="B1015" t="s">
        <v>43</v>
      </c>
      <c r="C1015" t="s">
        <v>36</v>
      </c>
      <c r="D1015" s="2">
        <v>855</v>
      </c>
      <c r="E1015" t="s">
        <v>37</v>
      </c>
      <c r="F1015" s="2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 s="2">
        <v>4779</v>
      </c>
      <c r="T1015">
        <v>12761</v>
      </c>
      <c r="U1015">
        <v>7</v>
      </c>
      <c r="V1015" t="s">
        <v>42</v>
      </c>
      <c r="W1015" t="s">
        <v>43</v>
      </c>
      <c r="X1015" s="2">
        <v>14</v>
      </c>
      <c r="Y1015">
        <v>3</v>
      </c>
      <c r="Z1015">
        <v>2</v>
      </c>
      <c r="AA1015">
        <v>80</v>
      </c>
      <c r="AB1015">
        <v>2</v>
      </c>
      <c r="AC1015" s="2">
        <v>8</v>
      </c>
      <c r="AD1015">
        <v>3</v>
      </c>
      <c r="AE1015">
        <v>3</v>
      </c>
      <c r="AF1015" s="2">
        <v>3</v>
      </c>
      <c r="AG1015">
        <v>2</v>
      </c>
      <c r="AH1015">
        <v>0</v>
      </c>
      <c r="AI1015">
        <v>2</v>
      </c>
      <c r="AJ1015" s="2" t="str">
        <f>IF(A1015 A1015 &lt;= 25, "18-25", IF(A1015 &lt;=35, "26-35", IF(A1015 &lt;=45, "36-45", IF(Table3[[#This Row],[Age]] &lt;=55, "46-55", "56+"))))</f>
        <v>26-35</v>
      </c>
      <c r="AK1015" t="str">
        <f t="shared" si="15"/>
        <v>Low</v>
      </c>
      <c r="AL1015" s="2" t="str">
        <f>IF(AF1015 &lt; 3, "0-2 Years", IF(AF1015 &lt;= 5, "3-5 Years", IF(AF1015 &lt;= 10, "6-10 Years",IF(Table3[[#This Row],[Years At Company]]&lt;=20, "11-20 Years","20+ Years"))))</f>
        <v>3-5 Years</v>
      </c>
    </row>
    <row r="1016" spans="1:38" x14ac:dyDescent="0.25">
      <c r="A1016" s="2">
        <v>31</v>
      </c>
      <c r="B1016" t="s">
        <v>43</v>
      </c>
      <c r="C1016" t="s">
        <v>36</v>
      </c>
      <c r="D1016" s="2">
        <v>182</v>
      </c>
      <c r="E1016" t="s">
        <v>45</v>
      </c>
      <c r="F1016" s="2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 s="2">
        <v>16422</v>
      </c>
      <c r="T1016">
        <v>8847</v>
      </c>
      <c r="U1016">
        <v>3</v>
      </c>
      <c r="V1016" t="s">
        <v>42</v>
      </c>
      <c r="W1016" t="s">
        <v>43</v>
      </c>
      <c r="X1016" s="2">
        <v>11</v>
      </c>
      <c r="Y1016">
        <v>3</v>
      </c>
      <c r="Z1016">
        <v>3</v>
      </c>
      <c r="AA1016">
        <v>80</v>
      </c>
      <c r="AB1016">
        <v>0</v>
      </c>
      <c r="AC1016" s="2">
        <v>9</v>
      </c>
      <c r="AD1016">
        <v>3</v>
      </c>
      <c r="AE1016">
        <v>4</v>
      </c>
      <c r="AF1016" s="2">
        <v>3</v>
      </c>
      <c r="AG1016">
        <v>2</v>
      </c>
      <c r="AH1016">
        <v>1</v>
      </c>
      <c r="AI1016">
        <v>0</v>
      </c>
      <c r="AJ1016" s="2" t="str">
        <f>IF(A1016 A1016 &lt;= 25, "18-25", IF(A1016 &lt;=35, "26-35", IF(A1016 &lt;=45, "36-45", IF(Table3[[#This Row],[Age]] &lt;=55, "46-55", "56+"))))</f>
        <v>26-35</v>
      </c>
      <c r="AK1016" t="str">
        <f t="shared" si="15"/>
        <v>High</v>
      </c>
      <c r="AL1016" s="2" t="str">
        <f>IF(AF1016 &lt; 3, "0-2 Years", IF(AF1016 &lt;= 5, "3-5 Years", IF(AF1016 &lt;= 10, "6-10 Years",IF(Table3[[#This Row],[Years At Company]]&lt;=20, "11-20 Years","20+ Years"))))</f>
        <v>3-5 Years</v>
      </c>
    </row>
    <row r="1017" spans="1:38" x14ac:dyDescent="0.25">
      <c r="A1017" s="2">
        <v>34</v>
      </c>
      <c r="B1017" t="s">
        <v>43</v>
      </c>
      <c r="C1017" t="s">
        <v>44</v>
      </c>
      <c r="D1017" s="2">
        <v>560</v>
      </c>
      <c r="E1017" t="s">
        <v>45</v>
      </c>
      <c r="F1017" s="2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 s="2">
        <v>2996</v>
      </c>
      <c r="T1017">
        <v>20284</v>
      </c>
      <c r="U1017">
        <v>5</v>
      </c>
      <c r="V1017" t="s">
        <v>42</v>
      </c>
      <c r="W1017" t="s">
        <v>43</v>
      </c>
      <c r="X1017" s="2">
        <v>14</v>
      </c>
      <c r="Y1017">
        <v>3</v>
      </c>
      <c r="Z1017">
        <v>3</v>
      </c>
      <c r="AA1017">
        <v>80</v>
      </c>
      <c r="AB1017">
        <v>2</v>
      </c>
      <c r="AC1017" s="2">
        <v>10</v>
      </c>
      <c r="AD1017">
        <v>2</v>
      </c>
      <c r="AE1017">
        <v>3</v>
      </c>
      <c r="AF1017" s="2">
        <v>4</v>
      </c>
      <c r="AG1017">
        <v>3</v>
      </c>
      <c r="AH1017">
        <v>1</v>
      </c>
      <c r="AI1017">
        <v>3</v>
      </c>
      <c r="AJ1017" s="2" t="str">
        <f>IF(A1017 A1017 &lt;= 25, "18-25", IF(A1017 &lt;=35, "26-35", IF(A1017 &lt;=45, "36-45", IF(Table3[[#This Row],[Age]] &lt;=55, "46-55", "56+"))))</f>
        <v>26-35</v>
      </c>
      <c r="AK1017" t="str">
        <f t="shared" si="15"/>
        <v>Low</v>
      </c>
      <c r="AL1017" s="2" t="str">
        <f>IF(AF1017 &lt; 3, "0-2 Years", IF(AF1017 &lt;= 5, "3-5 Years", IF(AF1017 &lt;= 10, "6-10 Years",IF(Table3[[#This Row],[Years At Company]]&lt;=20, "11-20 Years","20+ Years"))))</f>
        <v>3-5 Years</v>
      </c>
    </row>
    <row r="1018" spans="1:38" x14ac:dyDescent="0.25">
      <c r="A1018" s="2">
        <v>31</v>
      </c>
      <c r="B1018" t="s">
        <v>35</v>
      </c>
      <c r="C1018" t="s">
        <v>36</v>
      </c>
      <c r="D1018" s="2">
        <v>202</v>
      </c>
      <c r="E1018" t="s">
        <v>45</v>
      </c>
      <c r="F1018" s="2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 s="2">
        <v>1261</v>
      </c>
      <c r="T1018">
        <v>22262</v>
      </c>
      <c r="U1018">
        <v>1</v>
      </c>
      <c r="V1018" t="s">
        <v>42</v>
      </c>
      <c r="W1018" t="s">
        <v>43</v>
      </c>
      <c r="X1018" s="2">
        <v>12</v>
      </c>
      <c r="Y1018">
        <v>3</v>
      </c>
      <c r="Z1018">
        <v>3</v>
      </c>
      <c r="AA1018">
        <v>80</v>
      </c>
      <c r="AB1018">
        <v>0</v>
      </c>
      <c r="AC1018" s="2">
        <v>1</v>
      </c>
      <c r="AD1018">
        <v>3</v>
      </c>
      <c r="AE1018">
        <v>4</v>
      </c>
      <c r="AF1018" s="2">
        <v>1</v>
      </c>
      <c r="AG1018">
        <v>0</v>
      </c>
      <c r="AH1018">
        <v>0</v>
      </c>
      <c r="AI1018">
        <v>0</v>
      </c>
      <c r="AJ1018" s="2" t="str">
        <f>IF(A1018 A1018 &lt;= 25, "18-25", IF(A1018 &lt;=35, "26-35", IF(A1018 &lt;=45, "36-45", IF(Table3[[#This Row],[Age]] &lt;=55, "46-55", "56+"))))</f>
        <v>26-35</v>
      </c>
      <c r="AK1018" t="str">
        <f t="shared" si="15"/>
        <v>Low</v>
      </c>
      <c r="AL1018" s="2" t="str">
        <f>IF(AF1018 &lt; 3, "0-2 Years", IF(AF1018 &lt;= 5, "3-5 Years", IF(AF1018 &lt;= 10, "6-10 Years",IF(Table3[[#This Row],[Years At Company]]&lt;=20, "11-20 Years","20+ Years"))))</f>
        <v>0-2 Years</v>
      </c>
    </row>
    <row r="1019" spans="1:38" x14ac:dyDescent="0.25">
      <c r="A1019" s="2">
        <v>27</v>
      </c>
      <c r="B1019" t="s">
        <v>43</v>
      </c>
      <c r="C1019" t="s">
        <v>36</v>
      </c>
      <c r="D1019" s="2">
        <v>1377</v>
      </c>
      <c r="E1019" t="s">
        <v>45</v>
      </c>
      <c r="F1019" s="2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 s="2">
        <v>2099</v>
      </c>
      <c r="T1019">
        <v>7679</v>
      </c>
      <c r="U1019">
        <v>0</v>
      </c>
      <c r="V1019" t="s">
        <v>42</v>
      </c>
      <c r="W1019" t="s">
        <v>43</v>
      </c>
      <c r="X1019" s="2">
        <v>14</v>
      </c>
      <c r="Y1019">
        <v>3</v>
      </c>
      <c r="Z1019">
        <v>2</v>
      </c>
      <c r="AA1019">
        <v>80</v>
      </c>
      <c r="AB1019">
        <v>0</v>
      </c>
      <c r="AC1019" s="2">
        <v>6</v>
      </c>
      <c r="AD1019">
        <v>3</v>
      </c>
      <c r="AE1019">
        <v>4</v>
      </c>
      <c r="AF1019" s="2">
        <v>5</v>
      </c>
      <c r="AG1019">
        <v>0</v>
      </c>
      <c r="AH1019">
        <v>1</v>
      </c>
      <c r="AI1019">
        <v>4</v>
      </c>
      <c r="AJ1019" s="2" t="str">
        <f>IF(A1019 A1019 &lt;= 25, "18-25", IF(A1019 &lt;=35, "26-35", IF(A1019 &lt;=45, "36-45", IF(Table3[[#This Row],[Age]] &lt;=55, "46-55", "56+"))))</f>
        <v>26-35</v>
      </c>
      <c r="AK1019" t="str">
        <f t="shared" si="15"/>
        <v>Low</v>
      </c>
      <c r="AL1019" s="2" t="str">
        <f>IF(AF1019 &lt; 3, "0-2 Years", IF(AF1019 &lt;= 5, "3-5 Years", IF(AF1019 &lt;= 10, "6-10 Years",IF(Table3[[#This Row],[Years At Company]]&lt;=20, "11-20 Years","20+ Years"))))</f>
        <v>3-5 Years</v>
      </c>
    </row>
    <row r="1020" spans="1:38" x14ac:dyDescent="0.25">
      <c r="A1020" s="2">
        <v>36</v>
      </c>
      <c r="B1020" t="s">
        <v>43</v>
      </c>
      <c r="C1020" t="s">
        <v>36</v>
      </c>
      <c r="D1020" s="2">
        <v>172</v>
      </c>
      <c r="E1020" t="s">
        <v>45</v>
      </c>
      <c r="F1020" s="2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 s="2">
        <v>5810</v>
      </c>
      <c r="T1020">
        <v>22604</v>
      </c>
      <c r="U1020">
        <v>1</v>
      </c>
      <c r="V1020" t="s">
        <v>42</v>
      </c>
      <c r="W1020" t="s">
        <v>43</v>
      </c>
      <c r="X1020" s="2">
        <v>16</v>
      </c>
      <c r="Y1020">
        <v>3</v>
      </c>
      <c r="Z1020">
        <v>3</v>
      </c>
      <c r="AA1020">
        <v>80</v>
      </c>
      <c r="AB1020">
        <v>0</v>
      </c>
      <c r="AC1020" s="2">
        <v>10</v>
      </c>
      <c r="AD1020">
        <v>2</v>
      </c>
      <c r="AE1020">
        <v>2</v>
      </c>
      <c r="AF1020" s="2">
        <v>10</v>
      </c>
      <c r="AG1020">
        <v>4</v>
      </c>
      <c r="AH1020">
        <v>1</v>
      </c>
      <c r="AI1020">
        <v>8</v>
      </c>
      <c r="AJ1020" s="2" t="str">
        <f>IF(A1020 A1020 &lt;= 25, "18-25", IF(A1020 &lt;=35, "26-35", IF(A1020 &lt;=45, "36-45", IF(Table3[[#This Row],[Age]] &lt;=55, "46-55", "56+"))))</f>
        <v>36-45</v>
      </c>
      <c r="AK1020" t="str">
        <f t="shared" si="15"/>
        <v>Medium</v>
      </c>
      <c r="AL1020" s="2" t="str">
        <f>IF(AF1020 &lt; 3, "0-2 Years", IF(AF1020 &lt;= 5, "3-5 Years", IF(AF1020 &lt;= 10, "6-10 Years",IF(Table3[[#This Row],[Years At Company]]&lt;=20, "11-20 Years","20+ Years"))))</f>
        <v>6-10 Years</v>
      </c>
    </row>
    <row r="1021" spans="1:38" x14ac:dyDescent="0.25">
      <c r="A1021" s="2">
        <v>36</v>
      </c>
      <c r="B1021" t="s">
        <v>43</v>
      </c>
      <c r="C1021" t="s">
        <v>36</v>
      </c>
      <c r="D1021" s="2">
        <v>329</v>
      </c>
      <c r="E1021" t="s">
        <v>37</v>
      </c>
      <c r="F1021" s="2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 s="2">
        <v>5647</v>
      </c>
      <c r="T1021">
        <v>13494</v>
      </c>
      <c r="U1021">
        <v>4</v>
      </c>
      <c r="V1021" t="s">
        <v>42</v>
      </c>
      <c r="W1021" t="s">
        <v>43</v>
      </c>
      <c r="X1021" s="2">
        <v>13</v>
      </c>
      <c r="Y1021">
        <v>3</v>
      </c>
      <c r="Z1021">
        <v>1</v>
      </c>
      <c r="AA1021">
        <v>80</v>
      </c>
      <c r="AB1021">
        <v>2</v>
      </c>
      <c r="AC1021" s="2">
        <v>11</v>
      </c>
      <c r="AD1021">
        <v>3</v>
      </c>
      <c r="AE1021">
        <v>2</v>
      </c>
      <c r="AF1021" s="2">
        <v>3</v>
      </c>
      <c r="AG1021">
        <v>2</v>
      </c>
      <c r="AH1021">
        <v>0</v>
      </c>
      <c r="AI1021">
        <v>2</v>
      </c>
      <c r="AJ1021" s="2" t="str">
        <f>IF(A1021 A1021 &lt;= 25, "18-25", IF(A1021 &lt;=35, "26-35", IF(A1021 &lt;=45, "36-45", IF(Table3[[#This Row],[Age]] &lt;=55, "46-55", "56+"))))</f>
        <v>36-45</v>
      </c>
      <c r="AK1021" t="str">
        <f t="shared" si="15"/>
        <v>Medium</v>
      </c>
      <c r="AL1021" s="2" t="str">
        <f>IF(AF1021 &lt; 3, "0-2 Years", IF(AF1021 &lt;= 5, "3-5 Years", IF(AF1021 &lt;= 10, "6-10 Years",IF(Table3[[#This Row],[Years At Company]]&lt;=20, "11-20 Years","20+ Years"))))</f>
        <v>3-5 Years</v>
      </c>
    </row>
    <row r="1022" spans="1:38" x14ac:dyDescent="0.25">
      <c r="A1022" s="2">
        <v>47</v>
      </c>
      <c r="B1022" t="s">
        <v>43</v>
      </c>
      <c r="C1022" t="s">
        <v>36</v>
      </c>
      <c r="D1022" s="2">
        <v>465</v>
      </c>
      <c r="E1022" t="s">
        <v>45</v>
      </c>
      <c r="F1022" s="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 s="2">
        <v>3420</v>
      </c>
      <c r="T1022">
        <v>10205</v>
      </c>
      <c r="U1022">
        <v>7</v>
      </c>
      <c r="V1022" t="s">
        <v>42</v>
      </c>
      <c r="W1022" t="s">
        <v>43</v>
      </c>
      <c r="X1022" s="2">
        <v>12</v>
      </c>
      <c r="Y1022">
        <v>3</v>
      </c>
      <c r="Z1022">
        <v>3</v>
      </c>
      <c r="AA1022">
        <v>80</v>
      </c>
      <c r="AB1022">
        <v>1</v>
      </c>
      <c r="AC1022" s="2">
        <v>17</v>
      </c>
      <c r="AD1022">
        <v>2</v>
      </c>
      <c r="AE1022">
        <v>2</v>
      </c>
      <c r="AF1022" s="2">
        <v>6</v>
      </c>
      <c r="AG1022">
        <v>5</v>
      </c>
      <c r="AH1022">
        <v>1</v>
      </c>
      <c r="AI1022">
        <v>2</v>
      </c>
      <c r="AJ1022" s="2" t="str">
        <f>IF(A1022 A1022 &lt;= 25, "18-25", IF(A1022 &lt;=35, "26-35", IF(A1022 &lt;=45, "36-45", IF(Table3[[#This Row],[Age]] &lt;=55, "46-55", "56+"))))</f>
        <v>46-55</v>
      </c>
      <c r="AK1022" t="str">
        <f t="shared" si="15"/>
        <v>Low</v>
      </c>
      <c r="AL1022" s="2" t="str">
        <f>IF(AF1022 &lt; 3, "0-2 Years", IF(AF1022 &lt;= 5, "3-5 Years", IF(AF1022 &lt;= 10, "6-10 Years",IF(Table3[[#This Row],[Years At Company]]&lt;=20, "11-20 Years","20+ Years"))))</f>
        <v>6-10 Years</v>
      </c>
    </row>
    <row r="1023" spans="1:38" x14ac:dyDescent="0.25">
      <c r="A1023" s="2">
        <v>25</v>
      </c>
      <c r="B1023" t="s">
        <v>35</v>
      </c>
      <c r="C1023" t="s">
        <v>36</v>
      </c>
      <c r="D1023" s="2">
        <v>383</v>
      </c>
      <c r="E1023" t="s">
        <v>37</v>
      </c>
      <c r="F1023" s="2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 s="2">
        <v>4400</v>
      </c>
      <c r="T1023">
        <v>15182</v>
      </c>
      <c r="U1023">
        <v>3</v>
      </c>
      <c r="V1023" t="s">
        <v>42</v>
      </c>
      <c r="W1023" t="s">
        <v>43</v>
      </c>
      <c r="X1023" s="2">
        <v>12</v>
      </c>
      <c r="Y1023">
        <v>3</v>
      </c>
      <c r="Z1023">
        <v>1</v>
      </c>
      <c r="AA1023">
        <v>80</v>
      </c>
      <c r="AB1023">
        <v>0</v>
      </c>
      <c r="AC1023" s="2">
        <v>6</v>
      </c>
      <c r="AD1023">
        <v>2</v>
      </c>
      <c r="AE1023">
        <v>3</v>
      </c>
      <c r="AF1023" s="2">
        <v>3</v>
      </c>
      <c r="AG1023">
        <v>2</v>
      </c>
      <c r="AH1023">
        <v>2</v>
      </c>
      <c r="AI1023">
        <v>2</v>
      </c>
      <c r="AJ1023" s="2" t="str">
        <f>IF(A1023 A1023 &lt;= 25, "18-25", IF(A1023 &lt;=35, "26-35", IF(A1023 &lt;=45, "36-45", IF(Table3[[#This Row],[Age]] &lt;=55, "46-55", "56+"))))</f>
        <v>18-25</v>
      </c>
      <c r="AK1023" t="str">
        <f t="shared" si="15"/>
        <v>Low</v>
      </c>
      <c r="AL1023" s="2" t="str">
        <f>IF(AF1023 &lt; 3, "0-2 Years", IF(AF1023 &lt;= 5, "3-5 Years", IF(AF1023 &lt;= 10, "6-10 Years",IF(Table3[[#This Row],[Years At Company]]&lt;=20, "11-20 Years","20+ Years"))))</f>
        <v>3-5 Years</v>
      </c>
    </row>
    <row r="1024" spans="1:38" x14ac:dyDescent="0.25">
      <c r="A1024" s="2">
        <v>37</v>
      </c>
      <c r="B1024" t="s">
        <v>43</v>
      </c>
      <c r="C1024" t="s">
        <v>55</v>
      </c>
      <c r="D1024" s="2">
        <v>1413</v>
      </c>
      <c r="E1024" t="s">
        <v>45</v>
      </c>
      <c r="F1024" s="2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 s="2">
        <v>3500</v>
      </c>
      <c r="T1024">
        <v>25470</v>
      </c>
      <c r="U1024">
        <v>0</v>
      </c>
      <c r="V1024" t="s">
        <v>42</v>
      </c>
      <c r="W1024" t="s">
        <v>43</v>
      </c>
      <c r="X1024" s="2">
        <v>14</v>
      </c>
      <c r="Y1024">
        <v>3</v>
      </c>
      <c r="Z1024">
        <v>1</v>
      </c>
      <c r="AA1024">
        <v>80</v>
      </c>
      <c r="AB1024">
        <v>0</v>
      </c>
      <c r="AC1024" s="2">
        <v>7</v>
      </c>
      <c r="AD1024">
        <v>2</v>
      </c>
      <c r="AE1024">
        <v>1</v>
      </c>
      <c r="AF1024" s="2">
        <v>6</v>
      </c>
      <c r="AG1024">
        <v>5</v>
      </c>
      <c r="AH1024">
        <v>1</v>
      </c>
      <c r="AI1024">
        <v>3</v>
      </c>
      <c r="AJ1024" s="2" t="str">
        <f>IF(A1024 A1024 &lt;= 25, "18-25", IF(A1024 &lt;=35, "26-35", IF(A1024 &lt;=45, "36-45", IF(Table3[[#This Row],[Age]] &lt;=55, "46-55", "56+"))))</f>
        <v>36-45</v>
      </c>
      <c r="AK1024" t="str">
        <f t="shared" si="15"/>
        <v>Low</v>
      </c>
      <c r="AL1024" s="2" t="str">
        <f>IF(AF1024 &lt; 3, "0-2 Years", IF(AF1024 &lt;= 5, "3-5 Years", IF(AF1024 &lt;= 10, "6-10 Years",IF(Table3[[#This Row],[Years At Company]]&lt;=20, "11-20 Years","20+ Years"))))</f>
        <v>6-10 Years</v>
      </c>
    </row>
    <row r="1025" spans="1:38" x14ac:dyDescent="0.25">
      <c r="A1025" s="2">
        <v>56</v>
      </c>
      <c r="B1025" t="s">
        <v>43</v>
      </c>
      <c r="C1025" t="s">
        <v>36</v>
      </c>
      <c r="D1025" s="2">
        <v>1255</v>
      </c>
      <c r="E1025" t="s">
        <v>45</v>
      </c>
      <c r="F1025" s="2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 s="2">
        <v>2066</v>
      </c>
      <c r="T1025">
        <v>10494</v>
      </c>
      <c r="U1025">
        <v>2</v>
      </c>
      <c r="V1025" t="s">
        <v>42</v>
      </c>
      <c r="W1025" t="s">
        <v>43</v>
      </c>
      <c r="X1025" s="2">
        <v>22</v>
      </c>
      <c r="Y1025">
        <v>4</v>
      </c>
      <c r="Z1025">
        <v>4</v>
      </c>
      <c r="AA1025">
        <v>80</v>
      </c>
      <c r="AB1025">
        <v>1</v>
      </c>
      <c r="AC1025" s="2">
        <v>5</v>
      </c>
      <c r="AD1025">
        <v>3</v>
      </c>
      <c r="AE1025">
        <v>4</v>
      </c>
      <c r="AF1025" s="2">
        <v>3</v>
      </c>
      <c r="AG1025">
        <v>2</v>
      </c>
      <c r="AH1025">
        <v>1</v>
      </c>
      <c r="AI1025">
        <v>0</v>
      </c>
      <c r="AJ1025" s="2" t="str">
        <f>IF(A1025 A1025 &lt;= 25, "18-25", IF(A1025 &lt;=35, "26-35", IF(A1025 &lt;=45, "36-45", IF(Table3[[#This Row],[Age]] &lt;=55, "46-55", "56+"))))</f>
        <v>56+</v>
      </c>
      <c r="AK1025" t="str">
        <f t="shared" si="15"/>
        <v>Low</v>
      </c>
      <c r="AL1025" s="2" t="str">
        <f>IF(AF1025 &lt; 3, "0-2 Years", IF(AF1025 &lt;= 5, "3-5 Years", IF(AF1025 &lt;= 10, "6-10 Years",IF(Table3[[#This Row],[Years At Company]]&lt;=20, "11-20 Years","20+ Years"))))</f>
        <v>3-5 Years</v>
      </c>
    </row>
    <row r="1026" spans="1:38" x14ac:dyDescent="0.25">
      <c r="A1026" s="2">
        <v>47</v>
      </c>
      <c r="B1026" t="s">
        <v>43</v>
      </c>
      <c r="C1026" t="s">
        <v>36</v>
      </c>
      <c r="D1026" s="2">
        <v>359</v>
      </c>
      <c r="E1026" t="s">
        <v>45</v>
      </c>
      <c r="F1026" s="2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 s="2">
        <v>17169</v>
      </c>
      <c r="T1026">
        <v>26703</v>
      </c>
      <c r="U1026">
        <v>3</v>
      </c>
      <c r="V1026" t="s">
        <v>42</v>
      </c>
      <c r="W1026" t="s">
        <v>43</v>
      </c>
      <c r="X1026" s="2">
        <v>19</v>
      </c>
      <c r="Y1026">
        <v>3</v>
      </c>
      <c r="Z1026">
        <v>2</v>
      </c>
      <c r="AA1026">
        <v>80</v>
      </c>
      <c r="AB1026">
        <v>2</v>
      </c>
      <c r="AC1026" s="2">
        <v>26</v>
      </c>
      <c r="AD1026">
        <v>2</v>
      </c>
      <c r="AE1026">
        <v>4</v>
      </c>
      <c r="AF1026" s="2">
        <v>20</v>
      </c>
      <c r="AG1026">
        <v>17</v>
      </c>
      <c r="AH1026">
        <v>5</v>
      </c>
      <c r="AI1026">
        <v>6</v>
      </c>
      <c r="AJ1026" s="2" t="str">
        <f>IF(A1026 A1026 &lt;= 25, "18-25", IF(A1026 &lt;=35, "26-35", IF(A1026 &lt;=45, "36-45", IF(Table3[[#This Row],[Age]] &lt;=55, "46-55", "56+"))))</f>
        <v>46-55</v>
      </c>
      <c r="AK1026" t="str">
        <f t="shared" ref="AK1026:AK1089" si="16">IF(S1026 &lt; 5000, "Low",IF(S1026 &lt;=9999, "Medium", "High"))</f>
        <v>High</v>
      </c>
      <c r="AL1026" s="2" t="str">
        <f>IF(AF1026 &lt; 3, "0-2 Years", IF(AF1026 &lt;= 5, "3-5 Years", IF(AF1026 &lt;= 10, "6-10 Years",IF(Table3[[#This Row],[Years At Company]]&lt;=20, "11-20 Years","20+ Years"))))</f>
        <v>11-20 Years</v>
      </c>
    </row>
    <row r="1027" spans="1:38" x14ac:dyDescent="0.25">
      <c r="A1027" s="2">
        <v>24</v>
      </c>
      <c r="B1027" t="s">
        <v>43</v>
      </c>
      <c r="C1027" t="s">
        <v>36</v>
      </c>
      <c r="D1027" s="2">
        <v>1476</v>
      </c>
      <c r="E1027" t="s">
        <v>37</v>
      </c>
      <c r="F1027" s="2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 s="2">
        <v>4162</v>
      </c>
      <c r="T1027">
        <v>15211</v>
      </c>
      <c r="U1027">
        <v>1</v>
      </c>
      <c r="V1027" t="s">
        <v>42</v>
      </c>
      <c r="W1027" t="s">
        <v>35</v>
      </c>
      <c r="X1027" s="2">
        <v>12</v>
      </c>
      <c r="Y1027">
        <v>3</v>
      </c>
      <c r="Z1027">
        <v>3</v>
      </c>
      <c r="AA1027">
        <v>80</v>
      </c>
      <c r="AB1027">
        <v>2</v>
      </c>
      <c r="AC1027" s="2">
        <v>5</v>
      </c>
      <c r="AD1027">
        <v>3</v>
      </c>
      <c r="AE1027">
        <v>3</v>
      </c>
      <c r="AF1027" s="2">
        <v>5</v>
      </c>
      <c r="AG1027">
        <v>4</v>
      </c>
      <c r="AH1027">
        <v>0</v>
      </c>
      <c r="AI1027">
        <v>3</v>
      </c>
      <c r="AJ1027" s="2" t="str">
        <f>IF(A1027 A1027 &lt;= 25, "18-25", IF(A1027 &lt;=35, "26-35", IF(A1027 &lt;=45, "36-45", IF(Table3[[#This Row],[Age]] &lt;=55, "46-55", "56+"))))</f>
        <v>18-25</v>
      </c>
      <c r="AK1027" t="str">
        <f t="shared" si="16"/>
        <v>Low</v>
      </c>
      <c r="AL1027" s="2" t="str">
        <f>IF(AF1027 &lt; 3, "0-2 Years", IF(AF1027 &lt;= 5, "3-5 Years", IF(AF1027 &lt;= 10, "6-10 Years",IF(Table3[[#This Row],[Years At Company]]&lt;=20, "11-20 Years","20+ Years"))))</f>
        <v>3-5 Years</v>
      </c>
    </row>
    <row r="1028" spans="1:38" x14ac:dyDescent="0.25">
      <c r="A1028" s="2">
        <v>32</v>
      </c>
      <c r="B1028" t="s">
        <v>43</v>
      </c>
      <c r="C1028" t="s">
        <v>36</v>
      </c>
      <c r="D1028" s="2">
        <v>601</v>
      </c>
      <c r="E1028" t="s">
        <v>37</v>
      </c>
      <c r="F1028" s="2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 s="2">
        <v>9204</v>
      </c>
      <c r="T1028">
        <v>23343</v>
      </c>
      <c r="U1028">
        <v>4</v>
      </c>
      <c r="V1028" t="s">
        <v>42</v>
      </c>
      <c r="W1028" t="s">
        <v>43</v>
      </c>
      <c r="X1028" s="2">
        <v>12</v>
      </c>
      <c r="Y1028">
        <v>3</v>
      </c>
      <c r="Z1028">
        <v>3</v>
      </c>
      <c r="AA1028">
        <v>80</v>
      </c>
      <c r="AB1028">
        <v>1</v>
      </c>
      <c r="AC1028" s="2">
        <v>7</v>
      </c>
      <c r="AD1028">
        <v>3</v>
      </c>
      <c r="AE1028">
        <v>2</v>
      </c>
      <c r="AF1028" s="2">
        <v>4</v>
      </c>
      <c r="AG1028">
        <v>3</v>
      </c>
      <c r="AH1028">
        <v>0</v>
      </c>
      <c r="AI1028">
        <v>3</v>
      </c>
      <c r="AJ1028" s="2" t="str">
        <f>IF(A1028 A1028 &lt;= 25, "18-25", IF(A1028 &lt;=35, "26-35", IF(A1028 &lt;=45, "36-45", IF(Table3[[#This Row],[Age]] &lt;=55, "46-55", "56+"))))</f>
        <v>26-35</v>
      </c>
      <c r="AK1028" t="str">
        <f t="shared" si="16"/>
        <v>Medium</v>
      </c>
      <c r="AL1028" s="2" t="str">
        <f>IF(AF1028 &lt; 3, "0-2 Years", IF(AF1028 &lt;= 5, "3-5 Years", IF(AF1028 &lt;= 10, "6-10 Years",IF(Table3[[#This Row],[Years At Company]]&lt;=20, "11-20 Years","20+ Years"))))</f>
        <v>3-5 Years</v>
      </c>
    </row>
    <row r="1029" spans="1:38" x14ac:dyDescent="0.25">
      <c r="A1029" s="2">
        <v>34</v>
      </c>
      <c r="B1029" t="s">
        <v>43</v>
      </c>
      <c r="C1029" t="s">
        <v>36</v>
      </c>
      <c r="D1029" s="2">
        <v>401</v>
      </c>
      <c r="E1029" t="s">
        <v>45</v>
      </c>
      <c r="F1029" s="2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 s="2">
        <v>3294</v>
      </c>
      <c r="T1029">
        <v>3708</v>
      </c>
      <c r="U1029">
        <v>5</v>
      </c>
      <c r="V1029" t="s">
        <v>42</v>
      </c>
      <c r="W1029" t="s">
        <v>43</v>
      </c>
      <c r="X1029" s="2">
        <v>17</v>
      </c>
      <c r="Y1029">
        <v>3</v>
      </c>
      <c r="Z1029">
        <v>1</v>
      </c>
      <c r="AA1029">
        <v>80</v>
      </c>
      <c r="AB1029">
        <v>1</v>
      </c>
      <c r="AC1029" s="2">
        <v>7</v>
      </c>
      <c r="AD1029">
        <v>2</v>
      </c>
      <c r="AE1029">
        <v>2</v>
      </c>
      <c r="AF1029" s="2">
        <v>5</v>
      </c>
      <c r="AG1029">
        <v>4</v>
      </c>
      <c r="AH1029">
        <v>0</v>
      </c>
      <c r="AI1029">
        <v>2</v>
      </c>
      <c r="AJ1029" s="2" t="str">
        <f>IF(A1029 A1029 &lt;= 25, "18-25", IF(A1029 &lt;=35, "26-35", IF(A1029 &lt;=45, "36-45", IF(Table3[[#This Row],[Age]] &lt;=55, "46-55", "56+"))))</f>
        <v>26-35</v>
      </c>
      <c r="AK1029" t="str">
        <f t="shared" si="16"/>
        <v>Low</v>
      </c>
      <c r="AL1029" s="2" t="str">
        <f>IF(AF1029 &lt; 3, "0-2 Years", IF(AF1029 &lt;= 5, "3-5 Years", IF(AF1029 &lt;= 10, "6-10 Years",IF(Table3[[#This Row],[Years At Company]]&lt;=20, "11-20 Years","20+ Years"))))</f>
        <v>3-5 Years</v>
      </c>
    </row>
    <row r="1030" spans="1:38" x14ac:dyDescent="0.25">
      <c r="A1030" s="2">
        <v>41</v>
      </c>
      <c r="B1030" t="s">
        <v>43</v>
      </c>
      <c r="C1030" t="s">
        <v>36</v>
      </c>
      <c r="D1030" s="2">
        <v>1283</v>
      </c>
      <c r="E1030" t="s">
        <v>45</v>
      </c>
      <c r="F1030" s="2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 s="2">
        <v>2127</v>
      </c>
      <c r="T1030">
        <v>5561</v>
      </c>
      <c r="U1030">
        <v>2</v>
      </c>
      <c r="V1030" t="s">
        <v>42</v>
      </c>
      <c r="W1030" t="s">
        <v>35</v>
      </c>
      <c r="X1030" s="2">
        <v>12</v>
      </c>
      <c r="Y1030">
        <v>3</v>
      </c>
      <c r="Z1030">
        <v>1</v>
      </c>
      <c r="AA1030">
        <v>80</v>
      </c>
      <c r="AB1030">
        <v>0</v>
      </c>
      <c r="AC1030" s="2">
        <v>7</v>
      </c>
      <c r="AD1030">
        <v>5</v>
      </c>
      <c r="AE1030">
        <v>2</v>
      </c>
      <c r="AF1030" s="2">
        <v>4</v>
      </c>
      <c r="AG1030">
        <v>2</v>
      </c>
      <c r="AH1030">
        <v>0</v>
      </c>
      <c r="AI1030">
        <v>3</v>
      </c>
      <c r="AJ1030" s="2" t="str">
        <f>IF(A1030 A1030 &lt;= 25, "18-25", IF(A1030 &lt;=35, "26-35", IF(A1030 &lt;=45, "36-45", IF(Table3[[#This Row],[Age]] &lt;=55, "46-55", "56+"))))</f>
        <v>36-45</v>
      </c>
      <c r="AK1030" t="str">
        <f t="shared" si="16"/>
        <v>Low</v>
      </c>
      <c r="AL1030" s="2" t="str">
        <f>IF(AF1030 &lt; 3, "0-2 Years", IF(AF1030 &lt;= 5, "3-5 Years", IF(AF1030 &lt;= 10, "6-10 Years",IF(Table3[[#This Row],[Years At Company]]&lt;=20, "11-20 Years","20+ Years"))))</f>
        <v>3-5 Years</v>
      </c>
    </row>
    <row r="1031" spans="1:38" x14ac:dyDescent="0.25">
      <c r="A1031" s="2">
        <v>40</v>
      </c>
      <c r="B1031" t="s">
        <v>43</v>
      </c>
      <c r="C1031" t="s">
        <v>55</v>
      </c>
      <c r="D1031" s="2">
        <v>663</v>
      </c>
      <c r="E1031" t="s">
        <v>45</v>
      </c>
      <c r="F1031" s="2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 s="2">
        <v>3975</v>
      </c>
      <c r="T1031">
        <v>23099</v>
      </c>
      <c r="U1031">
        <v>3</v>
      </c>
      <c r="V1031" t="s">
        <v>42</v>
      </c>
      <c r="W1031" t="s">
        <v>43</v>
      </c>
      <c r="X1031" s="2">
        <v>11</v>
      </c>
      <c r="Y1031">
        <v>3</v>
      </c>
      <c r="Z1031">
        <v>3</v>
      </c>
      <c r="AA1031">
        <v>80</v>
      </c>
      <c r="AB1031">
        <v>2</v>
      </c>
      <c r="AC1031" s="2">
        <v>11</v>
      </c>
      <c r="AD1031">
        <v>2</v>
      </c>
      <c r="AE1031">
        <v>4</v>
      </c>
      <c r="AF1031" s="2">
        <v>8</v>
      </c>
      <c r="AG1031">
        <v>7</v>
      </c>
      <c r="AH1031">
        <v>0</v>
      </c>
      <c r="AI1031">
        <v>7</v>
      </c>
      <c r="AJ1031" s="2" t="str">
        <f>IF(A1031 A1031 &lt;= 25, "18-25", IF(A1031 &lt;=35, "26-35", IF(A1031 &lt;=45, "36-45", IF(Table3[[#This Row],[Age]] &lt;=55, "46-55", "56+"))))</f>
        <v>36-45</v>
      </c>
      <c r="AK1031" t="str">
        <f t="shared" si="16"/>
        <v>Low</v>
      </c>
      <c r="AL1031" s="2" t="str">
        <f>IF(AF1031 &lt; 3, "0-2 Years", IF(AF1031 &lt;= 5, "3-5 Years", IF(AF1031 &lt;= 10, "6-10 Years",IF(Table3[[#This Row],[Years At Company]]&lt;=20, "11-20 Years","20+ Years"))))</f>
        <v>6-10 Years</v>
      </c>
    </row>
    <row r="1032" spans="1:38" x14ac:dyDescent="0.25">
      <c r="A1032" s="2">
        <v>31</v>
      </c>
      <c r="B1032" t="s">
        <v>43</v>
      </c>
      <c r="C1032" t="s">
        <v>36</v>
      </c>
      <c r="D1032" s="2">
        <v>326</v>
      </c>
      <c r="E1032" t="s">
        <v>37</v>
      </c>
      <c r="F1032" s="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 s="2">
        <v>10793</v>
      </c>
      <c r="T1032">
        <v>8386</v>
      </c>
      <c r="U1032">
        <v>1</v>
      </c>
      <c r="V1032" t="s">
        <v>42</v>
      </c>
      <c r="W1032" t="s">
        <v>43</v>
      </c>
      <c r="X1032" s="2">
        <v>18</v>
      </c>
      <c r="Y1032">
        <v>3</v>
      </c>
      <c r="Z1032">
        <v>1</v>
      </c>
      <c r="AA1032">
        <v>80</v>
      </c>
      <c r="AB1032">
        <v>1</v>
      </c>
      <c r="AC1032" s="2">
        <v>13</v>
      </c>
      <c r="AD1032">
        <v>5</v>
      </c>
      <c r="AE1032">
        <v>3</v>
      </c>
      <c r="AF1032" s="2">
        <v>13</v>
      </c>
      <c r="AG1032">
        <v>7</v>
      </c>
      <c r="AH1032">
        <v>9</v>
      </c>
      <c r="AI1032">
        <v>9</v>
      </c>
      <c r="AJ1032" s="2" t="str">
        <f>IF(A1032 A1032 &lt;= 25, "18-25", IF(A1032 &lt;=35, "26-35", IF(A1032 &lt;=45, "36-45", IF(Table3[[#This Row],[Age]] &lt;=55, "46-55", "56+"))))</f>
        <v>26-35</v>
      </c>
      <c r="AK1032" t="str">
        <f t="shared" si="16"/>
        <v>High</v>
      </c>
      <c r="AL1032" s="2" t="str">
        <f>IF(AF1032 &lt; 3, "0-2 Years", IF(AF1032 &lt;= 5, "3-5 Years", IF(AF1032 &lt;= 10, "6-10 Years",IF(Table3[[#This Row],[Years At Company]]&lt;=20, "11-20 Years","20+ Years"))))</f>
        <v>11-20 Years</v>
      </c>
    </row>
    <row r="1033" spans="1:38" x14ac:dyDescent="0.25">
      <c r="A1033" s="2">
        <v>46</v>
      </c>
      <c r="B1033" t="s">
        <v>35</v>
      </c>
      <c r="C1033" t="s">
        <v>36</v>
      </c>
      <c r="D1033" s="2">
        <v>377</v>
      </c>
      <c r="E1033" t="s">
        <v>37</v>
      </c>
      <c r="F1033" s="2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 s="2">
        <v>10096</v>
      </c>
      <c r="T1033">
        <v>15986</v>
      </c>
      <c r="U1033">
        <v>4</v>
      </c>
      <c r="V1033" t="s">
        <v>42</v>
      </c>
      <c r="W1033" t="s">
        <v>43</v>
      </c>
      <c r="X1033" s="2">
        <v>11</v>
      </c>
      <c r="Y1033">
        <v>3</v>
      </c>
      <c r="Z1033">
        <v>1</v>
      </c>
      <c r="AA1033">
        <v>80</v>
      </c>
      <c r="AB1033">
        <v>1</v>
      </c>
      <c r="AC1033" s="2">
        <v>28</v>
      </c>
      <c r="AD1033">
        <v>1</v>
      </c>
      <c r="AE1033">
        <v>4</v>
      </c>
      <c r="AF1033" s="2">
        <v>7</v>
      </c>
      <c r="AG1033">
        <v>7</v>
      </c>
      <c r="AH1033">
        <v>4</v>
      </c>
      <c r="AI1033">
        <v>3</v>
      </c>
      <c r="AJ1033" s="2" t="str">
        <f>IF(A1033 A1033 &lt;= 25, "18-25", IF(A1033 &lt;=35, "26-35", IF(A1033 &lt;=45, "36-45", IF(Table3[[#This Row],[Age]] &lt;=55, "46-55", "56+"))))</f>
        <v>46-55</v>
      </c>
      <c r="AK1033" t="str">
        <f t="shared" si="16"/>
        <v>High</v>
      </c>
      <c r="AL1033" s="2" t="str">
        <f>IF(AF1033 &lt; 3, "0-2 Years", IF(AF1033 &lt;= 5, "3-5 Years", IF(AF1033 &lt;= 10, "6-10 Years",IF(Table3[[#This Row],[Years At Company]]&lt;=20, "11-20 Years","20+ Years"))))</f>
        <v>6-10 Years</v>
      </c>
    </row>
    <row r="1034" spans="1:38" x14ac:dyDescent="0.25">
      <c r="A1034" s="2">
        <v>39</v>
      </c>
      <c r="B1034" t="s">
        <v>35</v>
      </c>
      <c r="C1034" t="s">
        <v>55</v>
      </c>
      <c r="D1034" s="2">
        <v>592</v>
      </c>
      <c r="E1034" t="s">
        <v>45</v>
      </c>
      <c r="F1034" s="2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 s="2">
        <v>3646</v>
      </c>
      <c r="T1034">
        <v>17181</v>
      </c>
      <c r="U1034">
        <v>2</v>
      </c>
      <c r="V1034" t="s">
        <v>42</v>
      </c>
      <c r="W1034" t="s">
        <v>35</v>
      </c>
      <c r="X1034" s="2">
        <v>23</v>
      </c>
      <c r="Y1034">
        <v>4</v>
      </c>
      <c r="Z1034">
        <v>2</v>
      </c>
      <c r="AA1034">
        <v>80</v>
      </c>
      <c r="AB1034">
        <v>0</v>
      </c>
      <c r="AC1034" s="2">
        <v>11</v>
      </c>
      <c r="AD1034">
        <v>2</v>
      </c>
      <c r="AE1034">
        <v>4</v>
      </c>
      <c r="AF1034" s="2">
        <v>1</v>
      </c>
      <c r="AG1034">
        <v>0</v>
      </c>
      <c r="AH1034">
        <v>0</v>
      </c>
      <c r="AI1034">
        <v>0</v>
      </c>
      <c r="AJ1034" s="2" t="str">
        <f>IF(A1034 A1034 &lt;= 25, "18-25", IF(A1034 &lt;=35, "26-35", IF(A1034 &lt;=45, "36-45", IF(Table3[[#This Row],[Age]] &lt;=55, "46-55", "56+"))))</f>
        <v>36-45</v>
      </c>
      <c r="AK1034" t="str">
        <f t="shared" si="16"/>
        <v>Low</v>
      </c>
      <c r="AL1034" s="2" t="str">
        <f>IF(AF1034 &lt; 3, "0-2 Years", IF(AF1034 &lt;= 5, "3-5 Years", IF(AF1034 &lt;= 10, "6-10 Years",IF(Table3[[#This Row],[Years At Company]]&lt;=20, "11-20 Years","20+ Years"))))</f>
        <v>0-2 Years</v>
      </c>
    </row>
    <row r="1035" spans="1:38" x14ac:dyDescent="0.25">
      <c r="A1035" s="2">
        <v>31</v>
      </c>
      <c r="B1035" t="s">
        <v>35</v>
      </c>
      <c r="C1035" t="s">
        <v>44</v>
      </c>
      <c r="D1035" s="2">
        <v>1445</v>
      </c>
      <c r="E1035" t="s">
        <v>45</v>
      </c>
      <c r="F1035" s="2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 s="2">
        <v>7446</v>
      </c>
      <c r="T1035">
        <v>8931</v>
      </c>
      <c r="U1035">
        <v>1</v>
      </c>
      <c r="V1035" t="s">
        <v>42</v>
      </c>
      <c r="W1035" t="s">
        <v>43</v>
      </c>
      <c r="X1035" s="2">
        <v>11</v>
      </c>
      <c r="Y1035">
        <v>3</v>
      </c>
      <c r="Z1035">
        <v>1</v>
      </c>
      <c r="AA1035">
        <v>80</v>
      </c>
      <c r="AB1035">
        <v>0</v>
      </c>
      <c r="AC1035" s="2">
        <v>10</v>
      </c>
      <c r="AD1035">
        <v>2</v>
      </c>
      <c r="AE1035">
        <v>3</v>
      </c>
      <c r="AF1035" s="2">
        <v>10</v>
      </c>
      <c r="AG1035">
        <v>8</v>
      </c>
      <c r="AH1035">
        <v>4</v>
      </c>
      <c r="AI1035">
        <v>7</v>
      </c>
      <c r="AJ1035" s="2" t="str">
        <f>IF(A1035 A1035 &lt;= 25, "18-25", IF(A1035 &lt;=35, "26-35", IF(A1035 &lt;=45, "36-45", IF(Table3[[#This Row],[Age]] &lt;=55, "46-55", "56+"))))</f>
        <v>26-35</v>
      </c>
      <c r="AK1035" t="str">
        <f t="shared" si="16"/>
        <v>Medium</v>
      </c>
      <c r="AL1035" s="2" t="str">
        <f>IF(AF1035 &lt; 3, "0-2 Years", IF(AF1035 &lt;= 5, "3-5 Years", IF(AF1035 &lt;= 10, "6-10 Years",IF(Table3[[#This Row],[Years At Company]]&lt;=20, "11-20 Years","20+ Years"))))</f>
        <v>6-10 Years</v>
      </c>
    </row>
    <row r="1036" spans="1:38" x14ac:dyDescent="0.25">
      <c r="A1036" s="2">
        <v>45</v>
      </c>
      <c r="B1036" t="s">
        <v>43</v>
      </c>
      <c r="C1036" t="s">
        <v>36</v>
      </c>
      <c r="D1036" s="2">
        <v>1038</v>
      </c>
      <c r="E1036" t="s">
        <v>45</v>
      </c>
      <c r="F1036" s="2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 s="2">
        <v>10851</v>
      </c>
      <c r="T1036">
        <v>19863</v>
      </c>
      <c r="U1036">
        <v>2</v>
      </c>
      <c r="V1036" t="s">
        <v>42</v>
      </c>
      <c r="W1036" t="s">
        <v>35</v>
      </c>
      <c r="X1036" s="2">
        <v>18</v>
      </c>
      <c r="Y1036">
        <v>3</v>
      </c>
      <c r="Z1036">
        <v>2</v>
      </c>
      <c r="AA1036">
        <v>80</v>
      </c>
      <c r="AB1036">
        <v>1</v>
      </c>
      <c r="AC1036" s="2">
        <v>24</v>
      </c>
      <c r="AD1036">
        <v>2</v>
      </c>
      <c r="AE1036">
        <v>3</v>
      </c>
      <c r="AF1036" s="2">
        <v>7</v>
      </c>
      <c r="AG1036">
        <v>7</v>
      </c>
      <c r="AH1036">
        <v>0</v>
      </c>
      <c r="AI1036">
        <v>7</v>
      </c>
      <c r="AJ1036" s="2" t="str">
        <f>IF(A1036 A1036 &lt;= 25, "18-25", IF(A1036 &lt;=35, "26-35", IF(A1036 &lt;=45, "36-45", IF(Table3[[#This Row],[Age]] &lt;=55, "46-55", "56+"))))</f>
        <v>36-45</v>
      </c>
      <c r="AK1036" t="str">
        <f t="shared" si="16"/>
        <v>High</v>
      </c>
      <c r="AL1036" s="2" t="str">
        <f>IF(AF1036 &lt; 3, "0-2 Years", IF(AF1036 &lt;= 5, "3-5 Years", IF(AF1036 &lt;= 10, "6-10 Years",IF(Table3[[#This Row],[Years At Company]]&lt;=20, "11-20 Years","20+ Years"))))</f>
        <v>6-10 Years</v>
      </c>
    </row>
    <row r="1037" spans="1:38" x14ac:dyDescent="0.25">
      <c r="A1037" s="2">
        <v>31</v>
      </c>
      <c r="B1037" t="s">
        <v>43</v>
      </c>
      <c r="C1037" t="s">
        <v>36</v>
      </c>
      <c r="D1037" s="2">
        <v>1398</v>
      </c>
      <c r="E1037" t="s">
        <v>61</v>
      </c>
      <c r="F1037" s="2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 s="2">
        <v>2109</v>
      </c>
      <c r="T1037">
        <v>24609</v>
      </c>
      <c r="U1037">
        <v>9</v>
      </c>
      <c r="V1037" t="s">
        <v>42</v>
      </c>
      <c r="W1037" t="s">
        <v>43</v>
      </c>
      <c r="X1037" s="2">
        <v>18</v>
      </c>
      <c r="Y1037">
        <v>3</v>
      </c>
      <c r="Z1037">
        <v>4</v>
      </c>
      <c r="AA1037">
        <v>80</v>
      </c>
      <c r="AB1037">
        <v>0</v>
      </c>
      <c r="AC1037" s="2">
        <v>8</v>
      </c>
      <c r="AD1037">
        <v>3</v>
      </c>
      <c r="AE1037">
        <v>3</v>
      </c>
      <c r="AF1037" s="2">
        <v>3</v>
      </c>
      <c r="AG1037">
        <v>2</v>
      </c>
      <c r="AH1037">
        <v>0</v>
      </c>
      <c r="AI1037">
        <v>2</v>
      </c>
      <c r="AJ1037" s="2" t="str">
        <f>IF(A1037 A1037 &lt;= 25, "18-25", IF(A1037 &lt;=35, "26-35", IF(A1037 &lt;=45, "36-45", IF(Table3[[#This Row],[Age]] &lt;=55, "46-55", "56+"))))</f>
        <v>26-35</v>
      </c>
      <c r="AK1037" t="str">
        <f t="shared" si="16"/>
        <v>Low</v>
      </c>
      <c r="AL1037" s="2" t="str">
        <f>IF(AF1037 &lt; 3, "0-2 Years", IF(AF1037 &lt;= 5, "3-5 Years", IF(AF1037 &lt;= 10, "6-10 Years",IF(Table3[[#This Row],[Years At Company]]&lt;=20, "11-20 Years","20+ Years"))))</f>
        <v>3-5 Years</v>
      </c>
    </row>
    <row r="1038" spans="1:38" x14ac:dyDescent="0.25">
      <c r="A1038" s="2">
        <v>31</v>
      </c>
      <c r="B1038" t="s">
        <v>35</v>
      </c>
      <c r="C1038" t="s">
        <v>44</v>
      </c>
      <c r="D1038" s="2">
        <v>523</v>
      </c>
      <c r="E1038" t="s">
        <v>45</v>
      </c>
      <c r="F1038" s="2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 s="2">
        <v>3722</v>
      </c>
      <c r="T1038">
        <v>21081</v>
      </c>
      <c r="U1038">
        <v>6</v>
      </c>
      <c r="V1038" t="s">
        <v>42</v>
      </c>
      <c r="W1038" t="s">
        <v>35</v>
      </c>
      <c r="X1038" s="2">
        <v>13</v>
      </c>
      <c r="Y1038">
        <v>3</v>
      </c>
      <c r="Z1038">
        <v>3</v>
      </c>
      <c r="AA1038">
        <v>80</v>
      </c>
      <c r="AB1038">
        <v>1</v>
      </c>
      <c r="AC1038" s="2">
        <v>7</v>
      </c>
      <c r="AD1038">
        <v>2</v>
      </c>
      <c r="AE1038">
        <v>1</v>
      </c>
      <c r="AF1038" s="2">
        <v>2</v>
      </c>
      <c r="AG1038">
        <v>2</v>
      </c>
      <c r="AH1038">
        <v>2</v>
      </c>
      <c r="AI1038">
        <v>2</v>
      </c>
      <c r="AJ1038" s="2" t="str">
        <f>IF(A1038 A1038 &lt;= 25, "18-25", IF(A1038 &lt;=35, "26-35", IF(A1038 &lt;=45, "36-45", IF(Table3[[#This Row],[Age]] &lt;=55, "46-55", "56+"))))</f>
        <v>26-35</v>
      </c>
      <c r="AK1038" t="str">
        <f t="shared" si="16"/>
        <v>Low</v>
      </c>
      <c r="AL1038" s="2" t="str">
        <f>IF(AF1038 &lt; 3, "0-2 Years", IF(AF1038 &lt;= 5, "3-5 Years", IF(AF1038 &lt;= 10, "6-10 Years",IF(Table3[[#This Row],[Years At Company]]&lt;=20, "11-20 Years","20+ Years"))))</f>
        <v>0-2 Years</v>
      </c>
    </row>
    <row r="1039" spans="1:38" x14ac:dyDescent="0.25">
      <c r="A1039" s="2">
        <v>45</v>
      </c>
      <c r="B1039" t="s">
        <v>43</v>
      </c>
      <c r="C1039" t="s">
        <v>36</v>
      </c>
      <c r="D1039" s="2">
        <v>1448</v>
      </c>
      <c r="E1039" t="s">
        <v>45</v>
      </c>
      <c r="F1039" s="2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 s="2">
        <v>9380</v>
      </c>
      <c r="T1039">
        <v>14720</v>
      </c>
      <c r="U1039">
        <v>4</v>
      </c>
      <c r="V1039" t="s">
        <v>42</v>
      </c>
      <c r="W1039" t="s">
        <v>35</v>
      </c>
      <c r="X1039" s="2">
        <v>18</v>
      </c>
      <c r="Y1039">
        <v>3</v>
      </c>
      <c r="Z1039">
        <v>4</v>
      </c>
      <c r="AA1039">
        <v>80</v>
      </c>
      <c r="AB1039">
        <v>2</v>
      </c>
      <c r="AC1039" s="2">
        <v>10</v>
      </c>
      <c r="AD1039">
        <v>4</v>
      </c>
      <c r="AE1039">
        <v>4</v>
      </c>
      <c r="AF1039" s="2">
        <v>3</v>
      </c>
      <c r="AG1039">
        <v>1</v>
      </c>
      <c r="AH1039">
        <v>1</v>
      </c>
      <c r="AI1039">
        <v>2</v>
      </c>
      <c r="AJ1039" s="2" t="str">
        <f>IF(A1039 A1039 &lt;= 25, "18-25", IF(A1039 &lt;=35, "26-35", IF(A1039 &lt;=45, "36-45", IF(Table3[[#This Row],[Age]] &lt;=55, "46-55", "56+"))))</f>
        <v>36-45</v>
      </c>
      <c r="AK1039" t="str">
        <f t="shared" si="16"/>
        <v>Medium</v>
      </c>
      <c r="AL1039" s="2" t="str">
        <f>IF(AF1039 &lt; 3, "0-2 Years", IF(AF1039 &lt;= 5, "3-5 Years", IF(AF1039 &lt;= 10, "6-10 Years",IF(Table3[[#This Row],[Years At Company]]&lt;=20, "11-20 Years","20+ Years"))))</f>
        <v>3-5 Years</v>
      </c>
    </row>
    <row r="1040" spans="1:38" x14ac:dyDescent="0.25">
      <c r="A1040" s="2">
        <v>48</v>
      </c>
      <c r="B1040" t="s">
        <v>43</v>
      </c>
      <c r="C1040" t="s">
        <v>36</v>
      </c>
      <c r="D1040" s="2">
        <v>1221</v>
      </c>
      <c r="E1040" t="s">
        <v>37</v>
      </c>
      <c r="F1040" s="2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 s="2">
        <v>5486</v>
      </c>
      <c r="T1040">
        <v>24795</v>
      </c>
      <c r="U1040">
        <v>4</v>
      </c>
      <c r="V1040" t="s">
        <v>42</v>
      </c>
      <c r="W1040" t="s">
        <v>43</v>
      </c>
      <c r="X1040" s="2">
        <v>11</v>
      </c>
      <c r="Y1040">
        <v>3</v>
      </c>
      <c r="Z1040">
        <v>1</v>
      </c>
      <c r="AA1040">
        <v>80</v>
      </c>
      <c r="AB1040">
        <v>3</v>
      </c>
      <c r="AC1040" s="2">
        <v>15</v>
      </c>
      <c r="AD1040">
        <v>3</v>
      </c>
      <c r="AE1040">
        <v>3</v>
      </c>
      <c r="AF1040" s="2">
        <v>2</v>
      </c>
      <c r="AG1040">
        <v>2</v>
      </c>
      <c r="AH1040">
        <v>2</v>
      </c>
      <c r="AI1040">
        <v>2</v>
      </c>
      <c r="AJ1040" s="2" t="str">
        <f>IF(A1040 A1040 &lt;= 25, "18-25", IF(A1040 &lt;=35, "26-35", IF(A1040 &lt;=45, "36-45", IF(Table3[[#This Row],[Age]] &lt;=55, "46-55", "56+"))))</f>
        <v>46-55</v>
      </c>
      <c r="AK1040" t="str">
        <f t="shared" si="16"/>
        <v>Medium</v>
      </c>
      <c r="AL1040" s="2" t="str">
        <f>IF(AF1040 &lt; 3, "0-2 Years", IF(AF1040 &lt;= 5, "3-5 Years", IF(AF1040 &lt;= 10, "6-10 Years",IF(Table3[[#This Row],[Years At Company]]&lt;=20, "11-20 Years","20+ Years"))))</f>
        <v>0-2 Years</v>
      </c>
    </row>
    <row r="1041" spans="1:38" x14ac:dyDescent="0.25">
      <c r="A1041" s="2">
        <v>34</v>
      </c>
      <c r="B1041" t="s">
        <v>35</v>
      </c>
      <c r="C1041" t="s">
        <v>36</v>
      </c>
      <c r="D1041" s="2">
        <v>1107</v>
      </c>
      <c r="E1041" t="s">
        <v>61</v>
      </c>
      <c r="F1041" s="2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 s="2">
        <v>2742</v>
      </c>
      <c r="T1041">
        <v>3072</v>
      </c>
      <c r="U1041">
        <v>1</v>
      </c>
      <c r="V1041" t="s">
        <v>42</v>
      </c>
      <c r="W1041" t="s">
        <v>43</v>
      </c>
      <c r="X1041" s="2">
        <v>15</v>
      </c>
      <c r="Y1041">
        <v>3</v>
      </c>
      <c r="Z1041">
        <v>4</v>
      </c>
      <c r="AA1041">
        <v>80</v>
      </c>
      <c r="AB1041">
        <v>0</v>
      </c>
      <c r="AC1041" s="2">
        <v>2</v>
      </c>
      <c r="AD1041">
        <v>0</v>
      </c>
      <c r="AE1041">
        <v>3</v>
      </c>
      <c r="AF1041" s="2">
        <v>2</v>
      </c>
      <c r="AG1041">
        <v>2</v>
      </c>
      <c r="AH1041">
        <v>2</v>
      </c>
      <c r="AI1041">
        <v>2</v>
      </c>
      <c r="AJ1041" s="2" t="str">
        <f>IF(A1041 A1041 &lt;= 25, "18-25", IF(A1041 &lt;=35, "26-35", IF(A1041 &lt;=45, "36-45", IF(Table3[[#This Row],[Age]] &lt;=55, "46-55", "56+"))))</f>
        <v>26-35</v>
      </c>
      <c r="AK1041" t="str">
        <f t="shared" si="16"/>
        <v>Low</v>
      </c>
      <c r="AL1041" s="2" t="str">
        <f>IF(AF1041 &lt; 3, "0-2 Years", IF(AF1041 &lt;= 5, "3-5 Years", IF(AF1041 &lt;= 10, "6-10 Years",IF(Table3[[#This Row],[Years At Company]]&lt;=20, "11-20 Years","20+ Years"))))</f>
        <v>0-2 Years</v>
      </c>
    </row>
    <row r="1042" spans="1:38" x14ac:dyDescent="0.25">
      <c r="A1042" s="2">
        <v>40</v>
      </c>
      <c r="B1042" t="s">
        <v>43</v>
      </c>
      <c r="C1042" t="s">
        <v>55</v>
      </c>
      <c r="D1042" s="2">
        <v>218</v>
      </c>
      <c r="E1042" t="s">
        <v>45</v>
      </c>
      <c r="F1042" s="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 s="2">
        <v>13757</v>
      </c>
      <c r="T1042">
        <v>25178</v>
      </c>
      <c r="U1042">
        <v>2</v>
      </c>
      <c r="V1042" t="s">
        <v>42</v>
      </c>
      <c r="W1042" t="s">
        <v>43</v>
      </c>
      <c r="X1042" s="2">
        <v>11</v>
      </c>
      <c r="Y1042">
        <v>3</v>
      </c>
      <c r="Z1042">
        <v>3</v>
      </c>
      <c r="AA1042">
        <v>80</v>
      </c>
      <c r="AB1042">
        <v>1</v>
      </c>
      <c r="AC1042" s="2">
        <v>16</v>
      </c>
      <c r="AD1042">
        <v>5</v>
      </c>
      <c r="AE1042">
        <v>3</v>
      </c>
      <c r="AF1042" s="2">
        <v>9</v>
      </c>
      <c r="AG1042">
        <v>8</v>
      </c>
      <c r="AH1042">
        <v>4</v>
      </c>
      <c r="AI1042">
        <v>8</v>
      </c>
      <c r="AJ1042" s="2" t="str">
        <f>IF(A1042 A1042 &lt;= 25, "18-25", IF(A1042 &lt;=35, "26-35", IF(A1042 &lt;=45, "36-45", IF(Table3[[#This Row],[Age]] &lt;=55, "46-55", "56+"))))</f>
        <v>36-45</v>
      </c>
      <c r="AK1042" t="str">
        <f t="shared" si="16"/>
        <v>High</v>
      </c>
      <c r="AL1042" s="2" t="str">
        <f>IF(AF1042 &lt; 3, "0-2 Years", IF(AF1042 &lt;= 5, "3-5 Years", IF(AF1042 &lt;= 10, "6-10 Years",IF(Table3[[#This Row],[Years At Company]]&lt;=20, "11-20 Years","20+ Years"))))</f>
        <v>6-10 Years</v>
      </c>
    </row>
    <row r="1043" spans="1:38" x14ac:dyDescent="0.25">
      <c r="A1043" s="2">
        <v>28</v>
      </c>
      <c r="B1043" t="s">
        <v>43</v>
      </c>
      <c r="C1043" t="s">
        <v>36</v>
      </c>
      <c r="D1043" s="2">
        <v>866</v>
      </c>
      <c r="E1043" t="s">
        <v>37</v>
      </c>
      <c r="F1043" s="2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 s="2">
        <v>8463</v>
      </c>
      <c r="T1043">
        <v>23490</v>
      </c>
      <c r="U1043">
        <v>0</v>
      </c>
      <c r="V1043" t="s">
        <v>42</v>
      </c>
      <c r="W1043" t="s">
        <v>43</v>
      </c>
      <c r="X1043" s="2">
        <v>18</v>
      </c>
      <c r="Y1043">
        <v>3</v>
      </c>
      <c r="Z1043">
        <v>4</v>
      </c>
      <c r="AA1043">
        <v>80</v>
      </c>
      <c r="AB1043">
        <v>0</v>
      </c>
      <c r="AC1043" s="2">
        <v>6</v>
      </c>
      <c r="AD1043">
        <v>4</v>
      </c>
      <c r="AE1043">
        <v>3</v>
      </c>
      <c r="AF1043" s="2">
        <v>5</v>
      </c>
      <c r="AG1043">
        <v>4</v>
      </c>
      <c r="AH1043">
        <v>1</v>
      </c>
      <c r="AI1043">
        <v>3</v>
      </c>
      <c r="AJ1043" s="2" t="str">
        <f>IF(A1043 A1043 &lt;= 25, "18-25", IF(A1043 &lt;=35, "26-35", IF(A1043 &lt;=45, "36-45", IF(Table3[[#This Row],[Age]] &lt;=55, "46-55", "56+"))))</f>
        <v>26-35</v>
      </c>
      <c r="AK1043" t="str">
        <f t="shared" si="16"/>
        <v>Medium</v>
      </c>
      <c r="AL1043" s="2" t="str">
        <f>IF(AF1043 &lt; 3, "0-2 Years", IF(AF1043 &lt;= 5, "3-5 Years", IF(AF1043 &lt;= 10, "6-10 Years",IF(Table3[[#This Row],[Years At Company]]&lt;=20, "11-20 Years","20+ Years"))))</f>
        <v>3-5 Years</v>
      </c>
    </row>
    <row r="1044" spans="1:38" x14ac:dyDescent="0.25">
      <c r="A1044" s="2">
        <v>44</v>
      </c>
      <c r="B1044" t="s">
        <v>43</v>
      </c>
      <c r="C1044" t="s">
        <v>55</v>
      </c>
      <c r="D1044" s="2">
        <v>981</v>
      </c>
      <c r="E1044" t="s">
        <v>45</v>
      </c>
      <c r="F1044" s="2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 s="2">
        <v>3162</v>
      </c>
      <c r="T1044">
        <v>7973</v>
      </c>
      <c r="U1044">
        <v>3</v>
      </c>
      <c r="V1044" t="s">
        <v>42</v>
      </c>
      <c r="W1044" t="s">
        <v>43</v>
      </c>
      <c r="X1044" s="2">
        <v>14</v>
      </c>
      <c r="Y1044">
        <v>3</v>
      </c>
      <c r="Z1044">
        <v>4</v>
      </c>
      <c r="AA1044">
        <v>80</v>
      </c>
      <c r="AB1044">
        <v>0</v>
      </c>
      <c r="AC1044" s="2">
        <v>7</v>
      </c>
      <c r="AD1044">
        <v>5</v>
      </c>
      <c r="AE1044">
        <v>3</v>
      </c>
      <c r="AF1044" s="2">
        <v>5</v>
      </c>
      <c r="AG1044">
        <v>2</v>
      </c>
      <c r="AH1044">
        <v>0</v>
      </c>
      <c r="AI1044">
        <v>3</v>
      </c>
      <c r="AJ1044" s="2" t="str">
        <f>IF(A1044 A1044 &lt;= 25, "18-25", IF(A1044 &lt;=35, "26-35", IF(A1044 &lt;=45, "36-45", IF(Table3[[#This Row],[Age]] &lt;=55, "46-55", "56+"))))</f>
        <v>36-45</v>
      </c>
      <c r="AK1044" t="str">
        <f t="shared" si="16"/>
        <v>Low</v>
      </c>
      <c r="AL1044" s="2" t="str">
        <f>IF(AF1044 &lt; 3, "0-2 Years", IF(AF1044 &lt;= 5, "3-5 Years", IF(AF1044 &lt;= 10, "6-10 Years",IF(Table3[[#This Row],[Years At Company]]&lt;=20, "11-20 Years","20+ Years"))))</f>
        <v>3-5 Years</v>
      </c>
    </row>
    <row r="1045" spans="1:38" x14ac:dyDescent="0.25">
      <c r="A1045" s="2">
        <v>53</v>
      </c>
      <c r="B1045" t="s">
        <v>43</v>
      </c>
      <c r="C1045" t="s">
        <v>36</v>
      </c>
      <c r="D1045" s="2">
        <v>447</v>
      </c>
      <c r="E1045" t="s">
        <v>45</v>
      </c>
      <c r="F1045" s="2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 s="2">
        <v>16598</v>
      </c>
      <c r="T1045">
        <v>19764</v>
      </c>
      <c r="U1045">
        <v>4</v>
      </c>
      <c r="V1045" t="s">
        <v>42</v>
      </c>
      <c r="W1045" t="s">
        <v>43</v>
      </c>
      <c r="X1045" s="2">
        <v>12</v>
      </c>
      <c r="Y1045">
        <v>3</v>
      </c>
      <c r="Z1045">
        <v>2</v>
      </c>
      <c r="AA1045">
        <v>80</v>
      </c>
      <c r="AB1045">
        <v>0</v>
      </c>
      <c r="AC1045" s="2">
        <v>35</v>
      </c>
      <c r="AD1045">
        <v>2</v>
      </c>
      <c r="AE1045">
        <v>2</v>
      </c>
      <c r="AF1045" s="2">
        <v>9</v>
      </c>
      <c r="AG1045">
        <v>8</v>
      </c>
      <c r="AH1045">
        <v>8</v>
      </c>
      <c r="AI1045">
        <v>8</v>
      </c>
      <c r="AJ1045" s="2" t="str">
        <f>IF(A1045 A1045 &lt;= 25, "18-25", IF(A1045 &lt;=35, "26-35", IF(A1045 &lt;=45, "36-45", IF(Table3[[#This Row],[Age]] &lt;=55, "46-55", "56+"))))</f>
        <v>46-55</v>
      </c>
      <c r="AK1045" t="str">
        <f t="shared" si="16"/>
        <v>High</v>
      </c>
      <c r="AL1045" s="2" t="str">
        <f>IF(AF1045 &lt; 3, "0-2 Years", IF(AF1045 &lt;= 5, "3-5 Years", IF(AF1045 &lt;= 10, "6-10 Years",IF(Table3[[#This Row],[Years At Company]]&lt;=20, "11-20 Years","20+ Years"))))</f>
        <v>6-10 Years</v>
      </c>
    </row>
    <row r="1046" spans="1:38" x14ac:dyDescent="0.25">
      <c r="A1046" s="2">
        <v>49</v>
      </c>
      <c r="B1046" t="s">
        <v>43</v>
      </c>
      <c r="C1046" t="s">
        <v>36</v>
      </c>
      <c r="D1046" s="2">
        <v>1495</v>
      </c>
      <c r="E1046" t="s">
        <v>45</v>
      </c>
      <c r="F1046" s="2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 s="2">
        <v>6651</v>
      </c>
      <c r="T1046">
        <v>21534</v>
      </c>
      <c r="U1046">
        <v>2</v>
      </c>
      <c r="V1046" t="s">
        <v>42</v>
      </c>
      <c r="W1046" t="s">
        <v>43</v>
      </c>
      <c r="X1046" s="2">
        <v>14</v>
      </c>
      <c r="Y1046">
        <v>3</v>
      </c>
      <c r="Z1046">
        <v>2</v>
      </c>
      <c r="AA1046">
        <v>80</v>
      </c>
      <c r="AB1046">
        <v>1</v>
      </c>
      <c r="AC1046" s="2">
        <v>20</v>
      </c>
      <c r="AD1046">
        <v>0</v>
      </c>
      <c r="AE1046">
        <v>2</v>
      </c>
      <c r="AF1046" s="2">
        <v>3</v>
      </c>
      <c r="AG1046">
        <v>2</v>
      </c>
      <c r="AH1046">
        <v>1</v>
      </c>
      <c r="AI1046">
        <v>2</v>
      </c>
      <c r="AJ1046" s="2" t="str">
        <f>IF(A1046 A1046 &lt;= 25, "18-25", IF(A1046 &lt;=35, "26-35", IF(A1046 &lt;=45, "36-45", IF(Table3[[#This Row],[Age]] &lt;=55, "46-55", "56+"))))</f>
        <v>46-55</v>
      </c>
      <c r="AK1046" t="str">
        <f t="shared" si="16"/>
        <v>Medium</v>
      </c>
      <c r="AL1046" s="2" t="str">
        <f>IF(AF1046 &lt; 3, "0-2 Years", IF(AF1046 &lt;= 5, "3-5 Years", IF(AF1046 &lt;= 10, "6-10 Years",IF(Table3[[#This Row],[Years At Company]]&lt;=20, "11-20 Years","20+ Years"))))</f>
        <v>3-5 Years</v>
      </c>
    </row>
    <row r="1047" spans="1:38" x14ac:dyDescent="0.25">
      <c r="A1047" s="2">
        <v>40</v>
      </c>
      <c r="B1047" t="s">
        <v>43</v>
      </c>
      <c r="C1047" t="s">
        <v>36</v>
      </c>
      <c r="D1047" s="2">
        <v>896</v>
      </c>
      <c r="E1047" t="s">
        <v>45</v>
      </c>
      <c r="F1047" s="2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 s="2">
        <v>2345</v>
      </c>
      <c r="T1047">
        <v>8045</v>
      </c>
      <c r="U1047">
        <v>2</v>
      </c>
      <c r="V1047" t="s">
        <v>42</v>
      </c>
      <c r="W1047" t="s">
        <v>43</v>
      </c>
      <c r="X1047" s="2">
        <v>14</v>
      </c>
      <c r="Y1047">
        <v>3</v>
      </c>
      <c r="Z1047">
        <v>3</v>
      </c>
      <c r="AA1047">
        <v>80</v>
      </c>
      <c r="AB1047">
        <v>1</v>
      </c>
      <c r="AC1047" s="2">
        <v>8</v>
      </c>
      <c r="AD1047">
        <v>3</v>
      </c>
      <c r="AE1047">
        <v>4</v>
      </c>
      <c r="AF1047" s="2">
        <v>3</v>
      </c>
      <c r="AG1047">
        <v>1</v>
      </c>
      <c r="AH1047">
        <v>1</v>
      </c>
      <c r="AI1047">
        <v>2</v>
      </c>
      <c r="AJ1047" s="2" t="str">
        <f>IF(A1047 A1047 &lt;= 25, "18-25", IF(A1047 &lt;=35, "26-35", IF(A1047 &lt;=45, "36-45", IF(Table3[[#This Row],[Age]] &lt;=55, "46-55", "56+"))))</f>
        <v>36-45</v>
      </c>
      <c r="AK1047" t="str">
        <f t="shared" si="16"/>
        <v>Low</v>
      </c>
      <c r="AL1047" s="2" t="str">
        <f>IF(AF1047 &lt; 3, "0-2 Years", IF(AF1047 &lt;= 5, "3-5 Years", IF(AF1047 &lt;= 10, "6-10 Years",IF(Table3[[#This Row],[Years At Company]]&lt;=20, "11-20 Years","20+ Years"))))</f>
        <v>3-5 Years</v>
      </c>
    </row>
    <row r="1048" spans="1:38" x14ac:dyDescent="0.25">
      <c r="A1048" s="2">
        <v>44</v>
      </c>
      <c r="B1048" t="s">
        <v>43</v>
      </c>
      <c r="C1048" t="s">
        <v>36</v>
      </c>
      <c r="D1048" s="2">
        <v>1467</v>
      </c>
      <c r="E1048" t="s">
        <v>45</v>
      </c>
      <c r="F1048" s="2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 s="2">
        <v>3420</v>
      </c>
      <c r="T1048">
        <v>21158</v>
      </c>
      <c r="U1048">
        <v>1</v>
      </c>
      <c r="V1048" t="s">
        <v>42</v>
      </c>
      <c r="W1048" t="s">
        <v>43</v>
      </c>
      <c r="X1048" s="2">
        <v>13</v>
      </c>
      <c r="Y1048">
        <v>3</v>
      </c>
      <c r="Z1048">
        <v>3</v>
      </c>
      <c r="AA1048">
        <v>80</v>
      </c>
      <c r="AB1048">
        <v>0</v>
      </c>
      <c r="AC1048" s="2">
        <v>6</v>
      </c>
      <c r="AD1048">
        <v>3</v>
      </c>
      <c r="AE1048">
        <v>2</v>
      </c>
      <c r="AF1048" s="2">
        <v>5</v>
      </c>
      <c r="AG1048">
        <v>2</v>
      </c>
      <c r="AH1048">
        <v>1</v>
      </c>
      <c r="AI1048">
        <v>3</v>
      </c>
      <c r="AJ1048" s="2" t="str">
        <f>IF(A1048 A1048 &lt;= 25, "18-25", IF(A1048 &lt;=35, "26-35", IF(A1048 &lt;=45, "36-45", IF(Table3[[#This Row],[Age]] &lt;=55, "46-55", "56+"))))</f>
        <v>36-45</v>
      </c>
      <c r="AK1048" t="str">
        <f t="shared" si="16"/>
        <v>Low</v>
      </c>
      <c r="AL1048" s="2" t="str">
        <f>IF(AF1048 &lt; 3, "0-2 Years", IF(AF1048 &lt;= 5, "3-5 Years", IF(AF1048 &lt;= 10, "6-10 Years",IF(Table3[[#This Row],[Years At Company]]&lt;=20, "11-20 Years","20+ Years"))))</f>
        <v>3-5 Years</v>
      </c>
    </row>
    <row r="1049" spans="1:38" x14ac:dyDescent="0.25">
      <c r="A1049" s="2">
        <v>33</v>
      </c>
      <c r="B1049" t="s">
        <v>43</v>
      </c>
      <c r="C1049" t="s">
        <v>44</v>
      </c>
      <c r="D1049" s="2">
        <v>430</v>
      </c>
      <c r="E1049" t="s">
        <v>37</v>
      </c>
      <c r="F1049" s="2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 s="2">
        <v>4373</v>
      </c>
      <c r="T1049">
        <v>17456</v>
      </c>
      <c r="U1049">
        <v>0</v>
      </c>
      <c r="V1049" t="s">
        <v>42</v>
      </c>
      <c r="W1049" t="s">
        <v>43</v>
      </c>
      <c r="X1049" s="2">
        <v>14</v>
      </c>
      <c r="Y1049">
        <v>3</v>
      </c>
      <c r="Z1049">
        <v>1</v>
      </c>
      <c r="AA1049">
        <v>80</v>
      </c>
      <c r="AB1049">
        <v>2</v>
      </c>
      <c r="AC1049" s="2">
        <v>5</v>
      </c>
      <c r="AD1049">
        <v>2</v>
      </c>
      <c r="AE1049">
        <v>3</v>
      </c>
      <c r="AF1049" s="2">
        <v>4</v>
      </c>
      <c r="AG1049">
        <v>3</v>
      </c>
      <c r="AH1049">
        <v>0</v>
      </c>
      <c r="AI1049">
        <v>3</v>
      </c>
      <c r="AJ1049" s="2" t="str">
        <f>IF(A1049 A1049 &lt;= 25, "18-25", IF(A1049 &lt;=35, "26-35", IF(A1049 &lt;=45, "36-45", IF(Table3[[#This Row],[Age]] &lt;=55, "46-55", "56+"))))</f>
        <v>26-35</v>
      </c>
      <c r="AK1049" t="str">
        <f t="shared" si="16"/>
        <v>Low</v>
      </c>
      <c r="AL1049" s="2" t="str">
        <f>IF(AF1049 &lt; 3, "0-2 Years", IF(AF1049 &lt;= 5, "3-5 Years", IF(AF1049 &lt;= 10, "6-10 Years",IF(Table3[[#This Row],[Years At Company]]&lt;=20, "11-20 Years","20+ Years"))))</f>
        <v>3-5 Years</v>
      </c>
    </row>
    <row r="1050" spans="1:38" x14ac:dyDescent="0.25">
      <c r="A1050" s="2">
        <v>34</v>
      </c>
      <c r="B1050" t="s">
        <v>43</v>
      </c>
      <c r="C1050" t="s">
        <v>36</v>
      </c>
      <c r="D1050" s="2">
        <v>1326</v>
      </c>
      <c r="E1050" t="s">
        <v>37</v>
      </c>
      <c r="F1050" s="2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 s="2">
        <v>4759</v>
      </c>
      <c r="T1050">
        <v>15891</v>
      </c>
      <c r="U1050">
        <v>3</v>
      </c>
      <c r="V1050" t="s">
        <v>42</v>
      </c>
      <c r="W1050" t="s">
        <v>43</v>
      </c>
      <c r="X1050" s="2">
        <v>18</v>
      </c>
      <c r="Y1050">
        <v>3</v>
      </c>
      <c r="Z1050">
        <v>4</v>
      </c>
      <c r="AA1050">
        <v>80</v>
      </c>
      <c r="AB1050">
        <v>0</v>
      </c>
      <c r="AC1050" s="2">
        <v>15</v>
      </c>
      <c r="AD1050">
        <v>2</v>
      </c>
      <c r="AE1050">
        <v>3</v>
      </c>
      <c r="AF1050" s="2">
        <v>13</v>
      </c>
      <c r="AG1050">
        <v>9</v>
      </c>
      <c r="AH1050">
        <v>3</v>
      </c>
      <c r="AI1050">
        <v>12</v>
      </c>
      <c r="AJ1050" s="2" t="str">
        <f>IF(A1050 A1050 &lt;= 25, "18-25", IF(A1050 &lt;=35, "26-35", IF(A1050 &lt;=45, "36-45", IF(Table3[[#This Row],[Age]] &lt;=55, "46-55", "56+"))))</f>
        <v>26-35</v>
      </c>
      <c r="AK1050" t="str">
        <f t="shared" si="16"/>
        <v>Low</v>
      </c>
      <c r="AL1050" s="2" t="str">
        <f>IF(AF1050 &lt; 3, "0-2 Years", IF(AF1050 &lt;= 5, "3-5 Years", IF(AF1050 &lt;= 10, "6-10 Years",IF(Table3[[#This Row],[Years At Company]]&lt;=20, "11-20 Years","20+ Years"))))</f>
        <v>11-20 Years</v>
      </c>
    </row>
    <row r="1051" spans="1:38" x14ac:dyDescent="0.25">
      <c r="A1051" s="2">
        <v>30</v>
      </c>
      <c r="B1051" t="s">
        <v>43</v>
      </c>
      <c r="C1051" t="s">
        <v>36</v>
      </c>
      <c r="D1051" s="2">
        <v>1358</v>
      </c>
      <c r="E1051" t="s">
        <v>37</v>
      </c>
      <c r="F1051" s="2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 s="2">
        <v>5301</v>
      </c>
      <c r="T1051">
        <v>2939</v>
      </c>
      <c r="U1051">
        <v>8</v>
      </c>
      <c r="V1051" t="s">
        <v>42</v>
      </c>
      <c r="W1051" t="s">
        <v>43</v>
      </c>
      <c r="X1051" s="2">
        <v>15</v>
      </c>
      <c r="Y1051">
        <v>3</v>
      </c>
      <c r="Z1051">
        <v>3</v>
      </c>
      <c r="AA1051">
        <v>80</v>
      </c>
      <c r="AB1051">
        <v>2</v>
      </c>
      <c r="AC1051" s="2">
        <v>4</v>
      </c>
      <c r="AD1051">
        <v>2</v>
      </c>
      <c r="AE1051">
        <v>2</v>
      </c>
      <c r="AF1051" s="2">
        <v>2</v>
      </c>
      <c r="AG1051">
        <v>1</v>
      </c>
      <c r="AH1051">
        <v>2</v>
      </c>
      <c r="AI1051">
        <v>2</v>
      </c>
      <c r="AJ1051" s="2" t="str">
        <f>IF(A1051 A1051 &lt;= 25, "18-25", IF(A1051 &lt;=35, "26-35", IF(A1051 &lt;=45, "36-45", IF(Table3[[#This Row],[Age]] &lt;=55, "46-55", "56+"))))</f>
        <v>26-35</v>
      </c>
      <c r="AK1051" t="str">
        <f t="shared" si="16"/>
        <v>Medium</v>
      </c>
      <c r="AL1051" s="2" t="str">
        <f>IF(AF1051 &lt; 3, "0-2 Years", IF(AF1051 &lt;= 5, "3-5 Years", IF(AF1051 &lt;= 10, "6-10 Years",IF(Table3[[#This Row],[Years At Company]]&lt;=20, "11-20 Years","20+ Years"))))</f>
        <v>0-2 Years</v>
      </c>
    </row>
    <row r="1052" spans="1:38" x14ac:dyDescent="0.25">
      <c r="A1052" s="2">
        <v>42</v>
      </c>
      <c r="B1052" t="s">
        <v>43</v>
      </c>
      <c r="C1052" t="s">
        <v>44</v>
      </c>
      <c r="D1052" s="2">
        <v>748</v>
      </c>
      <c r="E1052" t="s">
        <v>45</v>
      </c>
      <c r="F1052" s="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 s="2">
        <v>3673</v>
      </c>
      <c r="T1052">
        <v>16458</v>
      </c>
      <c r="U1052">
        <v>1</v>
      </c>
      <c r="V1052" t="s">
        <v>42</v>
      </c>
      <c r="W1052" t="s">
        <v>43</v>
      </c>
      <c r="X1052" s="2">
        <v>13</v>
      </c>
      <c r="Y1052">
        <v>3</v>
      </c>
      <c r="Z1052">
        <v>3</v>
      </c>
      <c r="AA1052">
        <v>80</v>
      </c>
      <c r="AB1052">
        <v>0</v>
      </c>
      <c r="AC1052" s="2">
        <v>12</v>
      </c>
      <c r="AD1052">
        <v>3</v>
      </c>
      <c r="AE1052">
        <v>3</v>
      </c>
      <c r="AF1052" s="2">
        <v>12</v>
      </c>
      <c r="AG1052">
        <v>9</v>
      </c>
      <c r="AH1052">
        <v>5</v>
      </c>
      <c r="AI1052">
        <v>8</v>
      </c>
      <c r="AJ1052" s="2" t="str">
        <f>IF(A1052 A1052 &lt;= 25, "18-25", IF(A1052 &lt;=35, "26-35", IF(A1052 &lt;=45, "36-45", IF(Table3[[#This Row],[Age]] &lt;=55, "46-55", "56+"))))</f>
        <v>36-45</v>
      </c>
      <c r="AK1052" t="str">
        <f t="shared" si="16"/>
        <v>Low</v>
      </c>
      <c r="AL1052" s="2" t="str">
        <f>IF(AF1052 &lt; 3, "0-2 Years", IF(AF1052 &lt;= 5, "3-5 Years", IF(AF1052 &lt;= 10, "6-10 Years",IF(Table3[[#This Row],[Years At Company]]&lt;=20, "11-20 Years","20+ Years"))))</f>
        <v>11-20 Years</v>
      </c>
    </row>
    <row r="1053" spans="1:38" x14ac:dyDescent="0.25">
      <c r="A1053" s="2">
        <v>44</v>
      </c>
      <c r="B1053" t="s">
        <v>43</v>
      </c>
      <c r="C1053" t="s">
        <v>44</v>
      </c>
      <c r="D1053" s="2">
        <v>383</v>
      </c>
      <c r="E1053" t="s">
        <v>37</v>
      </c>
      <c r="F1053" s="2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 s="2">
        <v>4768</v>
      </c>
      <c r="T1053">
        <v>9282</v>
      </c>
      <c r="U1053">
        <v>7</v>
      </c>
      <c r="V1053" t="s">
        <v>42</v>
      </c>
      <c r="W1053" t="s">
        <v>43</v>
      </c>
      <c r="X1053" s="2">
        <v>12</v>
      </c>
      <c r="Y1053">
        <v>3</v>
      </c>
      <c r="Z1053">
        <v>3</v>
      </c>
      <c r="AA1053">
        <v>80</v>
      </c>
      <c r="AB1053">
        <v>1</v>
      </c>
      <c r="AC1053" s="2">
        <v>11</v>
      </c>
      <c r="AD1053">
        <v>4</v>
      </c>
      <c r="AE1053">
        <v>2</v>
      </c>
      <c r="AF1053" s="2">
        <v>1</v>
      </c>
      <c r="AG1053">
        <v>0</v>
      </c>
      <c r="AH1053">
        <v>0</v>
      </c>
      <c r="AI1053">
        <v>0</v>
      </c>
      <c r="AJ1053" s="2" t="str">
        <f>IF(A1053 A1053 &lt;= 25, "18-25", IF(A1053 &lt;=35, "26-35", IF(A1053 &lt;=45, "36-45", IF(Table3[[#This Row],[Age]] &lt;=55, "46-55", "56+"))))</f>
        <v>36-45</v>
      </c>
      <c r="AK1053" t="str">
        <f t="shared" si="16"/>
        <v>Low</v>
      </c>
      <c r="AL1053" s="2" t="str">
        <f>IF(AF1053 &lt; 3, "0-2 Years", IF(AF1053 &lt;= 5, "3-5 Years", IF(AF1053 &lt;= 10, "6-10 Years",IF(Table3[[#This Row],[Years At Company]]&lt;=20, "11-20 Years","20+ Years"))))</f>
        <v>0-2 Years</v>
      </c>
    </row>
    <row r="1054" spans="1:38" x14ac:dyDescent="0.25">
      <c r="A1054" s="2">
        <v>30</v>
      </c>
      <c r="B1054" t="s">
        <v>43</v>
      </c>
      <c r="C1054" t="s">
        <v>55</v>
      </c>
      <c r="D1054" s="2">
        <v>990</v>
      </c>
      <c r="E1054" t="s">
        <v>45</v>
      </c>
      <c r="F1054" s="2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 s="2">
        <v>1274</v>
      </c>
      <c r="T1054">
        <v>7152</v>
      </c>
      <c r="U1054">
        <v>1</v>
      </c>
      <c r="V1054" t="s">
        <v>42</v>
      </c>
      <c r="W1054" t="s">
        <v>43</v>
      </c>
      <c r="X1054" s="2">
        <v>13</v>
      </c>
      <c r="Y1054">
        <v>3</v>
      </c>
      <c r="Z1054">
        <v>2</v>
      </c>
      <c r="AA1054">
        <v>80</v>
      </c>
      <c r="AB1054">
        <v>2</v>
      </c>
      <c r="AC1054" s="2">
        <v>1</v>
      </c>
      <c r="AD1054">
        <v>2</v>
      </c>
      <c r="AE1054">
        <v>2</v>
      </c>
      <c r="AF1054" s="2">
        <v>1</v>
      </c>
      <c r="AG1054">
        <v>0</v>
      </c>
      <c r="AH1054">
        <v>0</v>
      </c>
      <c r="AI1054">
        <v>0</v>
      </c>
      <c r="AJ1054" s="2" t="str">
        <f>IF(A1054 A1054 &lt;= 25, "18-25", IF(A1054 &lt;=35, "26-35", IF(A1054 &lt;=45, "36-45", IF(Table3[[#This Row],[Age]] &lt;=55, "46-55", "56+"))))</f>
        <v>26-35</v>
      </c>
      <c r="AK1054" t="str">
        <f t="shared" si="16"/>
        <v>Low</v>
      </c>
      <c r="AL1054" s="2" t="str">
        <f>IF(AF1054 &lt; 3, "0-2 Years", IF(AF1054 &lt;= 5, "3-5 Years", IF(AF1054 &lt;= 10, "6-10 Years",IF(Table3[[#This Row],[Years At Company]]&lt;=20, "11-20 Years","20+ Years"))))</f>
        <v>0-2 Years</v>
      </c>
    </row>
    <row r="1055" spans="1:38" x14ac:dyDescent="0.25">
      <c r="A1055" s="2">
        <v>57</v>
      </c>
      <c r="B1055" t="s">
        <v>43</v>
      </c>
      <c r="C1055" t="s">
        <v>36</v>
      </c>
      <c r="D1055" s="2">
        <v>405</v>
      </c>
      <c r="E1055" t="s">
        <v>45</v>
      </c>
      <c r="F1055" s="2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 s="2">
        <v>4900</v>
      </c>
      <c r="T1055">
        <v>2721</v>
      </c>
      <c r="U1055">
        <v>0</v>
      </c>
      <c r="V1055" t="s">
        <v>42</v>
      </c>
      <c r="W1055" t="s">
        <v>43</v>
      </c>
      <c r="X1055" s="2">
        <v>24</v>
      </c>
      <c r="Y1055">
        <v>4</v>
      </c>
      <c r="Z1055">
        <v>1</v>
      </c>
      <c r="AA1055">
        <v>80</v>
      </c>
      <c r="AB1055">
        <v>1</v>
      </c>
      <c r="AC1055" s="2">
        <v>13</v>
      </c>
      <c r="AD1055">
        <v>2</v>
      </c>
      <c r="AE1055">
        <v>2</v>
      </c>
      <c r="AF1055" s="2">
        <v>12</v>
      </c>
      <c r="AG1055">
        <v>9</v>
      </c>
      <c r="AH1055">
        <v>2</v>
      </c>
      <c r="AI1055">
        <v>8</v>
      </c>
      <c r="AJ1055" s="2" t="str">
        <f>IF(A1055 A1055 &lt;= 25, "18-25", IF(A1055 &lt;=35, "26-35", IF(A1055 &lt;=45, "36-45", IF(Table3[[#This Row],[Age]] &lt;=55, "46-55", "56+"))))</f>
        <v>56+</v>
      </c>
      <c r="AK1055" t="str">
        <f t="shared" si="16"/>
        <v>Low</v>
      </c>
      <c r="AL1055" s="2" t="str">
        <f>IF(AF1055 &lt; 3, "0-2 Years", IF(AF1055 &lt;= 5, "3-5 Years", IF(AF1055 &lt;= 10, "6-10 Years",IF(Table3[[#This Row],[Years At Company]]&lt;=20, "11-20 Years","20+ Years"))))</f>
        <v>11-20 Years</v>
      </c>
    </row>
    <row r="1056" spans="1:38" x14ac:dyDescent="0.25">
      <c r="A1056" s="2">
        <v>49</v>
      </c>
      <c r="B1056" t="s">
        <v>43</v>
      </c>
      <c r="C1056" t="s">
        <v>36</v>
      </c>
      <c r="D1056" s="2">
        <v>1490</v>
      </c>
      <c r="E1056" t="s">
        <v>45</v>
      </c>
      <c r="F1056" s="2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 s="2">
        <v>10466</v>
      </c>
      <c r="T1056">
        <v>20948</v>
      </c>
      <c r="U1056">
        <v>3</v>
      </c>
      <c r="V1056" t="s">
        <v>42</v>
      </c>
      <c r="W1056" t="s">
        <v>43</v>
      </c>
      <c r="X1056" s="2">
        <v>14</v>
      </c>
      <c r="Y1056">
        <v>3</v>
      </c>
      <c r="Z1056">
        <v>2</v>
      </c>
      <c r="AA1056">
        <v>80</v>
      </c>
      <c r="AB1056">
        <v>2</v>
      </c>
      <c r="AC1056" s="2">
        <v>29</v>
      </c>
      <c r="AD1056">
        <v>3</v>
      </c>
      <c r="AE1056">
        <v>3</v>
      </c>
      <c r="AF1056" s="2">
        <v>8</v>
      </c>
      <c r="AG1056">
        <v>7</v>
      </c>
      <c r="AH1056">
        <v>0</v>
      </c>
      <c r="AI1056">
        <v>7</v>
      </c>
      <c r="AJ1056" s="2" t="str">
        <f>IF(A1056 A1056 &lt;= 25, "18-25", IF(A1056 &lt;=35, "26-35", IF(A1056 &lt;=45, "36-45", IF(Table3[[#This Row],[Age]] &lt;=55, "46-55", "56+"))))</f>
        <v>46-55</v>
      </c>
      <c r="AK1056" t="str">
        <f t="shared" si="16"/>
        <v>High</v>
      </c>
      <c r="AL1056" s="2" t="str">
        <f>IF(AF1056 &lt; 3, "0-2 Years", IF(AF1056 &lt;= 5, "3-5 Years", IF(AF1056 &lt;= 10, "6-10 Years",IF(Table3[[#This Row],[Years At Company]]&lt;=20, "11-20 Years","20+ Years"))))</f>
        <v>6-10 Years</v>
      </c>
    </row>
    <row r="1057" spans="1:38" x14ac:dyDescent="0.25">
      <c r="A1057" s="2">
        <v>34</v>
      </c>
      <c r="B1057" t="s">
        <v>43</v>
      </c>
      <c r="C1057" t="s">
        <v>44</v>
      </c>
      <c r="D1057" s="2">
        <v>829</v>
      </c>
      <c r="E1057" t="s">
        <v>45</v>
      </c>
      <c r="F1057" s="2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 s="2">
        <v>17007</v>
      </c>
      <c r="T1057">
        <v>11929</v>
      </c>
      <c r="U1057">
        <v>7</v>
      </c>
      <c r="V1057" t="s">
        <v>42</v>
      </c>
      <c r="W1057" t="s">
        <v>43</v>
      </c>
      <c r="X1057" s="2">
        <v>14</v>
      </c>
      <c r="Y1057">
        <v>3</v>
      </c>
      <c r="Z1057">
        <v>4</v>
      </c>
      <c r="AA1057">
        <v>80</v>
      </c>
      <c r="AB1057">
        <v>2</v>
      </c>
      <c r="AC1057" s="2">
        <v>16</v>
      </c>
      <c r="AD1057">
        <v>3</v>
      </c>
      <c r="AE1057">
        <v>2</v>
      </c>
      <c r="AF1057" s="2">
        <v>14</v>
      </c>
      <c r="AG1057">
        <v>8</v>
      </c>
      <c r="AH1057">
        <v>6</v>
      </c>
      <c r="AI1057">
        <v>9</v>
      </c>
      <c r="AJ1057" s="2" t="str">
        <f>IF(A1057 A1057 &lt;= 25, "18-25", IF(A1057 &lt;=35, "26-35", IF(A1057 &lt;=45, "36-45", IF(Table3[[#This Row],[Age]] &lt;=55, "46-55", "56+"))))</f>
        <v>26-35</v>
      </c>
      <c r="AK1057" t="str">
        <f t="shared" si="16"/>
        <v>High</v>
      </c>
      <c r="AL1057" s="2" t="str">
        <f>IF(AF1057 &lt; 3, "0-2 Years", IF(AF1057 &lt;= 5, "3-5 Years", IF(AF1057 &lt;= 10, "6-10 Years",IF(Table3[[#This Row],[Years At Company]]&lt;=20, "11-20 Years","20+ Years"))))</f>
        <v>11-20 Years</v>
      </c>
    </row>
    <row r="1058" spans="1:38" x14ac:dyDescent="0.25">
      <c r="A1058" s="2">
        <v>28</v>
      </c>
      <c r="B1058" t="s">
        <v>35</v>
      </c>
      <c r="C1058" t="s">
        <v>44</v>
      </c>
      <c r="D1058" s="2">
        <v>1496</v>
      </c>
      <c r="E1058" t="s">
        <v>37</v>
      </c>
      <c r="F1058" s="2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 s="2">
        <v>2909</v>
      </c>
      <c r="T1058">
        <v>15747</v>
      </c>
      <c r="U1058">
        <v>3</v>
      </c>
      <c r="V1058" t="s">
        <v>42</v>
      </c>
      <c r="W1058" t="s">
        <v>43</v>
      </c>
      <c r="X1058" s="2">
        <v>15</v>
      </c>
      <c r="Y1058">
        <v>3</v>
      </c>
      <c r="Z1058">
        <v>4</v>
      </c>
      <c r="AA1058">
        <v>80</v>
      </c>
      <c r="AB1058">
        <v>1</v>
      </c>
      <c r="AC1058" s="2">
        <v>5</v>
      </c>
      <c r="AD1058">
        <v>3</v>
      </c>
      <c r="AE1058">
        <v>4</v>
      </c>
      <c r="AF1058" s="2">
        <v>3</v>
      </c>
      <c r="AG1058">
        <v>2</v>
      </c>
      <c r="AH1058">
        <v>1</v>
      </c>
      <c r="AI1058">
        <v>2</v>
      </c>
      <c r="AJ1058" s="2" t="str">
        <f>IF(A1058 A1058 &lt;= 25, "18-25", IF(A1058 &lt;=35, "26-35", IF(A1058 &lt;=45, "36-45", IF(Table3[[#This Row],[Age]] &lt;=55, "46-55", "56+"))))</f>
        <v>26-35</v>
      </c>
      <c r="AK1058" t="str">
        <f t="shared" si="16"/>
        <v>Low</v>
      </c>
      <c r="AL1058" s="2" t="str">
        <f>IF(AF1058 &lt; 3, "0-2 Years", IF(AF1058 &lt;= 5, "3-5 Years", IF(AF1058 &lt;= 10, "6-10 Years",IF(Table3[[#This Row],[Years At Company]]&lt;=20, "11-20 Years","20+ Years"))))</f>
        <v>3-5 Years</v>
      </c>
    </row>
    <row r="1059" spans="1:38" x14ac:dyDescent="0.25">
      <c r="A1059" s="2">
        <v>29</v>
      </c>
      <c r="B1059" t="s">
        <v>35</v>
      </c>
      <c r="C1059" t="s">
        <v>44</v>
      </c>
      <c r="D1059" s="2">
        <v>115</v>
      </c>
      <c r="E1059" t="s">
        <v>37</v>
      </c>
      <c r="F1059" s="2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 s="2">
        <v>5765</v>
      </c>
      <c r="T1059">
        <v>17485</v>
      </c>
      <c r="U1059">
        <v>5</v>
      </c>
      <c r="V1059" t="s">
        <v>42</v>
      </c>
      <c r="W1059" t="s">
        <v>43</v>
      </c>
      <c r="X1059" s="2">
        <v>11</v>
      </c>
      <c r="Y1059">
        <v>3</v>
      </c>
      <c r="Z1059">
        <v>1</v>
      </c>
      <c r="AA1059">
        <v>80</v>
      </c>
      <c r="AB1059">
        <v>0</v>
      </c>
      <c r="AC1059" s="2">
        <v>7</v>
      </c>
      <c r="AD1059">
        <v>4</v>
      </c>
      <c r="AE1059">
        <v>1</v>
      </c>
      <c r="AF1059" s="2">
        <v>5</v>
      </c>
      <c r="AG1059">
        <v>3</v>
      </c>
      <c r="AH1059">
        <v>0</v>
      </c>
      <c r="AI1059">
        <v>0</v>
      </c>
      <c r="AJ1059" s="2" t="str">
        <f>IF(A1059 A1059 &lt;= 25, "18-25", IF(A1059 &lt;=35, "26-35", IF(A1059 &lt;=45, "36-45", IF(Table3[[#This Row],[Age]] &lt;=55, "46-55", "56+"))))</f>
        <v>26-35</v>
      </c>
      <c r="AK1059" t="str">
        <f t="shared" si="16"/>
        <v>Medium</v>
      </c>
      <c r="AL1059" s="2" t="str">
        <f>IF(AF1059 &lt; 3, "0-2 Years", IF(AF1059 &lt;= 5, "3-5 Years", IF(AF1059 &lt;= 10, "6-10 Years",IF(Table3[[#This Row],[Years At Company]]&lt;=20, "11-20 Years","20+ Years"))))</f>
        <v>3-5 Years</v>
      </c>
    </row>
    <row r="1060" spans="1:38" x14ac:dyDescent="0.25">
      <c r="A1060" s="2">
        <v>34</v>
      </c>
      <c r="B1060" t="s">
        <v>35</v>
      </c>
      <c r="C1060" t="s">
        <v>36</v>
      </c>
      <c r="D1060" s="2">
        <v>790</v>
      </c>
      <c r="E1060" t="s">
        <v>37</v>
      </c>
      <c r="F1060" s="2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 s="2">
        <v>4599</v>
      </c>
      <c r="T1060">
        <v>7815</v>
      </c>
      <c r="U1060">
        <v>0</v>
      </c>
      <c r="V1060" t="s">
        <v>42</v>
      </c>
      <c r="W1060" t="s">
        <v>35</v>
      </c>
      <c r="X1060" s="2">
        <v>23</v>
      </c>
      <c r="Y1060">
        <v>4</v>
      </c>
      <c r="Z1060">
        <v>3</v>
      </c>
      <c r="AA1060">
        <v>80</v>
      </c>
      <c r="AB1060">
        <v>0</v>
      </c>
      <c r="AC1060" s="2">
        <v>16</v>
      </c>
      <c r="AD1060">
        <v>2</v>
      </c>
      <c r="AE1060">
        <v>4</v>
      </c>
      <c r="AF1060" s="2">
        <v>15</v>
      </c>
      <c r="AG1060">
        <v>9</v>
      </c>
      <c r="AH1060">
        <v>10</v>
      </c>
      <c r="AI1060">
        <v>10</v>
      </c>
      <c r="AJ1060" s="2" t="str">
        <f>IF(A1060 A1060 &lt;= 25, "18-25", IF(A1060 &lt;=35, "26-35", IF(A1060 &lt;=45, "36-45", IF(Table3[[#This Row],[Age]] &lt;=55, "46-55", "56+"))))</f>
        <v>26-35</v>
      </c>
      <c r="AK1060" t="str">
        <f t="shared" si="16"/>
        <v>Low</v>
      </c>
      <c r="AL1060" s="2" t="str">
        <f>IF(AF1060 &lt; 3, "0-2 Years", IF(AF1060 &lt;= 5, "3-5 Years", IF(AF1060 &lt;= 10, "6-10 Years",IF(Table3[[#This Row],[Years At Company]]&lt;=20, "11-20 Years","20+ Years"))))</f>
        <v>11-20 Years</v>
      </c>
    </row>
    <row r="1061" spans="1:38" x14ac:dyDescent="0.25">
      <c r="A1061" s="2">
        <v>35</v>
      </c>
      <c r="B1061" t="s">
        <v>43</v>
      </c>
      <c r="C1061" t="s">
        <v>36</v>
      </c>
      <c r="D1061" s="2">
        <v>660</v>
      </c>
      <c r="E1061" t="s">
        <v>37</v>
      </c>
      <c r="F1061" s="2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 s="2">
        <v>2404</v>
      </c>
      <c r="T1061">
        <v>16192</v>
      </c>
      <c r="U1061">
        <v>1</v>
      </c>
      <c r="V1061" t="s">
        <v>42</v>
      </c>
      <c r="W1061" t="s">
        <v>43</v>
      </c>
      <c r="X1061" s="2">
        <v>13</v>
      </c>
      <c r="Y1061">
        <v>3</v>
      </c>
      <c r="Z1061">
        <v>1</v>
      </c>
      <c r="AA1061">
        <v>80</v>
      </c>
      <c r="AB1061">
        <v>1</v>
      </c>
      <c r="AC1061" s="2">
        <v>1</v>
      </c>
      <c r="AD1061">
        <v>3</v>
      </c>
      <c r="AE1061">
        <v>3</v>
      </c>
      <c r="AF1061" s="2">
        <v>1</v>
      </c>
      <c r="AG1061">
        <v>0</v>
      </c>
      <c r="AH1061">
        <v>0</v>
      </c>
      <c r="AI1061">
        <v>0</v>
      </c>
      <c r="AJ1061" s="2" t="str">
        <f>IF(A1061 A1061 &lt;= 25, "18-25", IF(A1061 &lt;=35, "26-35", IF(A1061 &lt;=45, "36-45", IF(Table3[[#This Row],[Age]] &lt;=55, "46-55", "56+"))))</f>
        <v>26-35</v>
      </c>
      <c r="AK1061" t="str">
        <f t="shared" si="16"/>
        <v>Low</v>
      </c>
      <c r="AL1061" s="2" t="str">
        <f>IF(AF1061 &lt; 3, "0-2 Years", IF(AF1061 &lt;= 5, "3-5 Years", IF(AF1061 &lt;= 10, "6-10 Years",IF(Table3[[#This Row],[Years At Company]]&lt;=20, "11-20 Years","20+ Years"))))</f>
        <v>0-2 Years</v>
      </c>
    </row>
    <row r="1062" spans="1:38" x14ac:dyDescent="0.25">
      <c r="A1062" s="2">
        <v>24</v>
      </c>
      <c r="B1062" t="s">
        <v>35</v>
      </c>
      <c r="C1062" t="s">
        <v>44</v>
      </c>
      <c r="D1062" s="2">
        <v>381</v>
      </c>
      <c r="E1062" t="s">
        <v>45</v>
      </c>
      <c r="F1062" s="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 s="2">
        <v>3172</v>
      </c>
      <c r="T1062">
        <v>16998</v>
      </c>
      <c r="U1062">
        <v>2</v>
      </c>
      <c r="V1062" t="s">
        <v>42</v>
      </c>
      <c r="W1062" t="s">
        <v>35</v>
      </c>
      <c r="X1062" s="2">
        <v>11</v>
      </c>
      <c r="Y1062">
        <v>3</v>
      </c>
      <c r="Z1062">
        <v>3</v>
      </c>
      <c r="AA1062">
        <v>80</v>
      </c>
      <c r="AB1062">
        <v>0</v>
      </c>
      <c r="AC1062" s="2">
        <v>4</v>
      </c>
      <c r="AD1062">
        <v>2</v>
      </c>
      <c r="AE1062">
        <v>2</v>
      </c>
      <c r="AF1062" s="2">
        <v>0</v>
      </c>
      <c r="AG1062">
        <v>0</v>
      </c>
      <c r="AH1062">
        <v>0</v>
      </c>
      <c r="AI1062">
        <v>0</v>
      </c>
      <c r="AJ1062" s="2" t="str">
        <f>IF(A1062 A1062 &lt;= 25, "18-25", IF(A1062 &lt;=35, "26-35", IF(A1062 &lt;=45, "36-45", IF(Table3[[#This Row],[Age]] &lt;=55, "46-55", "56+"))))</f>
        <v>18-25</v>
      </c>
      <c r="AK1062" t="str">
        <f t="shared" si="16"/>
        <v>Low</v>
      </c>
      <c r="AL1062" s="2" t="str">
        <f>IF(AF1062 &lt; 3, "0-2 Years", IF(AF1062 &lt;= 5, "3-5 Years", IF(AF1062 &lt;= 10, "6-10 Years",IF(Table3[[#This Row],[Years At Company]]&lt;=20, "11-20 Years","20+ Years"))))</f>
        <v>0-2 Years</v>
      </c>
    </row>
    <row r="1063" spans="1:38" x14ac:dyDescent="0.25">
      <c r="A1063" s="2">
        <v>24</v>
      </c>
      <c r="B1063" t="s">
        <v>43</v>
      </c>
      <c r="C1063" t="s">
        <v>55</v>
      </c>
      <c r="D1063" s="2">
        <v>830</v>
      </c>
      <c r="E1063" t="s">
        <v>37</v>
      </c>
      <c r="F1063" s="2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 s="2">
        <v>2033</v>
      </c>
      <c r="T1063">
        <v>7103</v>
      </c>
      <c r="U1063">
        <v>1</v>
      </c>
      <c r="V1063" t="s">
        <v>42</v>
      </c>
      <c r="W1063" t="s">
        <v>43</v>
      </c>
      <c r="X1063" s="2">
        <v>13</v>
      </c>
      <c r="Y1063">
        <v>3</v>
      </c>
      <c r="Z1063">
        <v>3</v>
      </c>
      <c r="AA1063">
        <v>80</v>
      </c>
      <c r="AB1063">
        <v>1</v>
      </c>
      <c r="AC1063" s="2">
        <v>1</v>
      </c>
      <c r="AD1063">
        <v>2</v>
      </c>
      <c r="AE1063">
        <v>3</v>
      </c>
      <c r="AF1063" s="2">
        <v>1</v>
      </c>
      <c r="AG1063">
        <v>0</v>
      </c>
      <c r="AH1063">
        <v>0</v>
      </c>
      <c r="AI1063">
        <v>0</v>
      </c>
      <c r="AJ1063" s="2" t="str">
        <f>IF(A1063 A1063 &lt;= 25, "18-25", IF(A1063 &lt;=35, "26-35", IF(A1063 &lt;=45, "36-45", IF(Table3[[#This Row],[Age]] &lt;=55, "46-55", "56+"))))</f>
        <v>18-25</v>
      </c>
      <c r="AK1063" t="str">
        <f t="shared" si="16"/>
        <v>Low</v>
      </c>
      <c r="AL1063" s="2" t="str">
        <f>IF(AF1063 &lt; 3, "0-2 Years", IF(AF1063 &lt;= 5, "3-5 Years", IF(AF1063 &lt;= 10, "6-10 Years",IF(Table3[[#This Row],[Years At Company]]&lt;=20, "11-20 Years","20+ Years"))))</f>
        <v>0-2 Years</v>
      </c>
    </row>
    <row r="1064" spans="1:38" x14ac:dyDescent="0.25">
      <c r="A1064" s="2">
        <v>44</v>
      </c>
      <c r="B1064" t="s">
        <v>43</v>
      </c>
      <c r="C1064" t="s">
        <v>44</v>
      </c>
      <c r="D1064" s="2">
        <v>1193</v>
      </c>
      <c r="E1064" t="s">
        <v>45</v>
      </c>
      <c r="F1064" s="2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 s="2">
        <v>10209</v>
      </c>
      <c r="T1064">
        <v>19719</v>
      </c>
      <c r="U1064">
        <v>5</v>
      </c>
      <c r="V1064" t="s">
        <v>42</v>
      </c>
      <c r="W1064" t="s">
        <v>35</v>
      </c>
      <c r="X1064" s="2">
        <v>18</v>
      </c>
      <c r="Y1064">
        <v>3</v>
      </c>
      <c r="Z1064">
        <v>2</v>
      </c>
      <c r="AA1064">
        <v>80</v>
      </c>
      <c r="AB1064">
        <v>0</v>
      </c>
      <c r="AC1064" s="2">
        <v>16</v>
      </c>
      <c r="AD1064">
        <v>2</v>
      </c>
      <c r="AE1064">
        <v>2</v>
      </c>
      <c r="AF1064" s="2">
        <v>2</v>
      </c>
      <c r="AG1064">
        <v>2</v>
      </c>
      <c r="AH1064">
        <v>2</v>
      </c>
      <c r="AI1064">
        <v>2</v>
      </c>
      <c r="AJ1064" s="2" t="str">
        <f>IF(A1064 A1064 &lt;= 25, "18-25", IF(A1064 &lt;=35, "26-35", IF(A1064 &lt;=45, "36-45", IF(Table3[[#This Row],[Age]] &lt;=55, "46-55", "56+"))))</f>
        <v>36-45</v>
      </c>
      <c r="AK1064" t="str">
        <f t="shared" si="16"/>
        <v>High</v>
      </c>
      <c r="AL1064" s="2" t="str">
        <f>IF(AF1064 &lt; 3, "0-2 Years", IF(AF1064 &lt;= 5, "3-5 Years", IF(AF1064 &lt;= 10, "6-10 Years",IF(Table3[[#This Row],[Years At Company]]&lt;=20, "11-20 Years","20+ Years"))))</f>
        <v>0-2 Years</v>
      </c>
    </row>
    <row r="1065" spans="1:38" x14ac:dyDescent="0.25">
      <c r="A1065" s="2">
        <v>29</v>
      </c>
      <c r="B1065" t="s">
        <v>43</v>
      </c>
      <c r="C1065" t="s">
        <v>36</v>
      </c>
      <c r="D1065" s="2">
        <v>1246</v>
      </c>
      <c r="E1065" t="s">
        <v>37</v>
      </c>
      <c r="F1065" s="2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 s="2">
        <v>8620</v>
      </c>
      <c r="T1065">
        <v>23757</v>
      </c>
      <c r="U1065">
        <v>1</v>
      </c>
      <c r="V1065" t="s">
        <v>42</v>
      </c>
      <c r="W1065" t="s">
        <v>43</v>
      </c>
      <c r="X1065" s="2">
        <v>14</v>
      </c>
      <c r="Y1065">
        <v>3</v>
      </c>
      <c r="Z1065">
        <v>3</v>
      </c>
      <c r="AA1065">
        <v>80</v>
      </c>
      <c r="AB1065">
        <v>2</v>
      </c>
      <c r="AC1065" s="2">
        <v>10</v>
      </c>
      <c r="AD1065">
        <v>3</v>
      </c>
      <c r="AE1065">
        <v>3</v>
      </c>
      <c r="AF1065" s="2">
        <v>10</v>
      </c>
      <c r="AG1065">
        <v>7</v>
      </c>
      <c r="AH1065">
        <v>0</v>
      </c>
      <c r="AI1065">
        <v>4</v>
      </c>
      <c r="AJ1065" s="2" t="str">
        <f>IF(A1065 A1065 &lt;= 25, "18-25", IF(A1065 &lt;=35, "26-35", IF(A1065 &lt;=45, "36-45", IF(Table3[[#This Row],[Age]] &lt;=55, "46-55", "56+"))))</f>
        <v>26-35</v>
      </c>
      <c r="AK1065" t="str">
        <f t="shared" si="16"/>
        <v>Medium</v>
      </c>
      <c r="AL1065" s="2" t="str">
        <f>IF(AF1065 &lt; 3, "0-2 Years", IF(AF1065 &lt;= 5, "3-5 Years", IF(AF1065 &lt;= 10, "6-10 Years",IF(Table3[[#This Row],[Years At Company]]&lt;=20, "11-20 Years","20+ Years"))))</f>
        <v>6-10 Years</v>
      </c>
    </row>
    <row r="1066" spans="1:38" x14ac:dyDescent="0.25">
      <c r="A1066" s="2">
        <v>30</v>
      </c>
      <c r="B1066" t="s">
        <v>43</v>
      </c>
      <c r="C1066" t="s">
        <v>36</v>
      </c>
      <c r="D1066" s="2">
        <v>330</v>
      </c>
      <c r="E1066" t="s">
        <v>61</v>
      </c>
      <c r="F1066" s="2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 s="2">
        <v>2064</v>
      </c>
      <c r="T1066">
        <v>15428</v>
      </c>
      <c r="U1066">
        <v>0</v>
      </c>
      <c r="V1066" t="s">
        <v>42</v>
      </c>
      <c r="W1066" t="s">
        <v>43</v>
      </c>
      <c r="X1066" s="2">
        <v>21</v>
      </c>
      <c r="Y1066">
        <v>4</v>
      </c>
      <c r="Z1066">
        <v>1</v>
      </c>
      <c r="AA1066">
        <v>80</v>
      </c>
      <c r="AB1066">
        <v>1</v>
      </c>
      <c r="AC1066" s="2">
        <v>6</v>
      </c>
      <c r="AD1066">
        <v>3</v>
      </c>
      <c r="AE1066">
        <v>4</v>
      </c>
      <c r="AF1066" s="2">
        <v>5</v>
      </c>
      <c r="AG1066">
        <v>3</v>
      </c>
      <c r="AH1066">
        <v>1</v>
      </c>
      <c r="AI1066">
        <v>3</v>
      </c>
      <c r="AJ1066" s="2" t="str">
        <f>IF(A1066 A1066 &lt;= 25, "18-25", IF(A1066 &lt;=35, "26-35", IF(A1066 &lt;=45, "36-45", IF(Table3[[#This Row],[Age]] &lt;=55, "46-55", "56+"))))</f>
        <v>26-35</v>
      </c>
      <c r="AK1066" t="str">
        <f t="shared" si="16"/>
        <v>Low</v>
      </c>
      <c r="AL1066" s="2" t="str">
        <f>IF(AF1066 &lt; 3, "0-2 Years", IF(AF1066 &lt;= 5, "3-5 Years", IF(AF1066 &lt;= 10, "6-10 Years",IF(Table3[[#This Row],[Years At Company]]&lt;=20, "11-20 Years","20+ Years"))))</f>
        <v>3-5 Years</v>
      </c>
    </row>
    <row r="1067" spans="1:38" x14ac:dyDescent="0.25">
      <c r="A1067" s="2">
        <v>55</v>
      </c>
      <c r="B1067" t="s">
        <v>43</v>
      </c>
      <c r="C1067" t="s">
        <v>36</v>
      </c>
      <c r="D1067" s="2">
        <v>1229</v>
      </c>
      <c r="E1067" t="s">
        <v>45</v>
      </c>
      <c r="F1067" s="2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 s="2">
        <v>4035</v>
      </c>
      <c r="T1067">
        <v>16143</v>
      </c>
      <c r="U1067">
        <v>0</v>
      </c>
      <c r="V1067" t="s">
        <v>42</v>
      </c>
      <c r="W1067" t="s">
        <v>35</v>
      </c>
      <c r="X1067" s="2">
        <v>16</v>
      </c>
      <c r="Y1067">
        <v>3</v>
      </c>
      <c r="Z1067">
        <v>2</v>
      </c>
      <c r="AA1067">
        <v>80</v>
      </c>
      <c r="AB1067">
        <v>0</v>
      </c>
      <c r="AC1067" s="2">
        <v>4</v>
      </c>
      <c r="AD1067">
        <v>2</v>
      </c>
      <c r="AE1067">
        <v>3</v>
      </c>
      <c r="AF1067" s="2">
        <v>3</v>
      </c>
      <c r="AG1067">
        <v>2</v>
      </c>
      <c r="AH1067">
        <v>1</v>
      </c>
      <c r="AI1067">
        <v>2</v>
      </c>
      <c r="AJ1067" s="2" t="str">
        <f>IF(A1067 A1067 &lt;= 25, "18-25", IF(A1067 &lt;=35, "26-35", IF(A1067 &lt;=45, "36-45", IF(Table3[[#This Row],[Age]] &lt;=55, "46-55", "56+"))))</f>
        <v>46-55</v>
      </c>
      <c r="AK1067" t="str">
        <f t="shared" si="16"/>
        <v>Low</v>
      </c>
      <c r="AL1067" s="2" t="str">
        <f>IF(AF1067 &lt; 3, "0-2 Years", IF(AF1067 &lt;= 5, "3-5 Years", IF(AF1067 &lt;= 10, "6-10 Years",IF(Table3[[#This Row],[Years At Company]]&lt;=20, "11-20 Years","20+ Years"))))</f>
        <v>3-5 Years</v>
      </c>
    </row>
    <row r="1068" spans="1:38" x14ac:dyDescent="0.25">
      <c r="A1068" s="2">
        <v>33</v>
      </c>
      <c r="B1068" t="s">
        <v>43</v>
      </c>
      <c r="C1068" t="s">
        <v>36</v>
      </c>
      <c r="D1068" s="2">
        <v>1099</v>
      </c>
      <c r="E1068" t="s">
        <v>45</v>
      </c>
      <c r="F1068" s="2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 s="2">
        <v>3838</v>
      </c>
      <c r="T1068">
        <v>8192</v>
      </c>
      <c r="U1068">
        <v>8</v>
      </c>
      <c r="V1068" t="s">
        <v>42</v>
      </c>
      <c r="W1068" t="s">
        <v>43</v>
      </c>
      <c r="X1068" s="2">
        <v>11</v>
      </c>
      <c r="Y1068">
        <v>3</v>
      </c>
      <c r="Z1068">
        <v>4</v>
      </c>
      <c r="AA1068">
        <v>80</v>
      </c>
      <c r="AB1068">
        <v>0</v>
      </c>
      <c r="AC1068" s="2">
        <v>8</v>
      </c>
      <c r="AD1068">
        <v>5</v>
      </c>
      <c r="AE1068">
        <v>3</v>
      </c>
      <c r="AF1068" s="2">
        <v>5</v>
      </c>
      <c r="AG1068">
        <v>4</v>
      </c>
      <c r="AH1068">
        <v>0</v>
      </c>
      <c r="AI1068">
        <v>2</v>
      </c>
      <c r="AJ1068" s="2" t="str">
        <f>IF(A1068 A1068 &lt;= 25, "18-25", IF(A1068 &lt;=35, "26-35", IF(A1068 &lt;=45, "36-45", IF(Table3[[#This Row],[Age]] &lt;=55, "46-55", "56+"))))</f>
        <v>26-35</v>
      </c>
      <c r="AK1068" t="str">
        <f t="shared" si="16"/>
        <v>Low</v>
      </c>
      <c r="AL1068" s="2" t="str">
        <f>IF(AF1068 &lt; 3, "0-2 Years", IF(AF1068 &lt;= 5, "3-5 Years", IF(AF1068 &lt;= 10, "6-10 Years",IF(Table3[[#This Row],[Years At Company]]&lt;=20, "11-20 Years","20+ Years"))))</f>
        <v>3-5 Years</v>
      </c>
    </row>
    <row r="1069" spans="1:38" x14ac:dyDescent="0.25">
      <c r="A1069" s="2">
        <v>47</v>
      </c>
      <c r="B1069" t="s">
        <v>43</v>
      </c>
      <c r="C1069" t="s">
        <v>36</v>
      </c>
      <c r="D1069" s="2">
        <v>571</v>
      </c>
      <c r="E1069" t="s">
        <v>37</v>
      </c>
      <c r="F1069" s="2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 s="2">
        <v>4591</v>
      </c>
      <c r="T1069">
        <v>24200</v>
      </c>
      <c r="U1069">
        <v>3</v>
      </c>
      <c r="V1069" t="s">
        <v>42</v>
      </c>
      <c r="W1069" t="s">
        <v>35</v>
      </c>
      <c r="X1069" s="2">
        <v>17</v>
      </c>
      <c r="Y1069">
        <v>3</v>
      </c>
      <c r="Z1069">
        <v>3</v>
      </c>
      <c r="AA1069">
        <v>80</v>
      </c>
      <c r="AB1069">
        <v>1</v>
      </c>
      <c r="AC1069" s="2">
        <v>11</v>
      </c>
      <c r="AD1069">
        <v>4</v>
      </c>
      <c r="AE1069">
        <v>2</v>
      </c>
      <c r="AF1069" s="2">
        <v>5</v>
      </c>
      <c r="AG1069">
        <v>4</v>
      </c>
      <c r="AH1069">
        <v>1</v>
      </c>
      <c r="AI1069">
        <v>2</v>
      </c>
      <c r="AJ1069" s="2" t="str">
        <f>IF(A1069 A1069 &lt;= 25, "18-25", IF(A1069 &lt;=35, "26-35", IF(A1069 &lt;=45, "36-45", IF(Table3[[#This Row],[Age]] &lt;=55, "46-55", "56+"))))</f>
        <v>46-55</v>
      </c>
      <c r="AK1069" t="str">
        <f t="shared" si="16"/>
        <v>Low</v>
      </c>
      <c r="AL1069" s="2" t="str">
        <f>IF(AF1069 &lt; 3, "0-2 Years", IF(AF1069 &lt;= 5, "3-5 Years", IF(AF1069 &lt;= 10, "6-10 Years",IF(Table3[[#This Row],[Years At Company]]&lt;=20, "11-20 Years","20+ Years"))))</f>
        <v>3-5 Years</v>
      </c>
    </row>
    <row r="1070" spans="1:38" x14ac:dyDescent="0.25">
      <c r="A1070" s="2">
        <v>28</v>
      </c>
      <c r="B1070" t="s">
        <v>35</v>
      </c>
      <c r="C1070" t="s">
        <v>44</v>
      </c>
      <c r="D1070" s="2">
        <v>289</v>
      </c>
      <c r="E1070" t="s">
        <v>45</v>
      </c>
      <c r="F1070" s="2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 s="2">
        <v>2561</v>
      </c>
      <c r="T1070">
        <v>5355</v>
      </c>
      <c r="U1070">
        <v>7</v>
      </c>
      <c r="V1070" t="s">
        <v>42</v>
      </c>
      <c r="W1070" t="s">
        <v>43</v>
      </c>
      <c r="X1070" s="2">
        <v>11</v>
      </c>
      <c r="Y1070">
        <v>3</v>
      </c>
      <c r="Z1070">
        <v>3</v>
      </c>
      <c r="AA1070">
        <v>80</v>
      </c>
      <c r="AB1070">
        <v>0</v>
      </c>
      <c r="AC1070" s="2">
        <v>8</v>
      </c>
      <c r="AD1070">
        <v>2</v>
      </c>
      <c r="AE1070">
        <v>2</v>
      </c>
      <c r="AF1070" s="2">
        <v>0</v>
      </c>
      <c r="AG1070">
        <v>0</v>
      </c>
      <c r="AH1070">
        <v>0</v>
      </c>
      <c r="AI1070">
        <v>0</v>
      </c>
      <c r="AJ1070" s="2" t="str">
        <f>IF(A1070 A1070 &lt;= 25, "18-25", IF(A1070 &lt;=35, "26-35", IF(A1070 &lt;=45, "36-45", IF(Table3[[#This Row],[Age]] &lt;=55, "46-55", "56+"))))</f>
        <v>26-35</v>
      </c>
      <c r="AK1070" t="str">
        <f t="shared" si="16"/>
        <v>Low</v>
      </c>
      <c r="AL1070" s="2" t="str">
        <f>IF(AF1070 &lt; 3, "0-2 Years", IF(AF1070 &lt;= 5, "3-5 Years", IF(AF1070 &lt;= 10, "6-10 Years",IF(Table3[[#This Row],[Years At Company]]&lt;=20, "11-20 Years","20+ Years"))))</f>
        <v>0-2 Years</v>
      </c>
    </row>
    <row r="1071" spans="1:38" x14ac:dyDescent="0.25">
      <c r="A1071" s="2">
        <v>28</v>
      </c>
      <c r="B1071" t="s">
        <v>43</v>
      </c>
      <c r="C1071" t="s">
        <v>36</v>
      </c>
      <c r="D1071" s="2">
        <v>1423</v>
      </c>
      <c r="E1071" t="s">
        <v>45</v>
      </c>
      <c r="F1071" s="2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 s="2">
        <v>1563</v>
      </c>
      <c r="T1071">
        <v>12530</v>
      </c>
      <c r="U1071">
        <v>1</v>
      </c>
      <c r="V1071" t="s">
        <v>42</v>
      </c>
      <c r="W1071" t="s">
        <v>43</v>
      </c>
      <c r="X1071" s="2">
        <v>14</v>
      </c>
      <c r="Y1071">
        <v>3</v>
      </c>
      <c r="Z1071">
        <v>4</v>
      </c>
      <c r="AA1071">
        <v>80</v>
      </c>
      <c r="AB1071">
        <v>1</v>
      </c>
      <c r="AC1071" s="2">
        <v>1</v>
      </c>
      <c r="AD1071">
        <v>2</v>
      </c>
      <c r="AE1071">
        <v>1</v>
      </c>
      <c r="AF1071" s="2">
        <v>1</v>
      </c>
      <c r="AG1071">
        <v>0</v>
      </c>
      <c r="AH1071">
        <v>0</v>
      </c>
      <c r="AI1071">
        <v>0</v>
      </c>
      <c r="AJ1071" s="2" t="str">
        <f>IF(A1071 A1071 &lt;= 25, "18-25", IF(A1071 &lt;=35, "26-35", IF(A1071 &lt;=45, "36-45", IF(Table3[[#This Row],[Age]] &lt;=55, "46-55", "56+"))))</f>
        <v>26-35</v>
      </c>
      <c r="AK1071" t="str">
        <f t="shared" si="16"/>
        <v>Low</v>
      </c>
      <c r="AL1071" s="2" t="str">
        <f>IF(AF1071 &lt; 3, "0-2 Years", IF(AF1071 &lt;= 5, "3-5 Years", IF(AF1071 &lt;= 10, "6-10 Years",IF(Table3[[#This Row],[Years At Company]]&lt;=20, "11-20 Years","20+ Years"))))</f>
        <v>0-2 Years</v>
      </c>
    </row>
    <row r="1072" spans="1:38" x14ac:dyDescent="0.25">
      <c r="A1072" s="2">
        <v>28</v>
      </c>
      <c r="B1072" t="s">
        <v>43</v>
      </c>
      <c r="C1072" t="s">
        <v>44</v>
      </c>
      <c r="D1072" s="2">
        <v>467</v>
      </c>
      <c r="E1072" t="s">
        <v>37</v>
      </c>
      <c r="F1072" s="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 s="2">
        <v>4898</v>
      </c>
      <c r="T1072">
        <v>11827</v>
      </c>
      <c r="U1072">
        <v>0</v>
      </c>
      <c r="V1072" t="s">
        <v>42</v>
      </c>
      <c r="W1072" t="s">
        <v>43</v>
      </c>
      <c r="X1072" s="2">
        <v>14</v>
      </c>
      <c r="Y1072">
        <v>3</v>
      </c>
      <c r="Z1072">
        <v>4</v>
      </c>
      <c r="AA1072">
        <v>80</v>
      </c>
      <c r="AB1072">
        <v>0</v>
      </c>
      <c r="AC1072" s="2">
        <v>5</v>
      </c>
      <c r="AD1072">
        <v>5</v>
      </c>
      <c r="AE1072">
        <v>3</v>
      </c>
      <c r="AF1072" s="2">
        <v>4</v>
      </c>
      <c r="AG1072">
        <v>2</v>
      </c>
      <c r="AH1072">
        <v>1</v>
      </c>
      <c r="AI1072">
        <v>3</v>
      </c>
      <c r="AJ1072" s="2" t="str">
        <f>IF(A1072 A1072 &lt;= 25, "18-25", IF(A1072 &lt;=35, "26-35", IF(A1072 &lt;=45, "36-45", IF(Table3[[#This Row],[Age]] &lt;=55, "46-55", "56+"))))</f>
        <v>26-35</v>
      </c>
      <c r="AK1072" t="str">
        <f t="shared" si="16"/>
        <v>Low</v>
      </c>
      <c r="AL1072" s="2" t="str">
        <f>IF(AF1072 &lt; 3, "0-2 Years", IF(AF1072 &lt;= 5, "3-5 Years", IF(AF1072 &lt;= 10, "6-10 Years",IF(Table3[[#This Row],[Years At Company]]&lt;=20, "11-20 Years","20+ Years"))))</f>
        <v>3-5 Years</v>
      </c>
    </row>
    <row r="1073" spans="1:38" x14ac:dyDescent="0.25">
      <c r="A1073" s="2">
        <v>49</v>
      </c>
      <c r="B1073" t="s">
        <v>43</v>
      </c>
      <c r="C1073" t="s">
        <v>36</v>
      </c>
      <c r="D1073" s="2">
        <v>271</v>
      </c>
      <c r="E1073" t="s">
        <v>45</v>
      </c>
      <c r="F1073" s="2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 s="2">
        <v>4789</v>
      </c>
      <c r="T1073">
        <v>23070</v>
      </c>
      <c r="U1073">
        <v>4</v>
      </c>
      <c r="V1073" t="s">
        <v>42</v>
      </c>
      <c r="W1073" t="s">
        <v>43</v>
      </c>
      <c r="X1073" s="2">
        <v>25</v>
      </c>
      <c r="Y1073">
        <v>4</v>
      </c>
      <c r="Z1073">
        <v>1</v>
      </c>
      <c r="AA1073">
        <v>80</v>
      </c>
      <c r="AB1073">
        <v>1</v>
      </c>
      <c r="AC1073" s="2">
        <v>10</v>
      </c>
      <c r="AD1073">
        <v>3</v>
      </c>
      <c r="AE1073">
        <v>3</v>
      </c>
      <c r="AF1073" s="2">
        <v>3</v>
      </c>
      <c r="AG1073">
        <v>2</v>
      </c>
      <c r="AH1073">
        <v>1</v>
      </c>
      <c r="AI1073">
        <v>2</v>
      </c>
      <c r="AJ1073" s="2" t="str">
        <f>IF(A1073 A1073 &lt;= 25, "18-25", IF(A1073 &lt;=35, "26-35", IF(A1073 &lt;=45, "36-45", IF(Table3[[#This Row],[Age]] &lt;=55, "46-55", "56+"))))</f>
        <v>46-55</v>
      </c>
      <c r="AK1073" t="str">
        <f t="shared" si="16"/>
        <v>Low</v>
      </c>
      <c r="AL1073" s="2" t="str">
        <f>IF(AF1073 &lt; 3, "0-2 Years", IF(AF1073 &lt;= 5, "3-5 Years", IF(AF1073 &lt;= 10, "6-10 Years",IF(Table3[[#This Row],[Years At Company]]&lt;=20, "11-20 Years","20+ Years"))))</f>
        <v>3-5 Years</v>
      </c>
    </row>
    <row r="1074" spans="1:38" x14ac:dyDescent="0.25">
      <c r="A1074" s="2">
        <v>29</v>
      </c>
      <c r="B1074" t="s">
        <v>43</v>
      </c>
      <c r="C1074" t="s">
        <v>44</v>
      </c>
      <c r="D1074" s="2">
        <v>410</v>
      </c>
      <c r="E1074" t="s">
        <v>45</v>
      </c>
      <c r="F1074" s="2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 s="2">
        <v>3180</v>
      </c>
      <c r="T1074">
        <v>4668</v>
      </c>
      <c r="U1074">
        <v>0</v>
      </c>
      <c r="V1074" t="s">
        <v>42</v>
      </c>
      <c r="W1074" t="s">
        <v>43</v>
      </c>
      <c r="X1074" s="2">
        <v>13</v>
      </c>
      <c r="Y1074">
        <v>3</v>
      </c>
      <c r="Z1074">
        <v>3</v>
      </c>
      <c r="AA1074">
        <v>80</v>
      </c>
      <c r="AB1074">
        <v>3</v>
      </c>
      <c r="AC1074" s="2">
        <v>4</v>
      </c>
      <c r="AD1074">
        <v>3</v>
      </c>
      <c r="AE1074">
        <v>3</v>
      </c>
      <c r="AF1074" s="2">
        <v>3</v>
      </c>
      <c r="AG1074">
        <v>2</v>
      </c>
      <c r="AH1074">
        <v>0</v>
      </c>
      <c r="AI1074">
        <v>2</v>
      </c>
      <c r="AJ1074" s="2" t="str">
        <f>IF(A1074 A1074 &lt;= 25, "18-25", IF(A1074 &lt;=35, "26-35", IF(A1074 &lt;=45, "36-45", IF(Table3[[#This Row],[Age]] &lt;=55, "46-55", "56+"))))</f>
        <v>26-35</v>
      </c>
      <c r="AK1074" t="str">
        <f t="shared" si="16"/>
        <v>Low</v>
      </c>
      <c r="AL1074" s="2" t="str">
        <f>IF(AF1074 &lt; 3, "0-2 Years", IF(AF1074 &lt;= 5, "3-5 Years", IF(AF1074 &lt;= 10, "6-10 Years",IF(Table3[[#This Row],[Years At Company]]&lt;=20, "11-20 Years","20+ Years"))))</f>
        <v>3-5 Years</v>
      </c>
    </row>
    <row r="1075" spans="1:38" x14ac:dyDescent="0.25">
      <c r="A1075" s="2">
        <v>28</v>
      </c>
      <c r="B1075" t="s">
        <v>43</v>
      </c>
      <c r="C1075" t="s">
        <v>36</v>
      </c>
      <c r="D1075" s="2">
        <v>1083</v>
      </c>
      <c r="E1075" t="s">
        <v>45</v>
      </c>
      <c r="F1075" s="2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 s="2">
        <v>6549</v>
      </c>
      <c r="T1075">
        <v>3173</v>
      </c>
      <c r="U1075">
        <v>1</v>
      </c>
      <c r="V1075" t="s">
        <v>42</v>
      </c>
      <c r="W1075" t="s">
        <v>43</v>
      </c>
      <c r="X1075" s="2">
        <v>14</v>
      </c>
      <c r="Y1075">
        <v>3</v>
      </c>
      <c r="Z1075">
        <v>2</v>
      </c>
      <c r="AA1075">
        <v>80</v>
      </c>
      <c r="AB1075">
        <v>2</v>
      </c>
      <c r="AC1075" s="2">
        <v>8</v>
      </c>
      <c r="AD1075">
        <v>2</v>
      </c>
      <c r="AE1075">
        <v>2</v>
      </c>
      <c r="AF1075" s="2">
        <v>8</v>
      </c>
      <c r="AG1075">
        <v>6</v>
      </c>
      <c r="AH1075">
        <v>1</v>
      </c>
      <c r="AI1075">
        <v>7</v>
      </c>
      <c r="AJ1075" s="2" t="str">
        <f>IF(A1075 A1075 &lt;= 25, "18-25", IF(A1075 &lt;=35, "26-35", IF(A1075 &lt;=45, "36-45", IF(Table3[[#This Row],[Age]] &lt;=55, "46-55", "56+"))))</f>
        <v>26-35</v>
      </c>
      <c r="AK1075" t="str">
        <f t="shared" si="16"/>
        <v>Medium</v>
      </c>
      <c r="AL1075" s="2" t="str">
        <f>IF(AF1075 &lt; 3, "0-2 Years", IF(AF1075 &lt;= 5, "3-5 Years", IF(AF1075 &lt;= 10, "6-10 Years",IF(Table3[[#This Row],[Years At Company]]&lt;=20, "11-20 Years","20+ Years"))))</f>
        <v>6-10 Years</v>
      </c>
    </row>
    <row r="1076" spans="1:38" x14ac:dyDescent="0.25">
      <c r="A1076" s="2">
        <v>33</v>
      </c>
      <c r="B1076" t="s">
        <v>43</v>
      </c>
      <c r="C1076" t="s">
        <v>36</v>
      </c>
      <c r="D1076" s="2">
        <v>516</v>
      </c>
      <c r="E1076" t="s">
        <v>45</v>
      </c>
      <c r="F1076" s="2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 s="2">
        <v>6388</v>
      </c>
      <c r="T1076">
        <v>22049</v>
      </c>
      <c r="U1076">
        <v>2</v>
      </c>
      <c r="V1076" t="s">
        <v>42</v>
      </c>
      <c r="W1076" t="s">
        <v>35</v>
      </c>
      <c r="X1076" s="2">
        <v>17</v>
      </c>
      <c r="Y1076">
        <v>3</v>
      </c>
      <c r="Z1076">
        <v>1</v>
      </c>
      <c r="AA1076">
        <v>80</v>
      </c>
      <c r="AB1076">
        <v>0</v>
      </c>
      <c r="AC1076" s="2">
        <v>14</v>
      </c>
      <c r="AD1076">
        <v>6</v>
      </c>
      <c r="AE1076">
        <v>3</v>
      </c>
      <c r="AF1076" s="2">
        <v>0</v>
      </c>
      <c r="AG1076">
        <v>0</v>
      </c>
      <c r="AH1076">
        <v>0</v>
      </c>
      <c r="AI1076">
        <v>0</v>
      </c>
      <c r="AJ1076" s="2" t="str">
        <f>IF(A1076 A1076 &lt;= 25, "18-25", IF(A1076 &lt;=35, "26-35", IF(A1076 &lt;=45, "36-45", IF(Table3[[#This Row],[Age]] &lt;=55, "46-55", "56+"))))</f>
        <v>26-35</v>
      </c>
      <c r="AK1076" t="str">
        <f t="shared" si="16"/>
        <v>Medium</v>
      </c>
      <c r="AL1076" s="2" t="str">
        <f>IF(AF1076 &lt; 3, "0-2 Years", IF(AF1076 &lt;= 5, "3-5 Years", IF(AF1076 &lt;= 10, "6-10 Years",IF(Table3[[#This Row],[Years At Company]]&lt;=20, "11-20 Years","20+ Years"))))</f>
        <v>0-2 Years</v>
      </c>
    </row>
    <row r="1077" spans="1:38" x14ac:dyDescent="0.25">
      <c r="A1077" s="2">
        <v>32</v>
      </c>
      <c r="B1077" t="s">
        <v>43</v>
      </c>
      <c r="C1077" t="s">
        <v>36</v>
      </c>
      <c r="D1077" s="2">
        <v>495</v>
      </c>
      <c r="E1077" t="s">
        <v>45</v>
      </c>
      <c r="F1077" s="2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 s="2">
        <v>11244</v>
      </c>
      <c r="T1077">
        <v>21072</v>
      </c>
      <c r="U1077">
        <v>2</v>
      </c>
      <c r="V1077" t="s">
        <v>42</v>
      </c>
      <c r="W1077" t="s">
        <v>43</v>
      </c>
      <c r="X1077" s="2">
        <v>25</v>
      </c>
      <c r="Y1077">
        <v>4</v>
      </c>
      <c r="Z1077">
        <v>2</v>
      </c>
      <c r="AA1077">
        <v>80</v>
      </c>
      <c r="AB1077">
        <v>0</v>
      </c>
      <c r="AC1077" s="2">
        <v>10</v>
      </c>
      <c r="AD1077">
        <v>5</v>
      </c>
      <c r="AE1077">
        <v>4</v>
      </c>
      <c r="AF1077" s="2">
        <v>5</v>
      </c>
      <c r="AG1077">
        <v>2</v>
      </c>
      <c r="AH1077">
        <v>0</v>
      </c>
      <c r="AI1077">
        <v>0</v>
      </c>
      <c r="AJ1077" s="2" t="str">
        <f>IF(A1077 A1077 &lt;= 25, "18-25", IF(A1077 &lt;=35, "26-35", IF(A1077 &lt;=45, "36-45", IF(Table3[[#This Row],[Age]] &lt;=55, "46-55", "56+"))))</f>
        <v>26-35</v>
      </c>
      <c r="AK1077" t="str">
        <f t="shared" si="16"/>
        <v>High</v>
      </c>
      <c r="AL1077" s="2" t="str">
        <f>IF(AF1077 &lt; 3, "0-2 Years", IF(AF1077 &lt;= 5, "3-5 Years", IF(AF1077 &lt;= 10, "6-10 Years",IF(Table3[[#This Row],[Years At Company]]&lt;=20, "11-20 Years","20+ Years"))))</f>
        <v>3-5 Years</v>
      </c>
    </row>
    <row r="1078" spans="1:38" x14ac:dyDescent="0.25">
      <c r="A1078" s="2">
        <v>54</v>
      </c>
      <c r="B1078" t="s">
        <v>43</v>
      </c>
      <c r="C1078" t="s">
        <v>44</v>
      </c>
      <c r="D1078" s="2">
        <v>1050</v>
      </c>
      <c r="E1078" t="s">
        <v>45</v>
      </c>
      <c r="F1078" s="2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 s="2">
        <v>16032</v>
      </c>
      <c r="T1078">
        <v>24456</v>
      </c>
      <c r="U1078">
        <v>3</v>
      </c>
      <c r="V1078" t="s">
        <v>42</v>
      </c>
      <c r="W1078" t="s">
        <v>43</v>
      </c>
      <c r="X1078" s="2">
        <v>20</v>
      </c>
      <c r="Y1078">
        <v>4</v>
      </c>
      <c r="Z1078">
        <v>1</v>
      </c>
      <c r="AA1078">
        <v>80</v>
      </c>
      <c r="AB1078">
        <v>1</v>
      </c>
      <c r="AC1078" s="2">
        <v>26</v>
      </c>
      <c r="AD1078">
        <v>2</v>
      </c>
      <c r="AE1078">
        <v>3</v>
      </c>
      <c r="AF1078" s="2">
        <v>14</v>
      </c>
      <c r="AG1078">
        <v>9</v>
      </c>
      <c r="AH1078">
        <v>1</v>
      </c>
      <c r="AI1078">
        <v>12</v>
      </c>
      <c r="AJ1078" s="2" t="str">
        <f>IF(A1078 A1078 &lt;= 25, "18-25", IF(A1078 &lt;=35, "26-35", IF(A1078 &lt;=45, "36-45", IF(Table3[[#This Row],[Age]] &lt;=55, "46-55", "56+"))))</f>
        <v>46-55</v>
      </c>
      <c r="AK1078" t="str">
        <f t="shared" si="16"/>
        <v>High</v>
      </c>
      <c r="AL1078" s="2" t="str">
        <f>IF(AF1078 &lt; 3, "0-2 Years", IF(AF1078 &lt;= 5, "3-5 Years", IF(AF1078 &lt;= 10, "6-10 Years",IF(Table3[[#This Row],[Years At Company]]&lt;=20, "11-20 Years","20+ Years"))))</f>
        <v>11-20 Years</v>
      </c>
    </row>
    <row r="1079" spans="1:38" x14ac:dyDescent="0.25">
      <c r="A1079" s="2">
        <v>29</v>
      </c>
      <c r="B1079" t="s">
        <v>35</v>
      </c>
      <c r="C1079" t="s">
        <v>36</v>
      </c>
      <c r="D1079" s="2">
        <v>224</v>
      </c>
      <c r="E1079" t="s">
        <v>45</v>
      </c>
      <c r="F1079" s="2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 s="2">
        <v>2362</v>
      </c>
      <c r="T1079">
        <v>7568</v>
      </c>
      <c r="U1079">
        <v>6</v>
      </c>
      <c r="V1079" t="s">
        <v>42</v>
      </c>
      <c r="W1079" t="s">
        <v>43</v>
      </c>
      <c r="X1079" s="2">
        <v>13</v>
      </c>
      <c r="Y1079">
        <v>3</v>
      </c>
      <c r="Z1079">
        <v>3</v>
      </c>
      <c r="AA1079">
        <v>80</v>
      </c>
      <c r="AB1079">
        <v>0</v>
      </c>
      <c r="AC1079" s="2">
        <v>11</v>
      </c>
      <c r="AD1079">
        <v>2</v>
      </c>
      <c r="AE1079">
        <v>1</v>
      </c>
      <c r="AF1079" s="2">
        <v>9</v>
      </c>
      <c r="AG1079">
        <v>7</v>
      </c>
      <c r="AH1079">
        <v>0</v>
      </c>
      <c r="AI1079">
        <v>7</v>
      </c>
      <c r="AJ1079" s="2" t="str">
        <f>IF(A1079 A1079 &lt;= 25, "18-25", IF(A1079 &lt;=35, "26-35", IF(A1079 &lt;=45, "36-45", IF(Table3[[#This Row],[Age]] &lt;=55, "46-55", "56+"))))</f>
        <v>26-35</v>
      </c>
      <c r="AK1079" t="str">
        <f t="shared" si="16"/>
        <v>Low</v>
      </c>
      <c r="AL1079" s="2" t="str">
        <f>IF(AF1079 &lt; 3, "0-2 Years", IF(AF1079 &lt;= 5, "3-5 Years", IF(AF1079 &lt;= 10, "6-10 Years",IF(Table3[[#This Row],[Years At Company]]&lt;=20, "11-20 Years","20+ Years"))))</f>
        <v>6-10 Years</v>
      </c>
    </row>
    <row r="1080" spans="1:38" x14ac:dyDescent="0.25">
      <c r="A1080" s="2">
        <v>44</v>
      </c>
      <c r="B1080" t="s">
        <v>43</v>
      </c>
      <c r="C1080" t="s">
        <v>36</v>
      </c>
      <c r="D1080" s="2">
        <v>136</v>
      </c>
      <c r="E1080" t="s">
        <v>45</v>
      </c>
      <c r="F1080" s="2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 s="2">
        <v>16328</v>
      </c>
      <c r="T1080">
        <v>22074</v>
      </c>
      <c r="U1080">
        <v>3</v>
      </c>
      <c r="V1080" t="s">
        <v>42</v>
      </c>
      <c r="W1080" t="s">
        <v>43</v>
      </c>
      <c r="X1080" s="2">
        <v>13</v>
      </c>
      <c r="Y1080">
        <v>3</v>
      </c>
      <c r="Z1080">
        <v>3</v>
      </c>
      <c r="AA1080">
        <v>80</v>
      </c>
      <c r="AB1080">
        <v>1</v>
      </c>
      <c r="AC1080" s="2">
        <v>24</v>
      </c>
      <c r="AD1080">
        <v>1</v>
      </c>
      <c r="AE1080">
        <v>4</v>
      </c>
      <c r="AF1080" s="2">
        <v>20</v>
      </c>
      <c r="AG1080">
        <v>6</v>
      </c>
      <c r="AH1080">
        <v>14</v>
      </c>
      <c r="AI1080">
        <v>17</v>
      </c>
      <c r="AJ1080" s="2" t="str">
        <f>IF(A1080 A1080 &lt;= 25, "18-25", IF(A1080 &lt;=35, "26-35", IF(A1080 &lt;=45, "36-45", IF(Table3[[#This Row],[Age]] &lt;=55, "46-55", "56+"))))</f>
        <v>36-45</v>
      </c>
      <c r="AK1080" t="str">
        <f t="shared" si="16"/>
        <v>High</v>
      </c>
      <c r="AL1080" s="2" t="str">
        <f>IF(AF1080 &lt; 3, "0-2 Years", IF(AF1080 &lt;= 5, "3-5 Years", IF(AF1080 &lt;= 10, "6-10 Years",IF(Table3[[#This Row],[Years At Company]]&lt;=20, "11-20 Years","20+ Years"))))</f>
        <v>11-20 Years</v>
      </c>
    </row>
    <row r="1081" spans="1:38" x14ac:dyDescent="0.25">
      <c r="A1081" s="2">
        <v>39</v>
      </c>
      <c r="B1081" t="s">
        <v>43</v>
      </c>
      <c r="C1081" t="s">
        <v>36</v>
      </c>
      <c r="D1081" s="2">
        <v>1089</v>
      </c>
      <c r="E1081" t="s">
        <v>45</v>
      </c>
      <c r="F1081" s="2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 s="2">
        <v>8376</v>
      </c>
      <c r="T1081">
        <v>9150</v>
      </c>
      <c r="U1081">
        <v>4</v>
      </c>
      <c r="V1081" t="s">
        <v>42</v>
      </c>
      <c r="W1081" t="s">
        <v>43</v>
      </c>
      <c r="X1081" s="2">
        <v>18</v>
      </c>
      <c r="Y1081">
        <v>3</v>
      </c>
      <c r="Z1081">
        <v>4</v>
      </c>
      <c r="AA1081">
        <v>80</v>
      </c>
      <c r="AB1081">
        <v>0</v>
      </c>
      <c r="AC1081" s="2">
        <v>9</v>
      </c>
      <c r="AD1081">
        <v>3</v>
      </c>
      <c r="AE1081">
        <v>3</v>
      </c>
      <c r="AF1081" s="2">
        <v>2</v>
      </c>
      <c r="AG1081">
        <v>0</v>
      </c>
      <c r="AH1081">
        <v>2</v>
      </c>
      <c r="AI1081">
        <v>2</v>
      </c>
      <c r="AJ1081" s="2" t="str">
        <f>IF(A1081 A1081 &lt;= 25, "18-25", IF(A1081 &lt;=35, "26-35", IF(A1081 &lt;=45, "36-45", IF(Table3[[#This Row],[Age]] &lt;=55, "46-55", "56+"))))</f>
        <v>36-45</v>
      </c>
      <c r="AK1081" t="str">
        <f t="shared" si="16"/>
        <v>Medium</v>
      </c>
      <c r="AL1081" s="2" t="str">
        <f>IF(AF1081 &lt; 3, "0-2 Years", IF(AF1081 &lt;= 5, "3-5 Years", IF(AF1081 &lt;= 10, "6-10 Years",IF(Table3[[#This Row],[Years At Company]]&lt;=20, "11-20 Years","20+ Years"))))</f>
        <v>0-2 Years</v>
      </c>
    </row>
    <row r="1082" spans="1:38" x14ac:dyDescent="0.25">
      <c r="A1082" s="2">
        <v>46</v>
      </c>
      <c r="B1082" t="s">
        <v>43</v>
      </c>
      <c r="C1082" t="s">
        <v>36</v>
      </c>
      <c r="D1082" s="2">
        <v>228</v>
      </c>
      <c r="E1082" t="s">
        <v>37</v>
      </c>
      <c r="F1082" s="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 s="2">
        <v>16606</v>
      </c>
      <c r="T1082">
        <v>11380</v>
      </c>
      <c r="U1082">
        <v>8</v>
      </c>
      <c r="V1082" t="s">
        <v>42</v>
      </c>
      <c r="W1082" t="s">
        <v>43</v>
      </c>
      <c r="X1082" s="2">
        <v>12</v>
      </c>
      <c r="Y1082">
        <v>3</v>
      </c>
      <c r="Z1082">
        <v>4</v>
      </c>
      <c r="AA1082">
        <v>80</v>
      </c>
      <c r="AB1082">
        <v>1</v>
      </c>
      <c r="AC1082" s="2">
        <v>23</v>
      </c>
      <c r="AD1082">
        <v>2</v>
      </c>
      <c r="AE1082">
        <v>4</v>
      </c>
      <c r="AF1082" s="2">
        <v>13</v>
      </c>
      <c r="AG1082">
        <v>12</v>
      </c>
      <c r="AH1082">
        <v>5</v>
      </c>
      <c r="AI1082">
        <v>1</v>
      </c>
      <c r="AJ1082" s="2" t="str">
        <f>IF(A1082 A1082 &lt;= 25, "18-25", IF(A1082 &lt;=35, "26-35", IF(A1082 &lt;=45, "36-45", IF(Table3[[#This Row],[Age]] &lt;=55, "46-55", "56+"))))</f>
        <v>46-55</v>
      </c>
      <c r="AK1082" t="str">
        <f t="shared" si="16"/>
        <v>High</v>
      </c>
      <c r="AL1082" s="2" t="str">
        <f>IF(AF1082 &lt; 3, "0-2 Years", IF(AF1082 &lt;= 5, "3-5 Years", IF(AF1082 &lt;= 10, "6-10 Years",IF(Table3[[#This Row],[Years At Company]]&lt;=20, "11-20 Years","20+ Years"))))</f>
        <v>11-20 Years</v>
      </c>
    </row>
    <row r="1083" spans="1:38" x14ac:dyDescent="0.25">
      <c r="A1083" s="2">
        <v>35</v>
      </c>
      <c r="B1083" t="s">
        <v>43</v>
      </c>
      <c r="C1083" t="s">
        <v>36</v>
      </c>
      <c r="D1083" s="2">
        <v>1029</v>
      </c>
      <c r="E1083" t="s">
        <v>45</v>
      </c>
      <c r="F1083" s="2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 s="2">
        <v>8606</v>
      </c>
      <c r="T1083">
        <v>21195</v>
      </c>
      <c r="U1083">
        <v>1</v>
      </c>
      <c r="V1083" t="s">
        <v>42</v>
      </c>
      <c r="W1083" t="s">
        <v>43</v>
      </c>
      <c r="X1083" s="2">
        <v>19</v>
      </c>
      <c r="Y1083">
        <v>3</v>
      </c>
      <c r="Z1083">
        <v>4</v>
      </c>
      <c r="AA1083">
        <v>80</v>
      </c>
      <c r="AB1083">
        <v>0</v>
      </c>
      <c r="AC1083" s="2">
        <v>11</v>
      </c>
      <c r="AD1083">
        <v>3</v>
      </c>
      <c r="AE1083">
        <v>1</v>
      </c>
      <c r="AF1083" s="2">
        <v>11</v>
      </c>
      <c r="AG1083">
        <v>8</v>
      </c>
      <c r="AH1083">
        <v>3</v>
      </c>
      <c r="AI1083">
        <v>3</v>
      </c>
      <c r="AJ1083" s="2" t="str">
        <f>IF(A1083 A1083 &lt;= 25, "18-25", IF(A1083 &lt;=35, "26-35", IF(A1083 &lt;=45, "36-45", IF(Table3[[#This Row],[Age]] &lt;=55, "46-55", "56+"))))</f>
        <v>26-35</v>
      </c>
      <c r="AK1083" t="str">
        <f t="shared" si="16"/>
        <v>Medium</v>
      </c>
      <c r="AL1083" s="2" t="str">
        <f>IF(AF1083 &lt; 3, "0-2 Years", IF(AF1083 &lt;= 5, "3-5 Years", IF(AF1083 &lt;= 10, "6-10 Years",IF(Table3[[#This Row],[Years At Company]]&lt;=20, "11-20 Years","20+ Years"))))</f>
        <v>11-20 Years</v>
      </c>
    </row>
    <row r="1084" spans="1:38" x14ac:dyDescent="0.25">
      <c r="A1084" s="2">
        <v>23</v>
      </c>
      <c r="B1084" t="s">
        <v>43</v>
      </c>
      <c r="C1084" t="s">
        <v>36</v>
      </c>
      <c r="D1084" s="2">
        <v>507</v>
      </c>
      <c r="E1084" t="s">
        <v>45</v>
      </c>
      <c r="F1084" s="2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 s="2">
        <v>2272</v>
      </c>
      <c r="T1084">
        <v>24812</v>
      </c>
      <c r="U1084">
        <v>0</v>
      </c>
      <c r="V1084" t="s">
        <v>42</v>
      </c>
      <c r="W1084" t="s">
        <v>43</v>
      </c>
      <c r="X1084" s="2">
        <v>14</v>
      </c>
      <c r="Y1084">
        <v>3</v>
      </c>
      <c r="Z1084">
        <v>2</v>
      </c>
      <c r="AA1084">
        <v>80</v>
      </c>
      <c r="AB1084">
        <v>0</v>
      </c>
      <c r="AC1084" s="2">
        <v>5</v>
      </c>
      <c r="AD1084">
        <v>2</v>
      </c>
      <c r="AE1084">
        <v>3</v>
      </c>
      <c r="AF1084" s="2">
        <v>4</v>
      </c>
      <c r="AG1084">
        <v>3</v>
      </c>
      <c r="AH1084">
        <v>1</v>
      </c>
      <c r="AI1084">
        <v>2</v>
      </c>
      <c r="AJ1084" s="2" t="str">
        <f>IF(A1084 A1084 &lt;= 25, "18-25", IF(A1084 &lt;=35, "26-35", IF(A1084 &lt;=45, "36-45", IF(Table3[[#This Row],[Age]] &lt;=55, "46-55", "56+"))))</f>
        <v>18-25</v>
      </c>
      <c r="AK1084" t="str">
        <f t="shared" si="16"/>
        <v>Low</v>
      </c>
      <c r="AL1084" s="2" t="str">
        <f>IF(AF1084 &lt; 3, "0-2 Years", IF(AF1084 &lt;= 5, "3-5 Years", IF(AF1084 &lt;= 10, "6-10 Years",IF(Table3[[#This Row],[Years At Company]]&lt;=20, "11-20 Years","20+ Years"))))</f>
        <v>3-5 Years</v>
      </c>
    </row>
    <row r="1085" spans="1:38" x14ac:dyDescent="0.25">
      <c r="A1085" s="2">
        <v>40</v>
      </c>
      <c r="B1085" t="s">
        <v>35</v>
      </c>
      <c r="C1085" t="s">
        <v>36</v>
      </c>
      <c r="D1085" s="2">
        <v>676</v>
      </c>
      <c r="E1085" t="s">
        <v>45</v>
      </c>
      <c r="F1085" s="2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 s="2">
        <v>2018</v>
      </c>
      <c r="T1085">
        <v>21831</v>
      </c>
      <c r="U1085">
        <v>3</v>
      </c>
      <c r="V1085" t="s">
        <v>42</v>
      </c>
      <c r="W1085" t="s">
        <v>43</v>
      </c>
      <c r="X1085" s="2">
        <v>14</v>
      </c>
      <c r="Y1085">
        <v>3</v>
      </c>
      <c r="Z1085">
        <v>2</v>
      </c>
      <c r="AA1085">
        <v>80</v>
      </c>
      <c r="AB1085">
        <v>0</v>
      </c>
      <c r="AC1085" s="2">
        <v>15</v>
      </c>
      <c r="AD1085">
        <v>3</v>
      </c>
      <c r="AE1085">
        <v>1</v>
      </c>
      <c r="AF1085" s="2">
        <v>5</v>
      </c>
      <c r="AG1085">
        <v>4</v>
      </c>
      <c r="AH1085">
        <v>1</v>
      </c>
      <c r="AI1085">
        <v>0</v>
      </c>
      <c r="AJ1085" s="2" t="str">
        <f>IF(A1085 A1085 &lt;= 25, "18-25", IF(A1085 &lt;=35, "26-35", IF(A1085 &lt;=45, "36-45", IF(Table3[[#This Row],[Age]] &lt;=55, "46-55", "56+"))))</f>
        <v>36-45</v>
      </c>
      <c r="AK1085" t="str">
        <f t="shared" si="16"/>
        <v>Low</v>
      </c>
      <c r="AL1085" s="2" t="str">
        <f>IF(AF1085 &lt; 3, "0-2 Years", IF(AF1085 &lt;= 5, "3-5 Years", IF(AF1085 &lt;= 10, "6-10 Years",IF(Table3[[#This Row],[Years At Company]]&lt;=20, "11-20 Years","20+ Years"))))</f>
        <v>3-5 Years</v>
      </c>
    </row>
    <row r="1086" spans="1:38" x14ac:dyDescent="0.25">
      <c r="A1086" s="2">
        <v>34</v>
      </c>
      <c r="B1086" t="s">
        <v>43</v>
      </c>
      <c r="C1086" t="s">
        <v>36</v>
      </c>
      <c r="D1086" s="2">
        <v>971</v>
      </c>
      <c r="E1086" t="s">
        <v>37</v>
      </c>
      <c r="F1086" s="2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 s="2">
        <v>7083</v>
      </c>
      <c r="T1086">
        <v>12288</v>
      </c>
      <c r="U1086">
        <v>1</v>
      </c>
      <c r="V1086" t="s">
        <v>42</v>
      </c>
      <c r="W1086" t="s">
        <v>35</v>
      </c>
      <c r="X1086" s="2">
        <v>14</v>
      </c>
      <c r="Y1086">
        <v>3</v>
      </c>
      <c r="Z1086">
        <v>4</v>
      </c>
      <c r="AA1086">
        <v>80</v>
      </c>
      <c r="AB1086">
        <v>0</v>
      </c>
      <c r="AC1086" s="2">
        <v>10</v>
      </c>
      <c r="AD1086">
        <v>3</v>
      </c>
      <c r="AE1086">
        <v>3</v>
      </c>
      <c r="AF1086" s="2">
        <v>10</v>
      </c>
      <c r="AG1086">
        <v>9</v>
      </c>
      <c r="AH1086">
        <v>8</v>
      </c>
      <c r="AI1086">
        <v>6</v>
      </c>
      <c r="AJ1086" s="2" t="str">
        <f>IF(A1086 A1086 &lt;= 25, "18-25", IF(A1086 &lt;=35, "26-35", IF(A1086 &lt;=45, "36-45", IF(Table3[[#This Row],[Age]] &lt;=55, "46-55", "56+"))))</f>
        <v>26-35</v>
      </c>
      <c r="AK1086" t="str">
        <f t="shared" si="16"/>
        <v>Medium</v>
      </c>
      <c r="AL1086" s="2" t="str">
        <f>IF(AF1086 &lt; 3, "0-2 Years", IF(AF1086 &lt;= 5, "3-5 Years", IF(AF1086 &lt;= 10, "6-10 Years",IF(Table3[[#This Row],[Years At Company]]&lt;=20, "11-20 Years","20+ Years"))))</f>
        <v>6-10 Years</v>
      </c>
    </row>
    <row r="1087" spans="1:38" x14ac:dyDescent="0.25">
      <c r="A1087" s="2">
        <v>31</v>
      </c>
      <c r="B1087" t="s">
        <v>35</v>
      </c>
      <c r="C1087" t="s">
        <v>44</v>
      </c>
      <c r="D1087" s="2">
        <v>561</v>
      </c>
      <c r="E1087" t="s">
        <v>45</v>
      </c>
      <c r="F1087" s="2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 s="2">
        <v>4084</v>
      </c>
      <c r="T1087">
        <v>4156</v>
      </c>
      <c r="U1087">
        <v>1</v>
      </c>
      <c r="V1087" t="s">
        <v>42</v>
      </c>
      <c r="W1087" t="s">
        <v>43</v>
      </c>
      <c r="X1087" s="2">
        <v>12</v>
      </c>
      <c r="Y1087">
        <v>3</v>
      </c>
      <c r="Z1087">
        <v>1</v>
      </c>
      <c r="AA1087">
        <v>80</v>
      </c>
      <c r="AB1087">
        <v>0</v>
      </c>
      <c r="AC1087" s="2">
        <v>7</v>
      </c>
      <c r="AD1087">
        <v>2</v>
      </c>
      <c r="AE1087">
        <v>1</v>
      </c>
      <c r="AF1087" s="2">
        <v>7</v>
      </c>
      <c r="AG1087">
        <v>2</v>
      </c>
      <c r="AH1087">
        <v>7</v>
      </c>
      <c r="AI1087">
        <v>7</v>
      </c>
      <c r="AJ1087" s="2" t="str">
        <f>IF(A1087 A1087 &lt;= 25, "18-25", IF(A1087 &lt;=35, "26-35", IF(A1087 &lt;=45, "36-45", IF(Table3[[#This Row],[Age]] &lt;=55, "46-55", "56+"))))</f>
        <v>26-35</v>
      </c>
      <c r="AK1087" t="str">
        <f t="shared" si="16"/>
        <v>Low</v>
      </c>
      <c r="AL1087" s="2" t="str">
        <f>IF(AF1087 &lt; 3, "0-2 Years", IF(AF1087 &lt;= 5, "3-5 Years", IF(AF1087 &lt;= 10, "6-10 Years",IF(Table3[[#This Row],[Years At Company]]&lt;=20, "11-20 Years","20+ Years"))))</f>
        <v>6-10 Years</v>
      </c>
    </row>
    <row r="1088" spans="1:38" x14ac:dyDescent="0.25">
      <c r="A1088" s="2">
        <v>50</v>
      </c>
      <c r="B1088" t="s">
        <v>43</v>
      </c>
      <c r="C1088" t="s">
        <v>44</v>
      </c>
      <c r="D1088" s="2">
        <v>333</v>
      </c>
      <c r="E1088" t="s">
        <v>45</v>
      </c>
      <c r="F1088" s="2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 s="2">
        <v>14411</v>
      </c>
      <c r="T1088">
        <v>24450</v>
      </c>
      <c r="U1088">
        <v>1</v>
      </c>
      <c r="V1088" t="s">
        <v>42</v>
      </c>
      <c r="W1088" t="s">
        <v>35</v>
      </c>
      <c r="X1088" s="2">
        <v>13</v>
      </c>
      <c r="Y1088">
        <v>3</v>
      </c>
      <c r="Z1088">
        <v>4</v>
      </c>
      <c r="AA1088">
        <v>80</v>
      </c>
      <c r="AB1088">
        <v>0</v>
      </c>
      <c r="AC1088" s="2">
        <v>32</v>
      </c>
      <c r="AD1088">
        <v>2</v>
      </c>
      <c r="AE1088">
        <v>3</v>
      </c>
      <c r="AF1088" s="2">
        <v>32</v>
      </c>
      <c r="AG1088">
        <v>6</v>
      </c>
      <c r="AH1088">
        <v>13</v>
      </c>
      <c r="AI1088">
        <v>9</v>
      </c>
      <c r="AJ1088" s="2" t="str">
        <f>IF(A1088 A1088 &lt;= 25, "18-25", IF(A1088 &lt;=35, "26-35", IF(A1088 &lt;=45, "36-45", IF(Table3[[#This Row],[Age]] &lt;=55, "46-55", "56+"))))</f>
        <v>46-55</v>
      </c>
      <c r="AK1088" t="str">
        <f t="shared" si="16"/>
        <v>High</v>
      </c>
      <c r="AL1088" s="2" t="str">
        <f>IF(AF1088 &lt; 3, "0-2 Years", IF(AF1088 &lt;= 5, "3-5 Years", IF(AF1088 &lt;= 10, "6-10 Years",IF(Table3[[#This Row],[Years At Company]]&lt;=20, "11-20 Years","20+ Years"))))</f>
        <v>20+ Years</v>
      </c>
    </row>
    <row r="1089" spans="1:38" x14ac:dyDescent="0.25">
      <c r="A1089" s="2">
        <v>34</v>
      </c>
      <c r="B1089" t="s">
        <v>43</v>
      </c>
      <c r="C1089" t="s">
        <v>36</v>
      </c>
      <c r="D1089" s="2">
        <v>1440</v>
      </c>
      <c r="E1089" t="s">
        <v>37</v>
      </c>
      <c r="F1089" s="2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 s="2">
        <v>2308</v>
      </c>
      <c r="T1089">
        <v>4944</v>
      </c>
      <c r="U1089">
        <v>0</v>
      </c>
      <c r="V1089" t="s">
        <v>42</v>
      </c>
      <c r="W1089" t="s">
        <v>35</v>
      </c>
      <c r="X1089" s="2">
        <v>25</v>
      </c>
      <c r="Y1089">
        <v>4</v>
      </c>
      <c r="Z1089">
        <v>2</v>
      </c>
      <c r="AA1089">
        <v>80</v>
      </c>
      <c r="AB1089">
        <v>1</v>
      </c>
      <c r="AC1089" s="2">
        <v>12</v>
      </c>
      <c r="AD1089">
        <v>4</v>
      </c>
      <c r="AE1089">
        <v>3</v>
      </c>
      <c r="AF1089" s="2">
        <v>11</v>
      </c>
      <c r="AG1089">
        <v>10</v>
      </c>
      <c r="AH1089">
        <v>5</v>
      </c>
      <c r="AI1089">
        <v>7</v>
      </c>
      <c r="AJ1089" s="2" t="str">
        <f>IF(A1089 A1089 &lt;= 25, "18-25", IF(A1089 &lt;=35, "26-35", IF(A1089 &lt;=45, "36-45", IF(Table3[[#This Row],[Age]] &lt;=55, "46-55", "56+"))))</f>
        <v>26-35</v>
      </c>
      <c r="AK1089" t="str">
        <f t="shared" si="16"/>
        <v>Low</v>
      </c>
      <c r="AL1089" s="2" t="str">
        <f>IF(AF1089 &lt; 3, "0-2 Years", IF(AF1089 &lt;= 5, "3-5 Years", IF(AF1089 &lt;= 10, "6-10 Years",IF(Table3[[#This Row],[Years At Company]]&lt;=20, "11-20 Years","20+ Years"))))</f>
        <v>11-20 Years</v>
      </c>
    </row>
    <row r="1090" spans="1:38" x14ac:dyDescent="0.25">
      <c r="A1090" s="2">
        <v>42</v>
      </c>
      <c r="B1090" t="s">
        <v>43</v>
      </c>
      <c r="C1090" t="s">
        <v>36</v>
      </c>
      <c r="D1090" s="2">
        <v>1210</v>
      </c>
      <c r="E1090" t="s">
        <v>45</v>
      </c>
      <c r="F1090" s="2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 s="2">
        <v>4841</v>
      </c>
      <c r="T1090">
        <v>24052</v>
      </c>
      <c r="U1090">
        <v>4</v>
      </c>
      <c r="V1090" t="s">
        <v>42</v>
      </c>
      <c r="W1090" t="s">
        <v>43</v>
      </c>
      <c r="X1090" s="2">
        <v>14</v>
      </c>
      <c r="Y1090">
        <v>3</v>
      </c>
      <c r="Z1090">
        <v>2</v>
      </c>
      <c r="AA1090">
        <v>80</v>
      </c>
      <c r="AB1090">
        <v>1</v>
      </c>
      <c r="AC1090" s="2">
        <v>4</v>
      </c>
      <c r="AD1090">
        <v>3</v>
      </c>
      <c r="AE1090">
        <v>3</v>
      </c>
      <c r="AF1090" s="2">
        <v>1</v>
      </c>
      <c r="AG1090">
        <v>0</v>
      </c>
      <c r="AH1090">
        <v>0</v>
      </c>
      <c r="AI1090">
        <v>0</v>
      </c>
      <c r="AJ1090" s="2" t="str">
        <f>IF(A1090 A1090 &lt;= 25, "18-25", IF(A1090 &lt;=35, "26-35", IF(A1090 &lt;=45, "36-45", IF(Table3[[#This Row],[Age]] &lt;=55, "46-55", "56+"))))</f>
        <v>36-45</v>
      </c>
      <c r="AK1090" t="str">
        <f t="shared" ref="AK1090:AK1153" si="17">IF(S1090 &lt; 5000, "Low",IF(S1090 &lt;=9999, "Medium", "High"))</f>
        <v>Low</v>
      </c>
      <c r="AL1090" s="2" t="str">
        <f>IF(AF1090 &lt; 3, "0-2 Years", IF(AF1090 &lt;= 5, "3-5 Years", IF(AF1090 &lt;= 10, "6-10 Years",IF(Table3[[#This Row],[Years At Company]]&lt;=20, "11-20 Years","20+ Years"))))</f>
        <v>0-2 Years</v>
      </c>
    </row>
    <row r="1091" spans="1:38" x14ac:dyDescent="0.25">
      <c r="A1091" s="2">
        <v>37</v>
      </c>
      <c r="B1091" t="s">
        <v>43</v>
      </c>
      <c r="C1091" t="s">
        <v>36</v>
      </c>
      <c r="D1091" s="2">
        <v>674</v>
      </c>
      <c r="E1091" t="s">
        <v>45</v>
      </c>
      <c r="F1091" s="2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 s="2">
        <v>4285</v>
      </c>
      <c r="T1091">
        <v>3031</v>
      </c>
      <c r="U1091">
        <v>1</v>
      </c>
      <c r="V1091" t="s">
        <v>42</v>
      </c>
      <c r="W1091" t="s">
        <v>43</v>
      </c>
      <c r="X1091" s="2">
        <v>17</v>
      </c>
      <c r="Y1091">
        <v>3</v>
      </c>
      <c r="Z1091">
        <v>1</v>
      </c>
      <c r="AA1091">
        <v>80</v>
      </c>
      <c r="AB1091">
        <v>0</v>
      </c>
      <c r="AC1091" s="2">
        <v>10</v>
      </c>
      <c r="AD1091">
        <v>2</v>
      </c>
      <c r="AE1091">
        <v>3</v>
      </c>
      <c r="AF1091" s="2">
        <v>10</v>
      </c>
      <c r="AG1091">
        <v>8</v>
      </c>
      <c r="AH1091">
        <v>3</v>
      </c>
      <c r="AI1091">
        <v>7</v>
      </c>
      <c r="AJ1091" s="2" t="str">
        <f>IF(A1091 A1091 &lt;= 25, "18-25", IF(A1091 &lt;=35, "26-35", IF(A1091 &lt;=45, "36-45", IF(Table3[[#This Row],[Age]] &lt;=55, "46-55", "56+"))))</f>
        <v>36-45</v>
      </c>
      <c r="AK1091" t="str">
        <f t="shared" si="17"/>
        <v>Low</v>
      </c>
      <c r="AL1091" s="2" t="str">
        <f>IF(AF1091 &lt; 3, "0-2 Years", IF(AF1091 &lt;= 5, "3-5 Years", IF(AF1091 &lt;= 10, "6-10 Years",IF(Table3[[#This Row],[Years At Company]]&lt;=20, "11-20 Years","20+ Years"))))</f>
        <v>6-10 Years</v>
      </c>
    </row>
    <row r="1092" spans="1:38" x14ac:dyDescent="0.25">
      <c r="A1092" s="2">
        <v>29</v>
      </c>
      <c r="B1092" t="s">
        <v>43</v>
      </c>
      <c r="C1092" t="s">
        <v>36</v>
      </c>
      <c r="D1092" s="2">
        <v>441</v>
      </c>
      <c r="E1092" t="s">
        <v>45</v>
      </c>
      <c r="F1092" s="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 s="2">
        <v>9715</v>
      </c>
      <c r="T1092">
        <v>7288</v>
      </c>
      <c r="U1092">
        <v>3</v>
      </c>
      <c r="V1092" t="s">
        <v>42</v>
      </c>
      <c r="W1092" t="s">
        <v>43</v>
      </c>
      <c r="X1092" s="2">
        <v>13</v>
      </c>
      <c r="Y1092">
        <v>3</v>
      </c>
      <c r="Z1092">
        <v>3</v>
      </c>
      <c r="AA1092">
        <v>80</v>
      </c>
      <c r="AB1092">
        <v>1</v>
      </c>
      <c r="AC1092" s="2">
        <v>9</v>
      </c>
      <c r="AD1092">
        <v>3</v>
      </c>
      <c r="AE1092">
        <v>3</v>
      </c>
      <c r="AF1092" s="2">
        <v>7</v>
      </c>
      <c r="AG1092">
        <v>7</v>
      </c>
      <c r="AH1092">
        <v>0</v>
      </c>
      <c r="AI1092">
        <v>7</v>
      </c>
      <c r="AJ1092" s="2" t="str">
        <f>IF(A1092 A1092 &lt;= 25, "18-25", IF(A1092 &lt;=35, "26-35", IF(A1092 &lt;=45, "36-45", IF(Table3[[#This Row],[Age]] &lt;=55, "46-55", "56+"))))</f>
        <v>26-35</v>
      </c>
      <c r="AK1092" t="str">
        <f t="shared" si="17"/>
        <v>Medium</v>
      </c>
      <c r="AL1092" s="2" t="str">
        <f>IF(AF1092 &lt; 3, "0-2 Years", IF(AF1092 &lt;= 5, "3-5 Years", IF(AF1092 &lt;= 10, "6-10 Years",IF(Table3[[#This Row],[Years At Company]]&lt;=20, "11-20 Years","20+ Years"))))</f>
        <v>6-10 Years</v>
      </c>
    </row>
    <row r="1093" spans="1:38" x14ac:dyDescent="0.25">
      <c r="A1093" s="2">
        <v>33</v>
      </c>
      <c r="B1093" t="s">
        <v>43</v>
      </c>
      <c r="C1093" t="s">
        <v>36</v>
      </c>
      <c r="D1093" s="2">
        <v>575</v>
      </c>
      <c r="E1093" t="s">
        <v>45</v>
      </c>
      <c r="F1093" s="2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 s="2">
        <v>4320</v>
      </c>
      <c r="T1093">
        <v>24152</v>
      </c>
      <c r="U1093">
        <v>1</v>
      </c>
      <c r="V1093" t="s">
        <v>42</v>
      </c>
      <c r="W1093" t="s">
        <v>43</v>
      </c>
      <c r="X1093" s="2">
        <v>13</v>
      </c>
      <c r="Y1093">
        <v>3</v>
      </c>
      <c r="Z1093">
        <v>4</v>
      </c>
      <c r="AA1093">
        <v>80</v>
      </c>
      <c r="AB1093">
        <v>0</v>
      </c>
      <c r="AC1093" s="2">
        <v>5</v>
      </c>
      <c r="AD1093">
        <v>2</v>
      </c>
      <c r="AE1093">
        <v>3</v>
      </c>
      <c r="AF1093" s="2">
        <v>5</v>
      </c>
      <c r="AG1093">
        <v>3</v>
      </c>
      <c r="AH1093">
        <v>0</v>
      </c>
      <c r="AI1093">
        <v>2</v>
      </c>
      <c r="AJ1093" s="2" t="str">
        <f>IF(A1093 A1093 &lt;= 25, "18-25", IF(A1093 &lt;=35, "26-35", IF(A1093 &lt;=45, "36-45", IF(Table3[[#This Row],[Age]] &lt;=55, "46-55", "56+"))))</f>
        <v>26-35</v>
      </c>
      <c r="AK1093" t="str">
        <f t="shared" si="17"/>
        <v>Low</v>
      </c>
      <c r="AL1093" s="2" t="str">
        <f>IF(AF1093 &lt; 3, "0-2 Years", IF(AF1093 &lt;= 5, "3-5 Years", IF(AF1093 &lt;= 10, "6-10 Years",IF(Table3[[#This Row],[Years At Company]]&lt;=20, "11-20 Years","20+ Years"))))</f>
        <v>3-5 Years</v>
      </c>
    </row>
    <row r="1094" spans="1:38" x14ac:dyDescent="0.25">
      <c r="A1094" s="2">
        <v>45</v>
      </c>
      <c r="B1094" t="s">
        <v>43</v>
      </c>
      <c r="C1094" t="s">
        <v>36</v>
      </c>
      <c r="D1094" s="2">
        <v>950</v>
      </c>
      <c r="E1094" t="s">
        <v>45</v>
      </c>
      <c r="F1094" s="2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 s="2">
        <v>2132</v>
      </c>
      <c r="T1094">
        <v>4585</v>
      </c>
      <c r="U1094">
        <v>4</v>
      </c>
      <c r="V1094" t="s">
        <v>42</v>
      </c>
      <c r="W1094" t="s">
        <v>43</v>
      </c>
      <c r="X1094" s="2">
        <v>20</v>
      </c>
      <c r="Y1094">
        <v>4</v>
      </c>
      <c r="Z1094">
        <v>4</v>
      </c>
      <c r="AA1094">
        <v>80</v>
      </c>
      <c r="AB1094">
        <v>1</v>
      </c>
      <c r="AC1094" s="2">
        <v>8</v>
      </c>
      <c r="AD1094">
        <v>3</v>
      </c>
      <c r="AE1094">
        <v>3</v>
      </c>
      <c r="AF1094" s="2">
        <v>5</v>
      </c>
      <c r="AG1094">
        <v>4</v>
      </c>
      <c r="AH1094">
        <v>0</v>
      </c>
      <c r="AI1094">
        <v>3</v>
      </c>
      <c r="AJ1094" s="2" t="str">
        <f>IF(A1094 A1094 &lt;= 25, "18-25", IF(A1094 &lt;=35, "26-35", IF(A1094 &lt;=45, "36-45", IF(Table3[[#This Row],[Age]] &lt;=55, "46-55", "56+"))))</f>
        <v>36-45</v>
      </c>
      <c r="AK1094" t="str">
        <f t="shared" si="17"/>
        <v>Low</v>
      </c>
      <c r="AL1094" s="2" t="str">
        <f>IF(AF1094 &lt; 3, "0-2 Years", IF(AF1094 &lt;= 5, "3-5 Years", IF(AF1094 &lt;= 10, "6-10 Years",IF(Table3[[#This Row],[Years At Company]]&lt;=20, "11-20 Years","20+ Years"))))</f>
        <v>3-5 Years</v>
      </c>
    </row>
    <row r="1095" spans="1:38" x14ac:dyDescent="0.25">
      <c r="A1095" s="2">
        <v>42</v>
      </c>
      <c r="B1095" t="s">
        <v>43</v>
      </c>
      <c r="C1095" t="s">
        <v>44</v>
      </c>
      <c r="D1095" s="2">
        <v>288</v>
      </c>
      <c r="E1095" t="s">
        <v>45</v>
      </c>
      <c r="F1095" s="2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 s="2">
        <v>10124</v>
      </c>
      <c r="T1095">
        <v>18611</v>
      </c>
      <c r="U1095">
        <v>2</v>
      </c>
      <c r="V1095" t="s">
        <v>42</v>
      </c>
      <c r="W1095" t="s">
        <v>35</v>
      </c>
      <c r="X1095" s="2">
        <v>14</v>
      </c>
      <c r="Y1095">
        <v>3</v>
      </c>
      <c r="Z1095">
        <v>3</v>
      </c>
      <c r="AA1095">
        <v>80</v>
      </c>
      <c r="AB1095">
        <v>1</v>
      </c>
      <c r="AC1095" s="2">
        <v>24</v>
      </c>
      <c r="AD1095">
        <v>3</v>
      </c>
      <c r="AE1095">
        <v>1</v>
      </c>
      <c r="AF1095" s="2">
        <v>20</v>
      </c>
      <c r="AG1095">
        <v>8</v>
      </c>
      <c r="AH1095">
        <v>13</v>
      </c>
      <c r="AI1095">
        <v>9</v>
      </c>
      <c r="AJ1095" s="2" t="str">
        <f>IF(A1095 A1095 &lt;= 25, "18-25", IF(A1095 &lt;=35, "26-35", IF(A1095 &lt;=45, "36-45", IF(Table3[[#This Row],[Age]] &lt;=55, "46-55", "56+"))))</f>
        <v>36-45</v>
      </c>
      <c r="AK1095" t="str">
        <f t="shared" si="17"/>
        <v>High</v>
      </c>
      <c r="AL1095" s="2" t="str">
        <f>IF(AF1095 &lt; 3, "0-2 Years", IF(AF1095 &lt;= 5, "3-5 Years", IF(AF1095 &lt;= 10, "6-10 Years",IF(Table3[[#This Row],[Years At Company]]&lt;=20, "11-20 Years","20+ Years"))))</f>
        <v>11-20 Years</v>
      </c>
    </row>
    <row r="1096" spans="1:38" x14ac:dyDescent="0.25">
      <c r="A1096" s="2">
        <v>40</v>
      </c>
      <c r="B1096" t="s">
        <v>43</v>
      </c>
      <c r="C1096" t="s">
        <v>36</v>
      </c>
      <c r="D1096" s="2">
        <v>1342</v>
      </c>
      <c r="E1096" t="s">
        <v>37</v>
      </c>
      <c r="F1096" s="2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 s="2">
        <v>5473</v>
      </c>
      <c r="T1096">
        <v>19345</v>
      </c>
      <c r="U1096">
        <v>0</v>
      </c>
      <c r="V1096" t="s">
        <v>42</v>
      </c>
      <c r="W1096" t="s">
        <v>43</v>
      </c>
      <c r="X1096" s="2">
        <v>12</v>
      </c>
      <c r="Y1096">
        <v>3</v>
      </c>
      <c r="Z1096">
        <v>4</v>
      </c>
      <c r="AA1096">
        <v>80</v>
      </c>
      <c r="AB1096">
        <v>0</v>
      </c>
      <c r="AC1096" s="2">
        <v>9</v>
      </c>
      <c r="AD1096">
        <v>5</v>
      </c>
      <c r="AE1096">
        <v>4</v>
      </c>
      <c r="AF1096" s="2">
        <v>8</v>
      </c>
      <c r="AG1096">
        <v>4</v>
      </c>
      <c r="AH1096">
        <v>7</v>
      </c>
      <c r="AI1096">
        <v>1</v>
      </c>
      <c r="AJ1096" s="2" t="str">
        <f>IF(A1096 A1096 &lt;= 25, "18-25", IF(A1096 &lt;=35, "26-35", IF(A1096 &lt;=45, "36-45", IF(Table3[[#This Row],[Age]] &lt;=55, "46-55", "56+"))))</f>
        <v>36-45</v>
      </c>
      <c r="AK1096" t="str">
        <f t="shared" si="17"/>
        <v>Medium</v>
      </c>
      <c r="AL1096" s="2" t="str">
        <f>IF(AF1096 &lt; 3, "0-2 Years", IF(AF1096 &lt;= 5, "3-5 Years", IF(AF1096 &lt;= 10, "6-10 Years",IF(Table3[[#This Row],[Years At Company]]&lt;=20, "11-20 Years","20+ Years"))))</f>
        <v>6-10 Years</v>
      </c>
    </row>
    <row r="1097" spans="1:38" x14ac:dyDescent="0.25">
      <c r="A1097" s="2">
        <v>33</v>
      </c>
      <c r="B1097" t="s">
        <v>43</v>
      </c>
      <c r="C1097" t="s">
        <v>36</v>
      </c>
      <c r="D1097" s="2">
        <v>589</v>
      </c>
      <c r="E1097" t="s">
        <v>45</v>
      </c>
      <c r="F1097" s="2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 s="2">
        <v>5207</v>
      </c>
      <c r="T1097">
        <v>22949</v>
      </c>
      <c r="U1097">
        <v>1</v>
      </c>
      <c r="V1097" t="s">
        <v>42</v>
      </c>
      <c r="W1097" t="s">
        <v>35</v>
      </c>
      <c r="X1097" s="2">
        <v>12</v>
      </c>
      <c r="Y1097">
        <v>3</v>
      </c>
      <c r="Z1097">
        <v>2</v>
      </c>
      <c r="AA1097">
        <v>80</v>
      </c>
      <c r="AB1097">
        <v>1</v>
      </c>
      <c r="AC1097" s="2">
        <v>15</v>
      </c>
      <c r="AD1097">
        <v>3</v>
      </c>
      <c r="AE1097">
        <v>3</v>
      </c>
      <c r="AF1097" s="2">
        <v>15</v>
      </c>
      <c r="AG1097">
        <v>14</v>
      </c>
      <c r="AH1097">
        <v>5</v>
      </c>
      <c r="AI1097">
        <v>7</v>
      </c>
      <c r="AJ1097" s="2" t="str">
        <f>IF(A1097 A1097 &lt;= 25, "18-25", IF(A1097 &lt;=35, "26-35", IF(A1097 &lt;=45, "36-45", IF(Table3[[#This Row],[Age]] &lt;=55, "46-55", "56+"))))</f>
        <v>26-35</v>
      </c>
      <c r="AK1097" t="str">
        <f t="shared" si="17"/>
        <v>Medium</v>
      </c>
      <c r="AL1097" s="2" t="str">
        <f>IF(AF1097 &lt; 3, "0-2 Years", IF(AF1097 &lt;= 5, "3-5 Years", IF(AF1097 &lt;= 10, "6-10 Years",IF(Table3[[#This Row],[Years At Company]]&lt;=20, "11-20 Years","20+ Years"))))</f>
        <v>11-20 Years</v>
      </c>
    </row>
    <row r="1098" spans="1:38" x14ac:dyDescent="0.25">
      <c r="A1098" s="2">
        <v>40</v>
      </c>
      <c r="B1098" t="s">
        <v>43</v>
      </c>
      <c r="C1098" t="s">
        <v>36</v>
      </c>
      <c r="D1098" s="2">
        <v>898</v>
      </c>
      <c r="E1098" t="s">
        <v>61</v>
      </c>
      <c r="F1098" s="2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 s="2">
        <v>16437</v>
      </c>
      <c r="T1098">
        <v>17381</v>
      </c>
      <c r="U1098">
        <v>1</v>
      </c>
      <c r="V1098" t="s">
        <v>42</v>
      </c>
      <c r="W1098" t="s">
        <v>35</v>
      </c>
      <c r="X1098" s="2">
        <v>21</v>
      </c>
      <c r="Y1098">
        <v>4</v>
      </c>
      <c r="Z1098">
        <v>4</v>
      </c>
      <c r="AA1098">
        <v>80</v>
      </c>
      <c r="AB1098">
        <v>0</v>
      </c>
      <c r="AC1098" s="2">
        <v>21</v>
      </c>
      <c r="AD1098">
        <v>2</v>
      </c>
      <c r="AE1098">
        <v>3</v>
      </c>
      <c r="AF1098" s="2">
        <v>21</v>
      </c>
      <c r="AG1098">
        <v>7</v>
      </c>
      <c r="AH1098">
        <v>7</v>
      </c>
      <c r="AI1098">
        <v>7</v>
      </c>
      <c r="AJ1098" s="2" t="str">
        <f>IF(A1098 A1098 &lt;= 25, "18-25", IF(A1098 &lt;=35, "26-35", IF(A1098 &lt;=45, "36-45", IF(Table3[[#This Row],[Age]] &lt;=55, "46-55", "56+"))))</f>
        <v>36-45</v>
      </c>
      <c r="AK1098" t="str">
        <f t="shared" si="17"/>
        <v>High</v>
      </c>
      <c r="AL1098" s="2" t="str">
        <f>IF(AF1098 &lt; 3, "0-2 Years", IF(AF1098 &lt;= 5, "3-5 Years", IF(AF1098 &lt;= 10, "6-10 Years",IF(Table3[[#This Row],[Years At Company]]&lt;=20, "11-20 Years","20+ Years"))))</f>
        <v>20+ Years</v>
      </c>
    </row>
    <row r="1099" spans="1:38" x14ac:dyDescent="0.25">
      <c r="A1099" s="2">
        <v>24</v>
      </c>
      <c r="B1099" t="s">
        <v>43</v>
      </c>
      <c r="C1099" t="s">
        <v>36</v>
      </c>
      <c r="D1099" s="2">
        <v>350</v>
      </c>
      <c r="E1099" t="s">
        <v>45</v>
      </c>
      <c r="F1099" s="2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 s="2">
        <v>2296</v>
      </c>
      <c r="T1099">
        <v>10036</v>
      </c>
      <c r="U1099">
        <v>0</v>
      </c>
      <c r="V1099" t="s">
        <v>42</v>
      </c>
      <c r="W1099" t="s">
        <v>43</v>
      </c>
      <c r="X1099" s="2">
        <v>14</v>
      </c>
      <c r="Y1099">
        <v>3</v>
      </c>
      <c r="Z1099">
        <v>2</v>
      </c>
      <c r="AA1099">
        <v>80</v>
      </c>
      <c r="AB1099">
        <v>3</v>
      </c>
      <c r="AC1099" s="2">
        <v>2</v>
      </c>
      <c r="AD1099">
        <v>3</v>
      </c>
      <c r="AE1099">
        <v>3</v>
      </c>
      <c r="AF1099" s="2">
        <v>1</v>
      </c>
      <c r="AG1099">
        <v>1</v>
      </c>
      <c r="AH1099">
        <v>0</v>
      </c>
      <c r="AI1099">
        <v>0</v>
      </c>
      <c r="AJ1099" s="2" t="str">
        <f>IF(A1099 A1099 &lt;= 25, "18-25", IF(A1099 &lt;=35, "26-35", IF(A1099 &lt;=45, "36-45", IF(Table3[[#This Row],[Age]] &lt;=55, "46-55", "56+"))))</f>
        <v>18-25</v>
      </c>
      <c r="AK1099" t="str">
        <f t="shared" si="17"/>
        <v>Low</v>
      </c>
      <c r="AL1099" s="2" t="str">
        <f>IF(AF1099 &lt; 3, "0-2 Years", IF(AF1099 &lt;= 5, "3-5 Years", IF(AF1099 &lt;= 10, "6-10 Years",IF(Table3[[#This Row],[Years At Company]]&lt;=20, "11-20 Years","20+ Years"))))</f>
        <v>0-2 Years</v>
      </c>
    </row>
    <row r="1100" spans="1:38" x14ac:dyDescent="0.25">
      <c r="A1100" s="2">
        <v>40</v>
      </c>
      <c r="B1100" t="s">
        <v>43</v>
      </c>
      <c r="C1100" t="s">
        <v>55</v>
      </c>
      <c r="D1100" s="2">
        <v>1142</v>
      </c>
      <c r="E1100" t="s">
        <v>45</v>
      </c>
      <c r="F1100" s="2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 s="2">
        <v>4069</v>
      </c>
      <c r="T1100">
        <v>8841</v>
      </c>
      <c r="U1100">
        <v>3</v>
      </c>
      <c r="V1100" t="s">
        <v>42</v>
      </c>
      <c r="W1100" t="s">
        <v>35</v>
      </c>
      <c r="X1100" s="2">
        <v>18</v>
      </c>
      <c r="Y1100">
        <v>3</v>
      </c>
      <c r="Z1100">
        <v>3</v>
      </c>
      <c r="AA1100">
        <v>80</v>
      </c>
      <c r="AB1100">
        <v>0</v>
      </c>
      <c r="AC1100" s="2">
        <v>8</v>
      </c>
      <c r="AD1100">
        <v>2</v>
      </c>
      <c r="AE1100">
        <v>3</v>
      </c>
      <c r="AF1100" s="2">
        <v>2</v>
      </c>
      <c r="AG1100">
        <v>2</v>
      </c>
      <c r="AH1100">
        <v>2</v>
      </c>
      <c r="AI1100">
        <v>2</v>
      </c>
      <c r="AJ1100" s="2" t="str">
        <f>IF(A1100 A1100 &lt;= 25, "18-25", IF(A1100 &lt;=35, "26-35", IF(A1100 &lt;=45, "36-45", IF(Table3[[#This Row],[Age]] &lt;=55, "46-55", "56+"))))</f>
        <v>36-45</v>
      </c>
      <c r="AK1100" t="str">
        <f t="shared" si="17"/>
        <v>Low</v>
      </c>
      <c r="AL1100" s="2" t="str">
        <f>IF(AF1100 &lt; 3, "0-2 Years", IF(AF1100 &lt;= 5, "3-5 Years", IF(AF1100 &lt;= 10, "6-10 Years",IF(Table3[[#This Row],[Years At Company]]&lt;=20, "11-20 Years","20+ Years"))))</f>
        <v>0-2 Years</v>
      </c>
    </row>
    <row r="1101" spans="1:38" x14ac:dyDescent="0.25">
      <c r="A1101" s="2">
        <v>45</v>
      </c>
      <c r="B1101" t="s">
        <v>43</v>
      </c>
      <c r="C1101" t="s">
        <v>36</v>
      </c>
      <c r="D1101" s="2">
        <v>538</v>
      </c>
      <c r="E1101" t="s">
        <v>45</v>
      </c>
      <c r="F1101" s="2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 s="2">
        <v>7441</v>
      </c>
      <c r="T1101">
        <v>20933</v>
      </c>
      <c r="U1101">
        <v>1</v>
      </c>
      <c r="V1101" t="s">
        <v>42</v>
      </c>
      <c r="W1101" t="s">
        <v>43</v>
      </c>
      <c r="X1101" s="2">
        <v>12</v>
      </c>
      <c r="Y1101">
        <v>3</v>
      </c>
      <c r="Z1101">
        <v>1</v>
      </c>
      <c r="AA1101">
        <v>80</v>
      </c>
      <c r="AB1101">
        <v>3</v>
      </c>
      <c r="AC1101" s="2">
        <v>10</v>
      </c>
      <c r="AD1101">
        <v>4</v>
      </c>
      <c r="AE1101">
        <v>3</v>
      </c>
      <c r="AF1101" s="2">
        <v>10</v>
      </c>
      <c r="AG1101">
        <v>8</v>
      </c>
      <c r="AH1101">
        <v>7</v>
      </c>
      <c r="AI1101">
        <v>7</v>
      </c>
      <c r="AJ1101" s="2" t="str">
        <f>IF(A1101 A1101 &lt;= 25, "18-25", IF(A1101 &lt;=35, "26-35", IF(A1101 &lt;=45, "36-45", IF(Table3[[#This Row],[Age]] &lt;=55, "46-55", "56+"))))</f>
        <v>36-45</v>
      </c>
      <c r="AK1101" t="str">
        <f t="shared" si="17"/>
        <v>Medium</v>
      </c>
      <c r="AL1101" s="2" t="str">
        <f>IF(AF1101 &lt; 3, "0-2 Years", IF(AF1101 &lt;= 5, "3-5 Years", IF(AF1101 &lt;= 10, "6-10 Years",IF(Table3[[#This Row],[Years At Company]]&lt;=20, "11-20 Years","20+ Years"))))</f>
        <v>6-10 Years</v>
      </c>
    </row>
    <row r="1102" spans="1:38" x14ac:dyDescent="0.25">
      <c r="A1102" s="2">
        <v>35</v>
      </c>
      <c r="B1102" t="s">
        <v>43</v>
      </c>
      <c r="C1102" t="s">
        <v>36</v>
      </c>
      <c r="D1102" s="2">
        <v>1402</v>
      </c>
      <c r="E1102" t="s">
        <v>37</v>
      </c>
      <c r="F1102" s="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 s="2">
        <v>2430</v>
      </c>
      <c r="T1102">
        <v>26204</v>
      </c>
      <c r="U1102">
        <v>0</v>
      </c>
      <c r="V1102" t="s">
        <v>42</v>
      </c>
      <c r="W1102" t="s">
        <v>43</v>
      </c>
      <c r="X1102" s="2">
        <v>23</v>
      </c>
      <c r="Y1102">
        <v>4</v>
      </c>
      <c r="Z1102">
        <v>1</v>
      </c>
      <c r="AA1102">
        <v>80</v>
      </c>
      <c r="AB1102">
        <v>2</v>
      </c>
      <c r="AC1102" s="2">
        <v>6</v>
      </c>
      <c r="AD1102">
        <v>5</v>
      </c>
      <c r="AE1102">
        <v>3</v>
      </c>
      <c r="AF1102" s="2">
        <v>5</v>
      </c>
      <c r="AG1102">
        <v>3</v>
      </c>
      <c r="AH1102">
        <v>4</v>
      </c>
      <c r="AI1102">
        <v>2</v>
      </c>
      <c r="AJ1102" s="2" t="str">
        <f>IF(A1102 A1102 &lt;= 25, "18-25", IF(A1102 &lt;=35, "26-35", IF(A1102 &lt;=45, "36-45", IF(Table3[[#This Row],[Age]] &lt;=55, "46-55", "56+"))))</f>
        <v>26-35</v>
      </c>
      <c r="AK1102" t="str">
        <f t="shared" si="17"/>
        <v>Low</v>
      </c>
      <c r="AL1102" s="2" t="str">
        <f>IF(AF1102 &lt; 3, "0-2 Years", IF(AF1102 &lt;= 5, "3-5 Years", IF(AF1102 &lt;= 10, "6-10 Years",IF(Table3[[#This Row],[Years At Company]]&lt;=20, "11-20 Years","20+ Years"))))</f>
        <v>3-5 Years</v>
      </c>
    </row>
    <row r="1103" spans="1:38" x14ac:dyDescent="0.25">
      <c r="A1103" s="2">
        <v>32</v>
      </c>
      <c r="B1103" t="s">
        <v>43</v>
      </c>
      <c r="C1103" t="s">
        <v>36</v>
      </c>
      <c r="D1103" s="2">
        <v>824</v>
      </c>
      <c r="E1103" t="s">
        <v>45</v>
      </c>
      <c r="F1103" s="2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 s="2">
        <v>5878</v>
      </c>
      <c r="T1103">
        <v>15624</v>
      </c>
      <c r="U1103">
        <v>3</v>
      </c>
      <c r="V1103" t="s">
        <v>42</v>
      </c>
      <c r="W1103" t="s">
        <v>43</v>
      </c>
      <c r="X1103" s="2">
        <v>12</v>
      </c>
      <c r="Y1103">
        <v>3</v>
      </c>
      <c r="Z1103">
        <v>1</v>
      </c>
      <c r="AA1103">
        <v>80</v>
      </c>
      <c r="AB1103">
        <v>1</v>
      </c>
      <c r="AC1103" s="2">
        <v>12</v>
      </c>
      <c r="AD1103">
        <v>2</v>
      </c>
      <c r="AE1103">
        <v>3</v>
      </c>
      <c r="AF1103" s="2">
        <v>7</v>
      </c>
      <c r="AG1103">
        <v>1</v>
      </c>
      <c r="AH1103">
        <v>2</v>
      </c>
      <c r="AI1103">
        <v>5</v>
      </c>
      <c r="AJ1103" s="2" t="str">
        <f>IF(A1103 A1103 &lt;= 25, "18-25", IF(A1103 &lt;=35, "26-35", IF(A1103 &lt;=45, "36-45", IF(Table3[[#This Row],[Age]] &lt;=55, "46-55", "56+"))))</f>
        <v>26-35</v>
      </c>
      <c r="AK1103" t="str">
        <f t="shared" si="17"/>
        <v>Medium</v>
      </c>
      <c r="AL1103" s="2" t="str">
        <f>IF(AF1103 &lt; 3, "0-2 Years", IF(AF1103 &lt;= 5, "3-5 Years", IF(AF1103 &lt;= 10, "6-10 Years",IF(Table3[[#This Row],[Years At Company]]&lt;=20, "11-20 Years","20+ Years"))))</f>
        <v>6-10 Years</v>
      </c>
    </row>
    <row r="1104" spans="1:38" x14ac:dyDescent="0.25">
      <c r="A1104" s="2">
        <v>36</v>
      </c>
      <c r="B1104" t="s">
        <v>43</v>
      </c>
      <c r="C1104" t="s">
        <v>36</v>
      </c>
      <c r="D1104" s="2">
        <v>1157</v>
      </c>
      <c r="E1104" t="s">
        <v>37</v>
      </c>
      <c r="F1104" s="2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 s="2">
        <v>2644</v>
      </c>
      <c r="T1104">
        <v>17001</v>
      </c>
      <c r="U1104">
        <v>3</v>
      </c>
      <c r="V1104" t="s">
        <v>42</v>
      </c>
      <c r="W1104" t="s">
        <v>35</v>
      </c>
      <c r="X1104" s="2">
        <v>21</v>
      </c>
      <c r="Y1104">
        <v>4</v>
      </c>
      <c r="Z1104">
        <v>4</v>
      </c>
      <c r="AA1104">
        <v>80</v>
      </c>
      <c r="AB1104">
        <v>0</v>
      </c>
      <c r="AC1104" s="2">
        <v>7</v>
      </c>
      <c r="AD1104">
        <v>3</v>
      </c>
      <c r="AE1104">
        <v>2</v>
      </c>
      <c r="AF1104" s="2">
        <v>3</v>
      </c>
      <c r="AG1104">
        <v>2</v>
      </c>
      <c r="AH1104">
        <v>1</v>
      </c>
      <c r="AI1104">
        <v>2</v>
      </c>
      <c r="AJ1104" s="2" t="str">
        <f>IF(A1104 A1104 &lt;= 25, "18-25", IF(A1104 &lt;=35, "26-35", IF(A1104 &lt;=45, "36-45", IF(Table3[[#This Row],[Age]] &lt;=55, "46-55", "56+"))))</f>
        <v>36-45</v>
      </c>
      <c r="AK1104" t="str">
        <f t="shared" si="17"/>
        <v>Low</v>
      </c>
      <c r="AL1104" s="2" t="str">
        <f>IF(AF1104 &lt; 3, "0-2 Years", IF(AF1104 &lt;= 5, "3-5 Years", IF(AF1104 &lt;= 10, "6-10 Years",IF(Table3[[#This Row],[Years At Company]]&lt;=20, "11-20 Years","20+ Years"))))</f>
        <v>3-5 Years</v>
      </c>
    </row>
    <row r="1105" spans="1:38" x14ac:dyDescent="0.25">
      <c r="A1105" s="2">
        <v>48</v>
      </c>
      <c r="B1105" t="s">
        <v>43</v>
      </c>
      <c r="C1105" t="s">
        <v>36</v>
      </c>
      <c r="D1105" s="2">
        <v>492</v>
      </c>
      <c r="E1105" t="s">
        <v>37</v>
      </c>
      <c r="F1105" s="2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 s="2">
        <v>6439</v>
      </c>
      <c r="T1105">
        <v>13693</v>
      </c>
      <c r="U1105">
        <v>8</v>
      </c>
      <c r="V1105" t="s">
        <v>42</v>
      </c>
      <c r="W1105" t="s">
        <v>43</v>
      </c>
      <c r="X1105" s="2">
        <v>14</v>
      </c>
      <c r="Y1105">
        <v>3</v>
      </c>
      <c r="Z1105">
        <v>3</v>
      </c>
      <c r="AA1105">
        <v>80</v>
      </c>
      <c r="AB1105">
        <v>1</v>
      </c>
      <c r="AC1105" s="2">
        <v>18</v>
      </c>
      <c r="AD1105">
        <v>2</v>
      </c>
      <c r="AE1105">
        <v>3</v>
      </c>
      <c r="AF1105" s="2">
        <v>8</v>
      </c>
      <c r="AG1105">
        <v>7</v>
      </c>
      <c r="AH1105">
        <v>7</v>
      </c>
      <c r="AI1105">
        <v>7</v>
      </c>
      <c r="AJ1105" s="2" t="str">
        <f>IF(A1105 A1105 &lt;= 25, "18-25", IF(A1105 &lt;=35, "26-35", IF(A1105 &lt;=45, "36-45", IF(Table3[[#This Row],[Age]] &lt;=55, "46-55", "56+"))))</f>
        <v>46-55</v>
      </c>
      <c r="AK1105" t="str">
        <f t="shared" si="17"/>
        <v>Medium</v>
      </c>
      <c r="AL1105" s="2" t="str">
        <f>IF(AF1105 &lt; 3, "0-2 Years", IF(AF1105 &lt;= 5, "3-5 Years", IF(AF1105 &lt;= 10, "6-10 Years",IF(Table3[[#This Row],[Years At Company]]&lt;=20, "11-20 Years","20+ Years"))))</f>
        <v>6-10 Years</v>
      </c>
    </row>
    <row r="1106" spans="1:38" x14ac:dyDescent="0.25">
      <c r="A1106" s="2">
        <v>29</v>
      </c>
      <c r="B1106" t="s">
        <v>43</v>
      </c>
      <c r="C1106" t="s">
        <v>36</v>
      </c>
      <c r="D1106" s="2">
        <v>598</v>
      </c>
      <c r="E1106" t="s">
        <v>45</v>
      </c>
      <c r="F1106" s="2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 s="2">
        <v>2451</v>
      </c>
      <c r="T1106">
        <v>22376</v>
      </c>
      <c r="U1106">
        <v>6</v>
      </c>
      <c r="V1106" t="s">
        <v>42</v>
      </c>
      <c r="W1106" t="s">
        <v>43</v>
      </c>
      <c r="X1106" s="2">
        <v>18</v>
      </c>
      <c r="Y1106">
        <v>3</v>
      </c>
      <c r="Z1106">
        <v>1</v>
      </c>
      <c r="AA1106">
        <v>80</v>
      </c>
      <c r="AB1106">
        <v>2</v>
      </c>
      <c r="AC1106" s="2">
        <v>5</v>
      </c>
      <c r="AD1106">
        <v>2</v>
      </c>
      <c r="AE1106">
        <v>2</v>
      </c>
      <c r="AF1106" s="2">
        <v>1</v>
      </c>
      <c r="AG1106">
        <v>0</v>
      </c>
      <c r="AH1106">
        <v>0</v>
      </c>
      <c r="AI1106">
        <v>0</v>
      </c>
      <c r="AJ1106" s="2" t="str">
        <f>IF(A1106 A1106 &lt;= 25, "18-25", IF(A1106 &lt;=35, "26-35", IF(A1106 &lt;=45, "36-45", IF(Table3[[#This Row],[Age]] &lt;=55, "46-55", "56+"))))</f>
        <v>26-35</v>
      </c>
      <c r="AK1106" t="str">
        <f t="shared" si="17"/>
        <v>Low</v>
      </c>
      <c r="AL1106" s="2" t="str">
        <f>IF(AF1106 &lt; 3, "0-2 Years", IF(AF1106 &lt;= 5, "3-5 Years", IF(AF1106 &lt;= 10, "6-10 Years",IF(Table3[[#This Row],[Years At Company]]&lt;=20, "11-20 Years","20+ Years"))))</f>
        <v>0-2 Years</v>
      </c>
    </row>
    <row r="1107" spans="1:38" x14ac:dyDescent="0.25">
      <c r="A1107" s="2">
        <v>33</v>
      </c>
      <c r="B1107" t="s">
        <v>43</v>
      </c>
      <c r="C1107" t="s">
        <v>36</v>
      </c>
      <c r="D1107" s="2">
        <v>1242</v>
      </c>
      <c r="E1107" t="s">
        <v>37</v>
      </c>
      <c r="F1107" s="2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 s="2">
        <v>6392</v>
      </c>
      <c r="T1107">
        <v>10589</v>
      </c>
      <c r="U1107">
        <v>2</v>
      </c>
      <c r="V1107" t="s">
        <v>42</v>
      </c>
      <c r="W1107" t="s">
        <v>43</v>
      </c>
      <c r="X1107" s="2">
        <v>13</v>
      </c>
      <c r="Y1107">
        <v>3</v>
      </c>
      <c r="Z1107">
        <v>4</v>
      </c>
      <c r="AA1107">
        <v>80</v>
      </c>
      <c r="AB1107">
        <v>1</v>
      </c>
      <c r="AC1107" s="2">
        <v>8</v>
      </c>
      <c r="AD1107">
        <v>6</v>
      </c>
      <c r="AE1107">
        <v>1</v>
      </c>
      <c r="AF1107" s="2">
        <v>2</v>
      </c>
      <c r="AG1107">
        <v>2</v>
      </c>
      <c r="AH1107">
        <v>2</v>
      </c>
      <c r="AI1107">
        <v>2</v>
      </c>
      <c r="AJ1107" s="2" t="str">
        <f>IF(A1107 A1107 &lt;= 25, "18-25", IF(A1107 &lt;=35, "26-35", IF(A1107 &lt;=45, "36-45", IF(Table3[[#This Row],[Age]] &lt;=55, "46-55", "56+"))))</f>
        <v>26-35</v>
      </c>
      <c r="AK1107" t="str">
        <f t="shared" si="17"/>
        <v>Medium</v>
      </c>
      <c r="AL1107" s="2" t="str">
        <f>IF(AF1107 &lt; 3, "0-2 Years", IF(AF1107 &lt;= 5, "3-5 Years", IF(AF1107 &lt;= 10, "6-10 Years",IF(Table3[[#This Row],[Years At Company]]&lt;=20, "11-20 Years","20+ Years"))))</f>
        <v>0-2 Years</v>
      </c>
    </row>
    <row r="1108" spans="1:38" x14ac:dyDescent="0.25">
      <c r="A1108" s="2">
        <v>30</v>
      </c>
      <c r="B1108" t="s">
        <v>35</v>
      </c>
      <c r="C1108" t="s">
        <v>36</v>
      </c>
      <c r="D1108" s="2">
        <v>740</v>
      </c>
      <c r="E1108" t="s">
        <v>37</v>
      </c>
      <c r="F1108" s="2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 s="2">
        <v>9714</v>
      </c>
      <c r="T1108">
        <v>5323</v>
      </c>
      <c r="U1108">
        <v>1</v>
      </c>
      <c r="V1108" t="s">
        <v>42</v>
      </c>
      <c r="W1108" t="s">
        <v>43</v>
      </c>
      <c r="X1108" s="2">
        <v>11</v>
      </c>
      <c r="Y1108">
        <v>3</v>
      </c>
      <c r="Z1108">
        <v>4</v>
      </c>
      <c r="AA1108">
        <v>80</v>
      </c>
      <c r="AB1108">
        <v>1</v>
      </c>
      <c r="AC1108" s="2">
        <v>10</v>
      </c>
      <c r="AD1108">
        <v>4</v>
      </c>
      <c r="AE1108">
        <v>3</v>
      </c>
      <c r="AF1108" s="2">
        <v>10</v>
      </c>
      <c r="AG1108">
        <v>8</v>
      </c>
      <c r="AH1108">
        <v>6</v>
      </c>
      <c r="AI1108">
        <v>7</v>
      </c>
      <c r="AJ1108" s="2" t="str">
        <f>IF(A1108 A1108 &lt;= 25, "18-25", IF(A1108 &lt;=35, "26-35", IF(A1108 &lt;=45, "36-45", IF(Table3[[#This Row],[Age]] &lt;=55, "46-55", "56+"))))</f>
        <v>26-35</v>
      </c>
      <c r="AK1108" t="str">
        <f t="shared" si="17"/>
        <v>Medium</v>
      </c>
      <c r="AL1108" s="2" t="str">
        <f>IF(AF1108 &lt; 3, "0-2 Years", IF(AF1108 &lt;= 5, "3-5 Years", IF(AF1108 &lt;= 10, "6-10 Years",IF(Table3[[#This Row],[Years At Company]]&lt;=20, "11-20 Years","20+ Years"))))</f>
        <v>6-10 Years</v>
      </c>
    </row>
    <row r="1109" spans="1:38" x14ac:dyDescent="0.25">
      <c r="A1109" s="2">
        <v>38</v>
      </c>
      <c r="B1109" t="s">
        <v>43</v>
      </c>
      <c r="C1109" t="s">
        <v>44</v>
      </c>
      <c r="D1109" s="2">
        <v>888</v>
      </c>
      <c r="E1109" t="s">
        <v>61</v>
      </c>
      <c r="F1109" s="2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 s="2">
        <v>6077</v>
      </c>
      <c r="T1109">
        <v>14814</v>
      </c>
      <c r="U1109">
        <v>3</v>
      </c>
      <c r="V1109" t="s">
        <v>42</v>
      </c>
      <c r="W1109" t="s">
        <v>43</v>
      </c>
      <c r="X1109" s="2">
        <v>11</v>
      </c>
      <c r="Y1109">
        <v>3</v>
      </c>
      <c r="Z1109">
        <v>3</v>
      </c>
      <c r="AA1109">
        <v>80</v>
      </c>
      <c r="AB1109">
        <v>0</v>
      </c>
      <c r="AC1109" s="2">
        <v>10</v>
      </c>
      <c r="AD1109">
        <v>2</v>
      </c>
      <c r="AE1109">
        <v>3</v>
      </c>
      <c r="AF1109" s="2">
        <v>6</v>
      </c>
      <c r="AG1109">
        <v>3</v>
      </c>
      <c r="AH1109">
        <v>1</v>
      </c>
      <c r="AI1109">
        <v>2</v>
      </c>
      <c r="AJ1109" s="2" t="str">
        <f>IF(A1109 A1109 &lt;= 25, "18-25", IF(A1109 &lt;=35, "26-35", IF(A1109 &lt;=45, "36-45", IF(Table3[[#This Row],[Age]] &lt;=55, "46-55", "56+"))))</f>
        <v>36-45</v>
      </c>
      <c r="AK1109" t="str">
        <f t="shared" si="17"/>
        <v>Medium</v>
      </c>
      <c r="AL1109" s="2" t="str">
        <f>IF(AF1109 &lt; 3, "0-2 Years", IF(AF1109 &lt;= 5, "3-5 Years", IF(AF1109 &lt;= 10, "6-10 Years",IF(Table3[[#This Row],[Years At Company]]&lt;=20, "11-20 Years","20+ Years"))))</f>
        <v>6-10 Years</v>
      </c>
    </row>
    <row r="1110" spans="1:38" x14ac:dyDescent="0.25">
      <c r="A1110" s="2">
        <v>35</v>
      </c>
      <c r="B1110" t="s">
        <v>43</v>
      </c>
      <c r="C1110" t="s">
        <v>36</v>
      </c>
      <c r="D1110" s="2">
        <v>992</v>
      </c>
      <c r="E1110" t="s">
        <v>45</v>
      </c>
      <c r="F1110" s="2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 s="2">
        <v>2450</v>
      </c>
      <c r="T1110">
        <v>21731</v>
      </c>
      <c r="U1110">
        <v>1</v>
      </c>
      <c r="V1110" t="s">
        <v>42</v>
      </c>
      <c r="W1110" t="s">
        <v>43</v>
      </c>
      <c r="X1110" s="2">
        <v>19</v>
      </c>
      <c r="Y1110">
        <v>3</v>
      </c>
      <c r="Z1110">
        <v>2</v>
      </c>
      <c r="AA1110">
        <v>80</v>
      </c>
      <c r="AB1110">
        <v>0</v>
      </c>
      <c r="AC1110" s="2">
        <v>3</v>
      </c>
      <c r="AD1110">
        <v>3</v>
      </c>
      <c r="AE1110">
        <v>3</v>
      </c>
      <c r="AF1110" s="2">
        <v>3</v>
      </c>
      <c r="AG1110">
        <v>0</v>
      </c>
      <c r="AH1110">
        <v>1</v>
      </c>
      <c r="AI1110">
        <v>2</v>
      </c>
      <c r="AJ1110" s="2" t="str">
        <f>IF(A1110 A1110 &lt;= 25, "18-25", IF(A1110 &lt;=35, "26-35", IF(A1110 &lt;=45, "36-45", IF(Table3[[#This Row],[Age]] &lt;=55, "46-55", "56+"))))</f>
        <v>26-35</v>
      </c>
      <c r="AK1110" t="str">
        <f t="shared" si="17"/>
        <v>Low</v>
      </c>
      <c r="AL1110" s="2" t="str">
        <f>IF(AF1110 &lt; 3, "0-2 Years", IF(AF1110 &lt;= 5, "3-5 Years", IF(AF1110 &lt;= 10, "6-10 Years",IF(Table3[[#This Row],[Years At Company]]&lt;=20, "11-20 Years","20+ Years"))))</f>
        <v>3-5 Years</v>
      </c>
    </row>
    <row r="1111" spans="1:38" x14ac:dyDescent="0.25">
      <c r="A1111" s="2">
        <v>30</v>
      </c>
      <c r="B1111" t="s">
        <v>43</v>
      </c>
      <c r="C1111" t="s">
        <v>36</v>
      </c>
      <c r="D1111" s="2">
        <v>1288</v>
      </c>
      <c r="E1111" t="s">
        <v>37</v>
      </c>
      <c r="F1111" s="2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 s="2">
        <v>9250</v>
      </c>
      <c r="T1111">
        <v>17799</v>
      </c>
      <c r="U1111">
        <v>3</v>
      </c>
      <c r="V1111" t="s">
        <v>42</v>
      </c>
      <c r="W1111" t="s">
        <v>43</v>
      </c>
      <c r="X1111" s="2">
        <v>12</v>
      </c>
      <c r="Y1111">
        <v>3</v>
      </c>
      <c r="Z1111">
        <v>2</v>
      </c>
      <c r="AA1111">
        <v>80</v>
      </c>
      <c r="AB1111">
        <v>1</v>
      </c>
      <c r="AC1111" s="2">
        <v>9</v>
      </c>
      <c r="AD1111">
        <v>3</v>
      </c>
      <c r="AE1111">
        <v>3</v>
      </c>
      <c r="AF1111" s="2">
        <v>4</v>
      </c>
      <c r="AG1111">
        <v>2</v>
      </c>
      <c r="AH1111">
        <v>1</v>
      </c>
      <c r="AI1111">
        <v>3</v>
      </c>
      <c r="AJ1111" s="2" t="str">
        <f>IF(A1111 A1111 &lt;= 25, "18-25", IF(A1111 &lt;=35, "26-35", IF(A1111 &lt;=45, "36-45", IF(Table3[[#This Row],[Age]] &lt;=55, "46-55", "56+"))))</f>
        <v>26-35</v>
      </c>
      <c r="AK1111" t="str">
        <f t="shared" si="17"/>
        <v>Medium</v>
      </c>
      <c r="AL1111" s="2" t="str">
        <f>IF(AF1111 &lt; 3, "0-2 Years", IF(AF1111 &lt;= 5, "3-5 Years", IF(AF1111 &lt;= 10, "6-10 Years",IF(Table3[[#This Row],[Years At Company]]&lt;=20, "11-20 Years","20+ Years"))))</f>
        <v>3-5 Years</v>
      </c>
    </row>
    <row r="1112" spans="1:38" x14ac:dyDescent="0.25">
      <c r="A1112" s="2">
        <v>35</v>
      </c>
      <c r="B1112" t="s">
        <v>35</v>
      </c>
      <c r="C1112" t="s">
        <v>36</v>
      </c>
      <c r="D1112" s="2">
        <v>104</v>
      </c>
      <c r="E1112" t="s">
        <v>45</v>
      </c>
      <c r="F1112" s="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 s="2">
        <v>2074</v>
      </c>
      <c r="T1112">
        <v>26619</v>
      </c>
      <c r="U1112">
        <v>1</v>
      </c>
      <c r="V1112" t="s">
        <v>42</v>
      </c>
      <c r="W1112" t="s">
        <v>35</v>
      </c>
      <c r="X1112" s="2">
        <v>12</v>
      </c>
      <c r="Y1112">
        <v>3</v>
      </c>
      <c r="Z1112">
        <v>4</v>
      </c>
      <c r="AA1112">
        <v>80</v>
      </c>
      <c r="AB1112">
        <v>1</v>
      </c>
      <c r="AC1112" s="2">
        <v>1</v>
      </c>
      <c r="AD1112">
        <v>2</v>
      </c>
      <c r="AE1112">
        <v>3</v>
      </c>
      <c r="AF1112" s="2">
        <v>1</v>
      </c>
      <c r="AG1112">
        <v>0</v>
      </c>
      <c r="AH1112">
        <v>0</v>
      </c>
      <c r="AI1112">
        <v>0</v>
      </c>
      <c r="AJ1112" s="2" t="str">
        <f>IF(A1112 A1112 &lt;= 25, "18-25", IF(A1112 &lt;=35, "26-35", IF(A1112 &lt;=45, "36-45", IF(Table3[[#This Row],[Age]] &lt;=55, "46-55", "56+"))))</f>
        <v>26-35</v>
      </c>
      <c r="AK1112" t="str">
        <f t="shared" si="17"/>
        <v>Low</v>
      </c>
      <c r="AL1112" s="2" t="str">
        <f>IF(AF1112 &lt; 3, "0-2 Years", IF(AF1112 &lt;= 5, "3-5 Years", IF(AF1112 &lt;= 10, "6-10 Years",IF(Table3[[#This Row],[Years At Company]]&lt;=20, "11-20 Years","20+ Years"))))</f>
        <v>0-2 Years</v>
      </c>
    </row>
    <row r="1113" spans="1:38" x14ac:dyDescent="0.25">
      <c r="A1113" s="2">
        <v>53</v>
      </c>
      <c r="B1113" t="s">
        <v>35</v>
      </c>
      <c r="C1113" t="s">
        <v>36</v>
      </c>
      <c r="D1113" s="2">
        <v>607</v>
      </c>
      <c r="E1113" t="s">
        <v>45</v>
      </c>
      <c r="F1113" s="2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 s="2">
        <v>10169</v>
      </c>
      <c r="T1113">
        <v>14618</v>
      </c>
      <c r="U1113">
        <v>0</v>
      </c>
      <c r="V1113" t="s">
        <v>42</v>
      </c>
      <c r="W1113" t="s">
        <v>43</v>
      </c>
      <c r="X1113" s="2">
        <v>16</v>
      </c>
      <c r="Y1113">
        <v>3</v>
      </c>
      <c r="Z1113">
        <v>2</v>
      </c>
      <c r="AA1113">
        <v>80</v>
      </c>
      <c r="AB1113">
        <v>1</v>
      </c>
      <c r="AC1113" s="2">
        <v>34</v>
      </c>
      <c r="AD1113">
        <v>4</v>
      </c>
      <c r="AE1113">
        <v>3</v>
      </c>
      <c r="AF1113" s="2">
        <v>33</v>
      </c>
      <c r="AG1113">
        <v>7</v>
      </c>
      <c r="AH1113">
        <v>1</v>
      </c>
      <c r="AI1113">
        <v>9</v>
      </c>
      <c r="AJ1113" s="2" t="str">
        <f>IF(A1113 A1113 &lt;= 25, "18-25", IF(A1113 &lt;=35, "26-35", IF(A1113 &lt;=45, "36-45", IF(Table3[[#This Row],[Age]] &lt;=55, "46-55", "56+"))))</f>
        <v>46-55</v>
      </c>
      <c r="AK1113" t="str">
        <f t="shared" si="17"/>
        <v>High</v>
      </c>
      <c r="AL1113" s="2" t="str">
        <f>IF(AF1113 &lt; 3, "0-2 Years", IF(AF1113 &lt;= 5, "3-5 Years", IF(AF1113 &lt;= 10, "6-10 Years",IF(Table3[[#This Row],[Years At Company]]&lt;=20, "11-20 Years","20+ Years"))))</f>
        <v>20+ Years</v>
      </c>
    </row>
    <row r="1114" spans="1:38" x14ac:dyDescent="0.25">
      <c r="A1114" s="2">
        <v>38</v>
      </c>
      <c r="B1114" t="s">
        <v>35</v>
      </c>
      <c r="C1114" t="s">
        <v>36</v>
      </c>
      <c r="D1114" s="2">
        <v>903</v>
      </c>
      <c r="E1114" t="s">
        <v>45</v>
      </c>
      <c r="F1114" s="2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 s="2">
        <v>4855</v>
      </c>
      <c r="T1114">
        <v>7653</v>
      </c>
      <c r="U1114">
        <v>4</v>
      </c>
      <c r="V1114" t="s">
        <v>42</v>
      </c>
      <c r="W1114" t="s">
        <v>43</v>
      </c>
      <c r="X1114" s="2">
        <v>11</v>
      </c>
      <c r="Y1114">
        <v>3</v>
      </c>
      <c r="Z1114">
        <v>1</v>
      </c>
      <c r="AA1114">
        <v>80</v>
      </c>
      <c r="AB1114">
        <v>2</v>
      </c>
      <c r="AC1114" s="2">
        <v>7</v>
      </c>
      <c r="AD1114">
        <v>2</v>
      </c>
      <c r="AE1114">
        <v>3</v>
      </c>
      <c r="AF1114" s="2">
        <v>5</v>
      </c>
      <c r="AG1114">
        <v>2</v>
      </c>
      <c r="AH1114">
        <v>1</v>
      </c>
      <c r="AI1114">
        <v>4</v>
      </c>
      <c r="AJ1114" s="2" t="str">
        <f>IF(A1114 A1114 &lt;= 25, "18-25", IF(A1114 &lt;=35, "26-35", IF(A1114 &lt;=45, "36-45", IF(Table3[[#This Row],[Age]] &lt;=55, "46-55", "56+"))))</f>
        <v>36-45</v>
      </c>
      <c r="AK1114" t="str">
        <f t="shared" si="17"/>
        <v>Low</v>
      </c>
      <c r="AL1114" s="2" t="str">
        <f>IF(AF1114 &lt; 3, "0-2 Years", IF(AF1114 &lt;= 5, "3-5 Years", IF(AF1114 &lt;= 10, "6-10 Years",IF(Table3[[#This Row],[Years At Company]]&lt;=20, "11-20 Years","20+ Years"))))</f>
        <v>3-5 Years</v>
      </c>
    </row>
    <row r="1115" spans="1:38" x14ac:dyDescent="0.25">
      <c r="A1115" s="2">
        <v>32</v>
      </c>
      <c r="B1115" t="s">
        <v>43</v>
      </c>
      <c r="C1115" t="s">
        <v>55</v>
      </c>
      <c r="D1115" s="2">
        <v>1200</v>
      </c>
      <c r="E1115" t="s">
        <v>45</v>
      </c>
      <c r="F1115" s="2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 s="2">
        <v>4087</v>
      </c>
      <c r="T1115">
        <v>25174</v>
      </c>
      <c r="U1115">
        <v>4</v>
      </c>
      <c r="V1115" t="s">
        <v>42</v>
      </c>
      <c r="W1115" t="s">
        <v>43</v>
      </c>
      <c r="X1115" s="2">
        <v>14</v>
      </c>
      <c r="Y1115">
        <v>3</v>
      </c>
      <c r="Z1115">
        <v>2</v>
      </c>
      <c r="AA1115">
        <v>80</v>
      </c>
      <c r="AB1115">
        <v>1</v>
      </c>
      <c r="AC1115" s="2">
        <v>9</v>
      </c>
      <c r="AD1115">
        <v>3</v>
      </c>
      <c r="AE1115">
        <v>2</v>
      </c>
      <c r="AF1115" s="2">
        <v>6</v>
      </c>
      <c r="AG1115">
        <v>5</v>
      </c>
      <c r="AH1115">
        <v>1</v>
      </c>
      <c r="AI1115">
        <v>2</v>
      </c>
      <c r="AJ1115" s="2" t="str">
        <f>IF(A1115 A1115 &lt;= 25, "18-25", IF(A1115 &lt;=35, "26-35", IF(A1115 &lt;=45, "36-45", IF(Table3[[#This Row],[Age]] &lt;=55, "46-55", "56+"))))</f>
        <v>26-35</v>
      </c>
      <c r="AK1115" t="str">
        <f t="shared" si="17"/>
        <v>Low</v>
      </c>
      <c r="AL1115" s="2" t="str">
        <f>IF(AF1115 &lt; 3, "0-2 Years", IF(AF1115 &lt;= 5, "3-5 Years", IF(AF1115 &lt;= 10, "6-10 Years",IF(Table3[[#This Row],[Years At Company]]&lt;=20, "11-20 Years","20+ Years"))))</f>
        <v>6-10 Years</v>
      </c>
    </row>
    <row r="1116" spans="1:38" x14ac:dyDescent="0.25">
      <c r="A1116" s="2">
        <v>48</v>
      </c>
      <c r="B1116" t="s">
        <v>43</v>
      </c>
      <c r="C1116" t="s">
        <v>36</v>
      </c>
      <c r="D1116" s="2">
        <v>1108</v>
      </c>
      <c r="E1116" t="s">
        <v>45</v>
      </c>
      <c r="F1116" s="2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 s="2">
        <v>2367</v>
      </c>
      <c r="T1116">
        <v>16530</v>
      </c>
      <c r="U1116">
        <v>8</v>
      </c>
      <c r="V1116" t="s">
        <v>42</v>
      </c>
      <c r="W1116" t="s">
        <v>43</v>
      </c>
      <c r="X1116" s="2">
        <v>12</v>
      </c>
      <c r="Y1116">
        <v>3</v>
      </c>
      <c r="Z1116">
        <v>4</v>
      </c>
      <c r="AA1116">
        <v>80</v>
      </c>
      <c r="AB1116">
        <v>1</v>
      </c>
      <c r="AC1116" s="2">
        <v>10</v>
      </c>
      <c r="AD1116">
        <v>3</v>
      </c>
      <c r="AE1116">
        <v>2</v>
      </c>
      <c r="AF1116" s="2">
        <v>8</v>
      </c>
      <c r="AG1116">
        <v>2</v>
      </c>
      <c r="AH1116">
        <v>7</v>
      </c>
      <c r="AI1116">
        <v>6</v>
      </c>
      <c r="AJ1116" s="2" t="str">
        <f>IF(A1116 A1116 &lt;= 25, "18-25", IF(A1116 &lt;=35, "26-35", IF(A1116 &lt;=45, "36-45", IF(Table3[[#This Row],[Age]] &lt;=55, "46-55", "56+"))))</f>
        <v>46-55</v>
      </c>
      <c r="AK1116" t="str">
        <f t="shared" si="17"/>
        <v>Low</v>
      </c>
      <c r="AL1116" s="2" t="str">
        <f>IF(AF1116 &lt; 3, "0-2 Years", IF(AF1116 &lt;= 5, "3-5 Years", IF(AF1116 &lt;= 10, "6-10 Years",IF(Table3[[#This Row],[Years At Company]]&lt;=20, "11-20 Years","20+ Years"))))</f>
        <v>6-10 Years</v>
      </c>
    </row>
    <row r="1117" spans="1:38" x14ac:dyDescent="0.25">
      <c r="A1117" s="2">
        <v>34</v>
      </c>
      <c r="B1117" t="s">
        <v>43</v>
      </c>
      <c r="C1117" t="s">
        <v>36</v>
      </c>
      <c r="D1117" s="2">
        <v>479</v>
      </c>
      <c r="E1117" t="s">
        <v>45</v>
      </c>
      <c r="F1117" s="2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 s="2">
        <v>2972</v>
      </c>
      <c r="T1117">
        <v>22061</v>
      </c>
      <c r="U1117">
        <v>1</v>
      </c>
      <c r="V1117" t="s">
        <v>42</v>
      </c>
      <c r="W1117" t="s">
        <v>43</v>
      </c>
      <c r="X1117" s="2">
        <v>13</v>
      </c>
      <c r="Y1117">
        <v>3</v>
      </c>
      <c r="Z1117">
        <v>3</v>
      </c>
      <c r="AA1117">
        <v>80</v>
      </c>
      <c r="AB1117">
        <v>0</v>
      </c>
      <c r="AC1117" s="2">
        <v>1</v>
      </c>
      <c r="AD1117">
        <v>4</v>
      </c>
      <c r="AE1117">
        <v>1</v>
      </c>
      <c r="AF1117" s="2">
        <v>1</v>
      </c>
      <c r="AG1117">
        <v>0</v>
      </c>
      <c r="AH1117">
        <v>0</v>
      </c>
      <c r="AI1117">
        <v>0</v>
      </c>
      <c r="AJ1117" s="2" t="str">
        <f>IF(A1117 A1117 &lt;= 25, "18-25", IF(A1117 &lt;=35, "26-35", IF(A1117 &lt;=45, "36-45", IF(Table3[[#This Row],[Age]] &lt;=55, "46-55", "56+"))))</f>
        <v>26-35</v>
      </c>
      <c r="AK1117" t="str">
        <f t="shared" si="17"/>
        <v>Low</v>
      </c>
      <c r="AL1117" s="2" t="str">
        <f>IF(AF1117 &lt; 3, "0-2 Years", IF(AF1117 &lt;= 5, "3-5 Years", IF(AF1117 &lt;= 10, "6-10 Years",IF(Table3[[#This Row],[Years At Company]]&lt;=20, "11-20 Years","20+ Years"))))</f>
        <v>0-2 Years</v>
      </c>
    </row>
    <row r="1118" spans="1:38" x14ac:dyDescent="0.25">
      <c r="A1118" s="2">
        <v>55</v>
      </c>
      <c r="B1118" t="s">
        <v>43</v>
      </c>
      <c r="C1118" t="s">
        <v>36</v>
      </c>
      <c r="D1118" s="2">
        <v>685</v>
      </c>
      <c r="E1118" t="s">
        <v>37</v>
      </c>
      <c r="F1118" s="2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 s="2">
        <v>19586</v>
      </c>
      <c r="T1118">
        <v>23037</v>
      </c>
      <c r="U1118">
        <v>1</v>
      </c>
      <c r="V1118" t="s">
        <v>42</v>
      </c>
      <c r="W1118" t="s">
        <v>43</v>
      </c>
      <c r="X1118" s="2">
        <v>21</v>
      </c>
      <c r="Y1118">
        <v>4</v>
      </c>
      <c r="Z1118">
        <v>3</v>
      </c>
      <c r="AA1118">
        <v>80</v>
      </c>
      <c r="AB1118">
        <v>1</v>
      </c>
      <c r="AC1118" s="2">
        <v>36</v>
      </c>
      <c r="AD1118">
        <v>3</v>
      </c>
      <c r="AE1118">
        <v>3</v>
      </c>
      <c r="AF1118" s="2">
        <v>36</v>
      </c>
      <c r="AG1118">
        <v>6</v>
      </c>
      <c r="AH1118">
        <v>2</v>
      </c>
      <c r="AI1118">
        <v>13</v>
      </c>
      <c r="AJ1118" s="2" t="str">
        <f>IF(A1118 A1118 &lt;= 25, "18-25", IF(A1118 &lt;=35, "26-35", IF(A1118 &lt;=45, "36-45", IF(Table3[[#This Row],[Age]] &lt;=55, "46-55", "56+"))))</f>
        <v>46-55</v>
      </c>
      <c r="AK1118" t="str">
        <f t="shared" si="17"/>
        <v>High</v>
      </c>
      <c r="AL1118" s="2" t="str">
        <f>IF(AF1118 &lt; 3, "0-2 Years", IF(AF1118 &lt;= 5, "3-5 Years", IF(AF1118 &lt;= 10, "6-10 Years",IF(Table3[[#This Row],[Years At Company]]&lt;=20, "11-20 Years","20+ Years"))))</f>
        <v>20+ Years</v>
      </c>
    </row>
    <row r="1119" spans="1:38" x14ac:dyDescent="0.25">
      <c r="A1119" s="2">
        <v>34</v>
      </c>
      <c r="B1119" t="s">
        <v>43</v>
      </c>
      <c r="C1119" t="s">
        <v>36</v>
      </c>
      <c r="D1119" s="2">
        <v>1351</v>
      </c>
      <c r="E1119" t="s">
        <v>45</v>
      </c>
      <c r="F1119" s="2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 s="2">
        <v>5484</v>
      </c>
      <c r="T1119">
        <v>13008</v>
      </c>
      <c r="U1119">
        <v>9</v>
      </c>
      <c r="V1119" t="s">
        <v>42</v>
      </c>
      <c r="W1119" t="s">
        <v>43</v>
      </c>
      <c r="X1119" s="2">
        <v>17</v>
      </c>
      <c r="Y1119">
        <v>3</v>
      </c>
      <c r="Z1119">
        <v>2</v>
      </c>
      <c r="AA1119">
        <v>80</v>
      </c>
      <c r="AB1119">
        <v>1</v>
      </c>
      <c r="AC1119" s="2">
        <v>9</v>
      </c>
      <c r="AD1119">
        <v>3</v>
      </c>
      <c r="AE1119">
        <v>2</v>
      </c>
      <c r="AF1119" s="2">
        <v>2</v>
      </c>
      <c r="AG1119">
        <v>2</v>
      </c>
      <c r="AH1119">
        <v>2</v>
      </c>
      <c r="AI1119">
        <v>1</v>
      </c>
      <c r="AJ1119" s="2" t="str">
        <f>IF(A1119 A1119 &lt;= 25, "18-25", IF(A1119 &lt;=35, "26-35", IF(A1119 &lt;=45, "36-45", IF(Table3[[#This Row],[Age]] &lt;=55, "46-55", "56+"))))</f>
        <v>26-35</v>
      </c>
      <c r="AK1119" t="str">
        <f t="shared" si="17"/>
        <v>Medium</v>
      </c>
      <c r="AL1119" s="2" t="str">
        <f>IF(AF1119 &lt; 3, "0-2 Years", IF(AF1119 &lt;= 5, "3-5 Years", IF(AF1119 &lt;= 10, "6-10 Years",IF(Table3[[#This Row],[Years At Company]]&lt;=20, "11-20 Years","20+ Years"))))</f>
        <v>0-2 Years</v>
      </c>
    </row>
    <row r="1120" spans="1:38" x14ac:dyDescent="0.25">
      <c r="A1120" s="2">
        <v>26</v>
      </c>
      <c r="B1120" t="s">
        <v>43</v>
      </c>
      <c r="C1120" t="s">
        <v>36</v>
      </c>
      <c r="D1120" s="2">
        <v>474</v>
      </c>
      <c r="E1120" t="s">
        <v>45</v>
      </c>
      <c r="F1120" s="2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 s="2">
        <v>2061</v>
      </c>
      <c r="T1120">
        <v>11133</v>
      </c>
      <c r="U1120">
        <v>1</v>
      </c>
      <c r="V1120" t="s">
        <v>42</v>
      </c>
      <c r="W1120" t="s">
        <v>43</v>
      </c>
      <c r="X1120" s="2">
        <v>21</v>
      </c>
      <c r="Y1120">
        <v>4</v>
      </c>
      <c r="Z1120">
        <v>1</v>
      </c>
      <c r="AA1120">
        <v>80</v>
      </c>
      <c r="AB1120">
        <v>0</v>
      </c>
      <c r="AC1120" s="2">
        <v>1</v>
      </c>
      <c r="AD1120">
        <v>5</v>
      </c>
      <c r="AE1120">
        <v>3</v>
      </c>
      <c r="AF1120" s="2">
        <v>1</v>
      </c>
      <c r="AG1120">
        <v>0</v>
      </c>
      <c r="AH1120">
        <v>0</v>
      </c>
      <c r="AI1120">
        <v>0</v>
      </c>
      <c r="AJ1120" s="2" t="str">
        <f>IF(A1120 A1120 &lt;= 25, "18-25", IF(A1120 &lt;=35, "26-35", IF(A1120 &lt;=45, "36-45", IF(Table3[[#This Row],[Age]] &lt;=55, "46-55", "56+"))))</f>
        <v>26-35</v>
      </c>
      <c r="AK1120" t="str">
        <f t="shared" si="17"/>
        <v>Low</v>
      </c>
      <c r="AL1120" s="2" t="str">
        <f>IF(AF1120 &lt; 3, "0-2 Years", IF(AF1120 &lt;= 5, "3-5 Years", IF(AF1120 &lt;= 10, "6-10 Years",IF(Table3[[#This Row],[Years At Company]]&lt;=20, "11-20 Years","20+ Years"))))</f>
        <v>0-2 Years</v>
      </c>
    </row>
    <row r="1121" spans="1:38" x14ac:dyDescent="0.25">
      <c r="A1121" s="2">
        <v>38</v>
      </c>
      <c r="B1121" t="s">
        <v>43</v>
      </c>
      <c r="C1121" t="s">
        <v>36</v>
      </c>
      <c r="D1121" s="2">
        <v>1245</v>
      </c>
      <c r="E1121" t="s">
        <v>37</v>
      </c>
      <c r="F1121" s="2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 s="2">
        <v>9924</v>
      </c>
      <c r="T1121">
        <v>12355</v>
      </c>
      <c r="U1121">
        <v>0</v>
      </c>
      <c r="V1121" t="s">
        <v>42</v>
      </c>
      <c r="W1121" t="s">
        <v>43</v>
      </c>
      <c r="X1121" s="2">
        <v>11</v>
      </c>
      <c r="Y1121">
        <v>3</v>
      </c>
      <c r="Z1121">
        <v>4</v>
      </c>
      <c r="AA1121">
        <v>80</v>
      </c>
      <c r="AB1121">
        <v>1</v>
      </c>
      <c r="AC1121" s="2">
        <v>10</v>
      </c>
      <c r="AD1121">
        <v>3</v>
      </c>
      <c r="AE1121">
        <v>3</v>
      </c>
      <c r="AF1121" s="2">
        <v>9</v>
      </c>
      <c r="AG1121">
        <v>8</v>
      </c>
      <c r="AH1121">
        <v>7</v>
      </c>
      <c r="AI1121">
        <v>7</v>
      </c>
      <c r="AJ1121" s="2" t="str">
        <f>IF(A1121 A1121 &lt;= 25, "18-25", IF(A1121 &lt;=35, "26-35", IF(A1121 &lt;=45, "36-45", IF(Table3[[#This Row],[Age]] &lt;=55, "46-55", "56+"))))</f>
        <v>36-45</v>
      </c>
      <c r="AK1121" t="str">
        <f t="shared" si="17"/>
        <v>Medium</v>
      </c>
      <c r="AL1121" s="2" t="str">
        <f>IF(AF1121 &lt; 3, "0-2 Years", IF(AF1121 &lt;= 5, "3-5 Years", IF(AF1121 &lt;= 10, "6-10 Years",IF(Table3[[#This Row],[Years At Company]]&lt;=20, "11-20 Years","20+ Years"))))</f>
        <v>6-10 Years</v>
      </c>
    </row>
    <row r="1122" spans="1:38" x14ac:dyDescent="0.25">
      <c r="A1122" s="2">
        <v>38</v>
      </c>
      <c r="B1122" t="s">
        <v>43</v>
      </c>
      <c r="C1122" t="s">
        <v>36</v>
      </c>
      <c r="D1122" s="2">
        <v>437</v>
      </c>
      <c r="E1122" t="s">
        <v>37</v>
      </c>
      <c r="F1122" s="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 s="2">
        <v>4198</v>
      </c>
      <c r="T1122">
        <v>16379</v>
      </c>
      <c r="U1122">
        <v>2</v>
      </c>
      <c r="V1122" t="s">
        <v>42</v>
      </c>
      <c r="W1122" t="s">
        <v>43</v>
      </c>
      <c r="X1122" s="2">
        <v>12</v>
      </c>
      <c r="Y1122">
        <v>3</v>
      </c>
      <c r="Z1122">
        <v>2</v>
      </c>
      <c r="AA1122">
        <v>80</v>
      </c>
      <c r="AB1122">
        <v>0</v>
      </c>
      <c r="AC1122" s="2">
        <v>8</v>
      </c>
      <c r="AD1122">
        <v>5</v>
      </c>
      <c r="AE1122">
        <v>4</v>
      </c>
      <c r="AF1122" s="2">
        <v>3</v>
      </c>
      <c r="AG1122">
        <v>2</v>
      </c>
      <c r="AH1122">
        <v>1</v>
      </c>
      <c r="AI1122">
        <v>2</v>
      </c>
      <c r="AJ1122" s="2" t="str">
        <f>IF(A1122 A1122 &lt;= 25, "18-25", IF(A1122 &lt;=35, "26-35", IF(A1122 &lt;=45, "36-45", IF(Table3[[#This Row],[Age]] &lt;=55, "46-55", "56+"))))</f>
        <v>36-45</v>
      </c>
      <c r="AK1122" t="str">
        <f t="shared" si="17"/>
        <v>Low</v>
      </c>
      <c r="AL1122" s="2" t="str">
        <f>IF(AF1122 &lt; 3, "0-2 Years", IF(AF1122 &lt;= 5, "3-5 Years", IF(AF1122 &lt;= 10, "6-10 Years",IF(Table3[[#This Row],[Years At Company]]&lt;=20, "11-20 Years","20+ Years"))))</f>
        <v>3-5 Years</v>
      </c>
    </row>
    <row r="1123" spans="1:38" x14ac:dyDescent="0.25">
      <c r="A1123" s="2">
        <v>36</v>
      </c>
      <c r="B1123" t="s">
        <v>43</v>
      </c>
      <c r="C1123" t="s">
        <v>36</v>
      </c>
      <c r="D1123" s="2">
        <v>884</v>
      </c>
      <c r="E1123" t="s">
        <v>37</v>
      </c>
      <c r="F1123" s="2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 s="2">
        <v>6815</v>
      </c>
      <c r="T1123">
        <v>21447</v>
      </c>
      <c r="U1123">
        <v>6</v>
      </c>
      <c r="V1123" t="s">
        <v>42</v>
      </c>
      <c r="W1123" t="s">
        <v>43</v>
      </c>
      <c r="X1123" s="2">
        <v>13</v>
      </c>
      <c r="Y1123">
        <v>3</v>
      </c>
      <c r="Z1123">
        <v>1</v>
      </c>
      <c r="AA1123">
        <v>80</v>
      </c>
      <c r="AB1123">
        <v>0</v>
      </c>
      <c r="AC1123" s="2">
        <v>15</v>
      </c>
      <c r="AD1123">
        <v>5</v>
      </c>
      <c r="AE1123">
        <v>3</v>
      </c>
      <c r="AF1123" s="2">
        <v>1</v>
      </c>
      <c r="AG1123">
        <v>0</v>
      </c>
      <c r="AH1123">
        <v>0</v>
      </c>
      <c r="AI1123">
        <v>0</v>
      </c>
      <c r="AJ1123" s="2" t="str">
        <f>IF(A1123 A1123 &lt;= 25, "18-25", IF(A1123 &lt;=35, "26-35", IF(A1123 &lt;=45, "36-45", IF(Table3[[#This Row],[Age]] &lt;=55, "46-55", "56+"))))</f>
        <v>36-45</v>
      </c>
      <c r="AK1123" t="str">
        <f t="shared" si="17"/>
        <v>Medium</v>
      </c>
      <c r="AL1123" s="2" t="str">
        <f>IF(AF1123 &lt; 3, "0-2 Years", IF(AF1123 &lt;= 5, "3-5 Years", IF(AF1123 &lt;= 10, "6-10 Years",IF(Table3[[#This Row],[Years At Company]]&lt;=20, "11-20 Years","20+ Years"))))</f>
        <v>0-2 Years</v>
      </c>
    </row>
    <row r="1124" spans="1:38" x14ac:dyDescent="0.25">
      <c r="A1124" s="2">
        <v>29</v>
      </c>
      <c r="B1124" t="s">
        <v>43</v>
      </c>
      <c r="C1124" t="s">
        <v>36</v>
      </c>
      <c r="D1124" s="2">
        <v>1370</v>
      </c>
      <c r="E1124" t="s">
        <v>45</v>
      </c>
      <c r="F1124" s="2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 s="2">
        <v>4723</v>
      </c>
      <c r="T1124">
        <v>16213</v>
      </c>
      <c r="U1124">
        <v>1</v>
      </c>
      <c r="V1124" t="s">
        <v>42</v>
      </c>
      <c r="W1124" t="s">
        <v>35</v>
      </c>
      <c r="X1124" s="2">
        <v>18</v>
      </c>
      <c r="Y1124">
        <v>3</v>
      </c>
      <c r="Z1124">
        <v>4</v>
      </c>
      <c r="AA1124">
        <v>80</v>
      </c>
      <c r="AB1124">
        <v>0</v>
      </c>
      <c r="AC1124" s="2">
        <v>10</v>
      </c>
      <c r="AD1124">
        <v>3</v>
      </c>
      <c r="AE1124">
        <v>3</v>
      </c>
      <c r="AF1124" s="2">
        <v>10</v>
      </c>
      <c r="AG1124">
        <v>9</v>
      </c>
      <c r="AH1124">
        <v>1</v>
      </c>
      <c r="AI1124">
        <v>5</v>
      </c>
      <c r="AJ1124" s="2" t="str">
        <f>IF(A1124 A1124 &lt;= 25, "18-25", IF(A1124 &lt;=35, "26-35", IF(A1124 &lt;=45, "36-45", IF(Table3[[#This Row],[Age]] &lt;=55, "46-55", "56+"))))</f>
        <v>26-35</v>
      </c>
      <c r="AK1124" t="str">
        <f t="shared" si="17"/>
        <v>Low</v>
      </c>
      <c r="AL1124" s="2" t="str">
        <f>IF(AF1124 &lt; 3, "0-2 Years", IF(AF1124 &lt;= 5, "3-5 Years", IF(AF1124 &lt;= 10, "6-10 Years",IF(Table3[[#This Row],[Years At Company]]&lt;=20, "11-20 Years","20+ Years"))))</f>
        <v>6-10 Years</v>
      </c>
    </row>
    <row r="1125" spans="1:38" x14ac:dyDescent="0.25">
      <c r="A1125" s="2">
        <v>35</v>
      </c>
      <c r="B1125" t="s">
        <v>43</v>
      </c>
      <c r="C1125" t="s">
        <v>36</v>
      </c>
      <c r="D1125" s="2">
        <v>670</v>
      </c>
      <c r="E1125" t="s">
        <v>45</v>
      </c>
      <c r="F1125" s="2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 s="2">
        <v>6142</v>
      </c>
      <c r="T1125">
        <v>4223</v>
      </c>
      <c r="U1125">
        <v>3</v>
      </c>
      <c r="V1125" t="s">
        <v>42</v>
      </c>
      <c r="W1125" t="s">
        <v>35</v>
      </c>
      <c r="X1125" s="2">
        <v>16</v>
      </c>
      <c r="Y1125">
        <v>3</v>
      </c>
      <c r="Z1125">
        <v>3</v>
      </c>
      <c r="AA1125">
        <v>80</v>
      </c>
      <c r="AB1125">
        <v>0</v>
      </c>
      <c r="AC1125" s="2">
        <v>10</v>
      </c>
      <c r="AD1125">
        <v>4</v>
      </c>
      <c r="AE1125">
        <v>3</v>
      </c>
      <c r="AF1125" s="2">
        <v>5</v>
      </c>
      <c r="AG1125">
        <v>2</v>
      </c>
      <c r="AH1125">
        <v>0</v>
      </c>
      <c r="AI1125">
        <v>4</v>
      </c>
      <c r="AJ1125" s="2" t="str">
        <f>IF(A1125 A1125 &lt;= 25, "18-25", IF(A1125 &lt;=35, "26-35", IF(A1125 &lt;=45, "36-45", IF(Table3[[#This Row],[Age]] &lt;=55, "46-55", "56+"))))</f>
        <v>26-35</v>
      </c>
      <c r="AK1125" t="str">
        <f t="shared" si="17"/>
        <v>Medium</v>
      </c>
      <c r="AL1125" s="2" t="str">
        <f>IF(AF1125 &lt; 3, "0-2 Years", IF(AF1125 &lt;= 5, "3-5 Years", IF(AF1125 &lt;= 10, "6-10 Years",IF(Table3[[#This Row],[Years At Company]]&lt;=20, "11-20 Years","20+ Years"))))</f>
        <v>3-5 Years</v>
      </c>
    </row>
    <row r="1126" spans="1:38" x14ac:dyDescent="0.25">
      <c r="A1126" s="2">
        <v>39</v>
      </c>
      <c r="B1126" t="s">
        <v>43</v>
      </c>
      <c r="C1126" t="s">
        <v>36</v>
      </c>
      <c r="D1126" s="2">
        <v>1462</v>
      </c>
      <c r="E1126" t="s">
        <v>37</v>
      </c>
      <c r="F1126" s="2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 s="2">
        <v>8237</v>
      </c>
      <c r="T1126">
        <v>4658</v>
      </c>
      <c r="U1126">
        <v>2</v>
      </c>
      <c r="V1126" t="s">
        <v>42</v>
      </c>
      <c r="W1126" t="s">
        <v>43</v>
      </c>
      <c r="X1126" s="2">
        <v>11</v>
      </c>
      <c r="Y1126">
        <v>3</v>
      </c>
      <c r="Z1126">
        <v>1</v>
      </c>
      <c r="AA1126">
        <v>80</v>
      </c>
      <c r="AB1126">
        <v>1</v>
      </c>
      <c r="AC1126" s="2">
        <v>11</v>
      </c>
      <c r="AD1126">
        <v>3</v>
      </c>
      <c r="AE1126">
        <v>3</v>
      </c>
      <c r="AF1126" s="2">
        <v>7</v>
      </c>
      <c r="AG1126">
        <v>6</v>
      </c>
      <c r="AH1126">
        <v>7</v>
      </c>
      <c r="AI1126">
        <v>6</v>
      </c>
      <c r="AJ1126" s="2" t="str">
        <f>IF(A1126 A1126 &lt;= 25, "18-25", IF(A1126 &lt;=35, "26-35", IF(A1126 &lt;=45, "36-45", IF(Table3[[#This Row],[Age]] &lt;=55, "46-55", "56+"))))</f>
        <v>36-45</v>
      </c>
      <c r="AK1126" t="str">
        <f t="shared" si="17"/>
        <v>Medium</v>
      </c>
      <c r="AL1126" s="2" t="str">
        <f>IF(AF1126 &lt; 3, "0-2 Years", IF(AF1126 &lt;= 5, "3-5 Years", IF(AF1126 &lt;= 10, "6-10 Years",IF(Table3[[#This Row],[Years At Company]]&lt;=20, "11-20 Years","20+ Years"))))</f>
        <v>6-10 Years</v>
      </c>
    </row>
    <row r="1127" spans="1:38" x14ac:dyDescent="0.25">
      <c r="A1127" s="2">
        <v>29</v>
      </c>
      <c r="B1127" t="s">
        <v>43</v>
      </c>
      <c r="C1127" t="s">
        <v>44</v>
      </c>
      <c r="D1127" s="2">
        <v>995</v>
      </c>
      <c r="E1127" t="s">
        <v>45</v>
      </c>
      <c r="F1127" s="2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 s="2">
        <v>8853</v>
      </c>
      <c r="T1127">
        <v>24483</v>
      </c>
      <c r="U1127">
        <v>1</v>
      </c>
      <c r="V1127" t="s">
        <v>42</v>
      </c>
      <c r="W1127" t="s">
        <v>43</v>
      </c>
      <c r="X1127" s="2">
        <v>19</v>
      </c>
      <c r="Y1127">
        <v>3</v>
      </c>
      <c r="Z1127">
        <v>4</v>
      </c>
      <c r="AA1127">
        <v>80</v>
      </c>
      <c r="AB1127">
        <v>1</v>
      </c>
      <c r="AC1127" s="2">
        <v>6</v>
      </c>
      <c r="AD1127">
        <v>0</v>
      </c>
      <c r="AE1127">
        <v>4</v>
      </c>
      <c r="AF1127" s="2">
        <v>6</v>
      </c>
      <c r="AG1127">
        <v>4</v>
      </c>
      <c r="AH1127">
        <v>1</v>
      </c>
      <c r="AI1127">
        <v>3</v>
      </c>
      <c r="AJ1127" s="2" t="str">
        <f>IF(A1127 A1127 &lt;= 25, "18-25", IF(A1127 &lt;=35, "26-35", IF(A1127 &lt;=45, "36-45", IF(Table3[[#This Row],[Age]] &lt;=55, "46-55", "56+"))))</f>
        <v>26-35</v>
      </c>
      <c r="AK1127" t="str">
        <f t="shared" si="17"/>
        <v>Medium</v>
      </c>
      <c r="AL1127" s="2" t="str">
        <f>IF(AF1127 &lt; 3, "0-2 Years", IF(AF1127 &lt;= 5, "3-5 Years", IF(AF1127 &lt;= 10, "6-10 Years",IF(Table3[[#This Row],[Years At Company]]&lt;=20, "11-20 Years","20+ Years"))))</f>
        <v>6-10 Years</v>
      </c>
    </row>
    <row r="1128" spans="1:38" x14ac:dyDescent="0.25">
      <c r="A1128" s="2">
        <v>50</v>
      </c>
      <c r="B1128" t="s">
        <v>43</v>
      </c>
      <c r="C1128" t="s">
        <v>36</v>
      </c>
      <c r="D1128" s="2">
        <v>264</v>
      </c>
      <c r="E1128" t="s">
        <v>37</v>
      </c>
      <c r="F1128" s="2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 s="2">
        <v>19331</v>
      </c>
      <c r="T1128">
        <v>19519</v>
      </c>
      <c r="U1128">
        <v>4</v>
      </c>
      <c r="V1128" t="s">
        <v>42</v>
      </c>
      <c r="W1128" t="s">
        <v>35</v>
      </c>
      <c r="X1128" s="2">
        <v>16</v>
      </c>
      <c r="Y1128">
        <v>3</v>
      </c>
      <c r="Z1128">
        <v>3</v>
      </c>
      <c r="AA1128">
        <v>80</v>
      </c>
      <c r="AB1128">
        <v>1</v>
      </c>
      <c r="AC1128" s="2">
        <v>27</v>
      </c>
      <c r="AD1128">
        <v>2</v>
      </c>
      <c r="AE1128">
        <v>3</v>
      </c>
      <c r="AF1128" s="2">
        <v>1</v>
      </c>
      <c r="AG1128">
        <v>0</v>
      </c>
      <c r="AH1128">
        <v>0</v>
      </c>
      <c r="AI1128">
        <v>0</v>
      </c>
      <c r="AJ1128" s="2" t="str">
        <f>IF(A1128 A1128 &lt;= 25, "18-25", IF(A1128 &lt;=35, "26-35", IF(A1128 &lt;=45, "36-45", IF(Table3[[#This Row],[Age]] &lt;=55, "46-55", "56+"))))</f>
        <v>46-55</v>
      </c>
      <c r="AK1128" t="str">
        <f t="shared" si="17"/>
        <v>High</v>
      </c>
      <c r="AL1128" s="2" t="str">
        <f>IF(AF1128 &lt; 3, "0-2 Years", IF(AF1128 &lt;= 5, "3-5 Years", IF(AF1128 &lt;= 10, "6-10 Years",IF(Table3[[#This Row],[Years At Company]]&lt;=20, "11-20 Years","20+ Years"))))</f>
        <v>0-2 Years</v>
      </c>
    </row>
    <row r="1129" spans="1:38" x14ac:dyDescent="0.25">
      <c r="A1129" s="2">
        <v>23</v>
      </c>
      <c r="B1129" t="s">
        <v>43</v>
      </c>
      <c r="C1129" t="s">
        <v>36</v>
      </c>
      <c r="D1129" s="2">
        <v>977</v>
      </c>
      <c r="E1129" t="s">
        <v>45</v>
      </c>
      <c r="F1129" s="2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 s="2">
        <v>2073</v>
      </c>
      <c r="T1129">
        <v>12826</v>
      </c>
      <c r="U1129">
        <v>2</v>
      </c>
      <c r="V1129" t="s">
        <v>42</v>
      </c>
      <c r="W1129" t="s">
        <v>43</v>
      </c>
      <c r="X1129" s="2">
        <v>16</v>
      </c>
      <c r="Y1129">
        <v>3</v>
      </c>
      <c r="Z1129">
        <v>4</v>
      </c>
      <c r="AA1129">
        <v>80</v>
      </c>
      <c r="AB1129">
        <v>1</v>
      </c>
      <c r="AC1129" s="2">
        <v>4</v>
      </c>
      <c r="AD1129">
        <v>2</v>
      </c>
      <c r="AE1129">
        <v>3</v>
      </c>
      <c r="AF1129" s="2">
        <v>2</v>
      </c>
      <c r="AG1129">
        <v>2</v>
      </c>
      <c r="AH1129">
        <v>2</v>
      </c>
      <c r="AI1129">
        <v>2</v>
      </c>
      <c r="AJ1129" s="2" t="str">
        <f>IF(A1129 A1129 &lt;= 25, "18-25", IF(A1129 &lt;=35, "26-35", IF(A1129 &lt;=45, "36-45", IF(Table3[[#This Row],[Age]] &lt;=55, "46-55", "56+"))))</f>
        <v>18-25</v>
      </c>
      <c r="AK1129" t="str">
        <f t="shared" si="17"/>
        <v>Low</v>
      </c>
      <c r="AL1129" s="2" t="str">
        <f>IF(AF1129 &lt; 3, "0-2 Years", IF(AF1129 &lt;= 5, "3-5 Years", IF(AF1129 &lt;= 10, "6-10 Years",IF(Table3[[#This Row],[Years At Company]]&lt;=20, "11-20 Years","20+ Years"))))</f>
        <v>0-2 Years</v>
      </c>
    </row>
    <row r="1130" spans="1:38" x14ac:dyDescent="0.25">
      <c r="A1130" s="2">
        <v>36</v>
      </c>
      <c r="B1130" t="s">
        <v>43</v>
      </c>
      <c r="C1130" t="s">
        <v>44</v>
      </c>
      <c r="D1130" s="2">
        <v>1302</v>
      </c>
      <c r="E1130" t="s">
        <v>45</v>
      </c>
      <c r="F1130" s="2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 s="2">
        <v>5562</v>
      </c>
      <c r="T1130">
        <v>19711</v>
      </c>
      <c r="U1130">
        <v>3</v>
      </c>
      <c r="V1130" t="s">
        <v>42</v>
      </c>
      <c r="W1130" t="s">
        <v>35</v>
      </c>
      <c r="X1130" s="2">
        <v>13</v>
      </c>
      <c r="Y1130">
        <v>3</v>
      </c>
      <c r="Z1130">
        <v>4</v>
      </c>
      <c r="AA1130">
        <v>80</v>
      </c>
      <c r="AB1130">
        <v>1</v>
      </c>
      <c r="AC1130" s="2">
        <v>9</v>
      </c>
      <c r="AD1130">
        <v>3</v>
      </c>
      <c r="AE1130">
        <v>3</v>
      </c>
      <c r="AF1130" s="2">
        <v>3</v>
      </c>
      <c r="AG1130">
        <v>2</v>
      </c>
      <c r="AH1130">
        <v>0</v>
      </c>
      <c r="AI1130">
        <v>2</v>
      </c>
      <c r="AJ1130" s="2" t="str">
        <f>IF(A1130 A1130 &lt;= 25, "18-25", IF(A1130 &lt;=35, "26-35", IF(A1130 &lt;=45, "36-45", IF(Table3[[#This Row],[Age]] &lt;=55, "46-55", "56+"))))</f>
        <v>36-45</v>
      </c>
      <c r="AK1130" t="str">
        <f t="shared" si="17"/>
        <v>Medium</v>
      </c>
      <c r="AL1130" s="2" t="str">
        <f>IF(AF1130 &lt; 3, "0-2 Years", IF(AF1130 &lt;= 5, "3-5 Years", IF(AF1130 &lt;= 10, "6-10 Years",IF(Table3[[#This Row],[Years At Company]]&lt;=20, "11-20 Years","20+ Years"))))</f>
        <v>3-5 Years</v>
      </c>
    </row>
    <row r="1131" spans="1:38" x14ac:dyDescent="0.25">
      <c r="A1131" s="2">
        <v>42</v>
      </c>
      <c r="B1131" t="s">
        <v>43</v>
      </c>
      <c r="C1131" t="s">
        <v>36</v>
      </c>
      <c r="D1131" s="2">
        <v>1059</v>
      </c>
      <c r="E1131" t="s">
        <v>45</v>
      </c>
      <c r="F1131" s="2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 s="2">
        <v>19613</v>
      </c>
      <c r="T1131">
        <v>26362</v>
      </c>
      <c r="U1131">
        <v>8</v>
      </c>
      <c r="V1131" t="s">
        <v>42</v>
      </c>
      <c r="W1131" t="s">
        <v>43</v>
      </c>
      <c r="X1131" s="2">
        <v>22</v>
      </c>
      <c r="Y1131">
        <v>4</v>
      </c>
      <c r="Z1131">
        <v>4</v>
      </c>
      <c r="AA1131">
        <v>80</v>
      </c>
      <c r="AB1131">
        <v>0</v>
      </c>
      <c r="AC1131" s="2">
        <v>24</v>
      </c>
      <c r="AD1131">
        <v>2</v>
      </c>
      <c r="AE1131">
        <v>3</v>
      </c>
      <c r="AF1131" s="2">
        <v>1</v>
      </c>
      <c r="AG1131">
        <v>0</v>
      </c>
      <c r="AH1131">
        <v>0</v>
      </c>
      <c r="AI1131">
        <v>1</v>
      </c>
      <c r="AJ1131" s="2" t="str">
        <f>IF(A1131 A1131 &lt;= 25, "18-25", IF(A1131 &lt;=35, "26-35", IF(A1131 &lt;=45, "36-45", IF(Table3[[#This Row],[Age]] &lt;=55, "46-55", "56+"))))</f>
        <v>36-45</v>
      </c>
      <c r="AK1131" t="str">
        <f t="shared" si="17"/>
        <v>High</v>
      </c>
      <c r="AL1131" s="2" t="str">
        <f>IF(AF1131 &lt; 3, "0-2 Years", IF(AF1131 &lt;= 5, "3-5 Years", IF(AF1131 &lt;= 10, "6-10 Years",IF(Table3[[#This Row],[Years At Company]]&lt;=20, "11-20 Years","20+ Years"))))</f>
        <v>0-2 Years</v>
      </c>
    </row>
    <row r="1132" spans="1:38" x14ac:dyDescent="0.25">
      <c r="A1132" s="2">
        <v>35</v>
      </c>
      <c r="B1132" t="s">
        <v>43</v>
      </c>
      <c r="C1132" t="s">
        <v>36</v>
      </c>
      <c r="D1132" s="2">
        <v>750</v>
      </c>
      <c r="E1132" t="s">
        <v>45</v>
      </c>
      <c r="F1132" s="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 s="2">
        <v>3407</v>
      </c>
      <c r="T1132">
        <v>25348</v>
      </c>
      <c r="U1132">
        <v>1</v>
      </c>
      <c r="V1132" t="s">
        <v>42</v>
      </c>
      <c r="W1132" t="s">
        <v>43</v>
      </c>
      <c r="X1132" s="2">
        <v>17</v>
      </c>
      <c r="Y1132">
        <v>3</v>
      </c>
      <c r="Z1132">
        <v>4</v>
      </c>
      <c r="AA1132">
        <v>80</v>
      </c>
      <c r="AB1132">
        <v>2</v>
      </c>
      <c r="AC1132" s="2">
        <v>10</v>
      </c>
      <c r="AD1132">
        <v>3</v>
      </c>
      <c r="AE1132">
        <v>2</v>
      </c>
      <c r="AF1132" s="2">
        <v>10</v>
      </c>
      <c r="AG1132">
        <v>9</v>
      </c>
      <c r="AH1132">
        <v>6</v>
      </c>
      <c r="AI1132">
        <v>8</v>
      </c>
      <c r="AJ1132" s="2" t="str">
        <f>IF(A1132 A1132 &lt;= 25, "18-25", IF(A1132 &lt;=35, "26-35", IF(A1132 &lt;=45, "36-45", IF(Table3[[#This Row],[Age]] &lt;=55, "46-55", "56+"))))</f>
        <v>26-35</v>
      </c>
      <c r="AK1132" t="str">
        <f t="shared" si="17"/>
        <v>Low</v>
      </c>
      <c r="AL1132" s="2" t="str">
        <f>IF(AF1132 &lt; 3, "0-2 Years", IF(AF1132 &lt;= 5, "3-5 Years", IF(AF1132 &lt;= 10, "6-10 Years",IF(Table3[[#This Row],[Years At Company]]&lt;=20, "11-20 Years","20+ Years"))))</f>
        <v>6-10 Years</v>
      </c>
    </row>
    <row r="1133" spans="1:38" x14ac:dyDescent="0.25">
      <c r="A1133" s="2">
        <v>34</v>
      </c>
      <c r="B1133" t="s">
        <v>43</v>
      </c>
      <c r="C1133" t="s">
        <v>44</v>
      </c>
      <c r="D1133" s="2">
        <v>653</v>
      </c>
      <c r="E1133" t="s">
        <v>45</v>
      </c>
      <c r="F1133" s="2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 s="2">
        <v>5063</v>
      </c>
      <c r="T1133">
        <v>15332</v>
      </c>
      <c r="U1133">
        <v>1</v>
      </c>
      <c r="V1133" t="s">
        <v>42</v>
      </c>
      <c r="W1133" t="s">
        <v>43</v>
      </c>
      <c r="X1133" s="2">
        <v>14</v>
      </c>
      <c r="Y1133">
        <v>3</v>
      </c>
      <c r="Z1133">
        <v>2</v>
      </c>
      <c r="AA1133">
        <v>80</v>
      </c>
      <c r="AB1133">
        <v>1</v>
      </c>
      <c r="AC1133" s="2">
        <v>8</v>
      </c>
      <c r="AD1133">
        <v>3</v>
      </c>
      <c r="AE1133">
        <v>2</v>
      </c>
      <c r="AF1133" s="2">
        <v>8</v>
      </c>
      <c r="AG1133">
        <v>2</v>
      </c>
      <c r="AH1133">
        <v>7</v>
      </c>
      <c r="AI1133">
        <v>7</v>
      </c>
      <c r="AJ1133" s="2" t="str">
        <f>IF(A1133 A1133 &lt;= 25, "18-25", IF(A1133 &lt;=35, "26-35", IF(A1133 &lt;=45, "36-45", IF(Table3[[#This Row],[Age]] &lt;=55, "46-55", "56+"))))</f>
        <v>26-35</v>
      </c>
      <c r="AK1133" t="str">
        <f t="shared" si="17"/>
        <v>Medium</v>
      </c>
      <c r="AL1133" s="2" t="str">
        <f>IF(AF1133 &lt; 3, "0-2 Years", IF(AF1133 &lt;= 5, "3-5 Years", IF(AF1133 &lt;= 10, "6-10 Years",IF(Table3[[#This Row],[Years At Company]]&lt;=20, "11-20 Years","20+ Years"))))</f>
        <v>6-10 Years</v>
      </c>
    </row>
    <row r="1134" spans="1:38" x14ac:dyDescent="0.25">
      <c r="A1134" s="2">
        <v>40</v>
      </c>
      <c r="B1134" t="s">
        <v>43</v>
      </c>
      <c r="C1134" t="s">
        <v>36</v>
      </c>
      <c r="D1134" s="2">
        <v>118</v>
      </c>
      <c r="E1134" t="s">
        <v>37</v>
      </c>
      <c r="F1134" s="2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 s="2">
        <v>4639</v>
      </c>
      <c r="T1134">
        <v>11262</v>
      </c>
      <c r="U1134">
        <v>1</v>
      </c>
      <c r="V1134" t="s">
        <v>42</v>
      </c>
      <c r="W1134" t="s">
        <v>43</v>
      </c>
      <c r="X1134" s="2">
        <v>15</v>
      </c>
      <c r="Y1134">
        <v>3</v>
      </c>
      <c r="Z1134">
        <v>3</v>
      </c>
      <c r="AA1134">
        <v>80</v>
      </c>
      <c r="AB1134">
        <v>1</v>
      </c>
      <c r="AC1134" s="2">
        <v>5</v>
      </c>
      <c r="AD1134">
        <v>2</v>
      </c>
      <c r="AE1134">
        <v>3</v>
      </c>
      <c r="AF1134" s="2">
        <v>5</v>
      </c>
      <c r="AG1134">
        <v>4</v>
      </c>
      <c r="AH1134">
        <v>1</v>
      </c>
      <c r="AI1134">
        <v>2</v>
      </c>
      <c r="AJ1134" s="2" t="str">
        <f>IF(A1134 A1134 &lt;= 25, "18-25", IF(A1134 &lt;=35, "26-35", IF(A1134 &lt;=45, "36-45", IF(Table3[[#This Row],[Age]] &lt;=55, "46-55", "56+"))))</f>
        <v>36-45</v>
      </c>
      <c r="AK1134" t="str">
        <f t="shared" si="17"/>
        <v>Low</v>
      </c>
      <c r="AL1134" s="2" t="str">
        <f>IF(AF1134 &lt; 3, "0-2 Years", IF(AF1134 &lt;= 5, "3-5 Years", IF(AF1134 &lt;= 10, "6-10 Years",IF(Table3[[#This Row],[Years At Company]]&lt;=20, "11-20 Years","20+ Years"))))</f>
        <v>3-5 Years</v>
      </c>
    </row>
    <row r="1135" spans="1:38" x14ac:dyDescent="0.25">
      <c r="A1135" s="2">
        <v>43</v>
      </c>
      <c r="B1135" t="s">
        <v>43</v>
      </c>
      <c r="C1135" t="s">
        <v>36</v>
      </c>
      <c r="D1135" s="2">
        <v>990</v>
      </c>
      <c r="E1135" t="s">
        <v>45</v>
      </c>
      <c r="F1135" s="2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 s="2">
        <v>4876</v>
      </c>
      <c r="T1135">
        <v>5855</v>
      </c>
      <c r="U1135">
        <v>5</v>
      </c>
      <c r="V1135" t="s">
        <v>42</v>
      </c>
      <c r="W1135" t="s">
        <v>43</v>
      </c>
      <c r="X1135" s="2">
        <v>12</v>
      </c>
      <c r="Y1135">
        <v>3</v>
      </c>
      <c r="Z1135">
        <v>3</v>
      </c>
      <c r="AA1135">
        <v>80</v>
      </c>
      <c r="AB1135">
        <v>1</v>
      </c>
      <c r="AC1135" s="2">
        <v>8</v>
      </c>
      <c r="AD1135">
        <v>0</v>
      </c>
      <c r="AE1135">
        <v>3</v>
      </c>
      <c r="AF1135" s="2">
        <v>6</v>
      </c>
      <c r="AG1135">
        <v>4</v>
      </c>
      <c r="AH1135">
        <v>0</v>
      </c>
      <c r="AI1135">
        <v>2</v>
      </c>
      <c r="AJ1135" s="2" t="str">
        <f>IF(A1135 A1135 &lt;= 25, "18-25", IF(A1135 &lt;=35, "26-35", IF(A1135 &lt;=45, "36-45", IF(Table3[[#This Row],[Age]] &lt;=55, "46-55", "56+"))))</f>
        <v>36-45</v>
      </c>
      <c r="AK1135" t="str">
        <f t="shared" si="17"/>
        <v>Low</v>
      </c>
      <c r="AL1135" s="2" t="str">
        <f>IF(AF1135 &lt; 3, "0-2 Years", IF(AF1135 &lt;= 5, "3-5 Years", IF(AF1135 &lt;= 10, "6-10 Years",IF(Table3[[#This Row],[Years At Company]]&lt;=20, "11-20 Years","20+ Years"))))</f>
        <v>6-10 Years</v>
      </c>
    </row>
    <row r="1136" spans="1:38" x14ac:dyDescent="0.25">
      <c r="A1136" s="2">
        <v>35</v>
      </c>
      <c r="B1136" t="s">
        <v>43</v>
      </c>
      <c r="C1136" t="s">
        <v>36</v>
      </c>
      <c r="D1136" s="2">
        <v>1349</v>
      </c>
      <c r="E1136" t="s">
        <v>45</v>
      </c>
      <c r="F1136" s="2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 s="2">
        <v>2690</v>
      </c>
      <c r="T1136">
        <v>7713</v>
      </c>
      <c r="U1136">
        <v>1</v>
      </c>
      <c r="V1136" t="s">
        <v>42</v>
      </c>
      <c r="W1136" t="s">
        <v>43</v>
      </c>
      <c r="X1136" s="2">
        <v>18</v>
      </c>
      <c r="Y1136">
        <v>3</v>
      </c>
      <c r="Z1136">
        <v>4</v>
      </c>
      <c r="AA1136">
        <v>80</v>
      </c>
      <c r="AB1136">
        <v>1</v>
      </c>
      <c r="AC1136" s="2">
        <v>1</v>
      </c>
      <c r="AD1136">
        <v>5</v>
      </c>
      <c r="AE1136">
        <v>2</v>
      </c>
      <c r="AF1136" s="2">
        <v>1</v>
      </c>
      <c r="AG1136">
        <v>0</v>
      </c>
      <c r="AH1136">
        <v>0</v>
      </c>
      <c r="AI1136">
        <v>1</v>
      </c>
      <c r="AJ1136" s="2" t="str">
        <f>IF(A1136 A1136 &lt;= 25, "18-25", IF(A1136 &lt;=35, "26-35", IF(A1136 &lt;=45, "36-45", IF(Table3[[#This Row],[Age]] &lt;=55, "46-55", "56+"))))</f>
        <v>26-35</v>
      </c>
      <c r="AK1136" t="str">
        <f t="shared" si="17"/>
        <v>Low</v>
      </c>
      <c r="AL1136" s="2" t="str">
        <f>IF(AF1136 &lt; 3, "0-2 Years", IF(AF1136 &lt;= 5, "3-5 Years", IF(AF1136 &lt;= 10, "6-10 Years",IF(Table3[[#This Row],[Years At Company]]&lt;=20, "11-20 Years","20+ Years"))))</f>
        <v>0-2 Years</v>
      </c>
    </row>
    <row r="1137" spans="1:38" x14ac:dyDescent="0.25">
      <c r="A1137" s="2">
        <v>46</v>
      </c>
      <c r="B1137" t="s">
        <v>43</v>
      </c>
      <c r="C1137" t="s">
        <v>36</v>
      </c>
      <c r="D1137" s="2">
        <v>563</v>
      </c>
      <c r="E1137" t="s">
        <v>37</v>
      </c>
      <c r="F1137" s="2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 s="2">
        <v>17567</v>
      </c>
      <c r="T1137">
        <v>3156</v>
      </c>
      <c r="U1137">
        <v>1</v>
      </c>
      <c r="V1137" t="s">
        <v>42</v>
      </c>
      <c r="W1137" t="s">
        <v>43</v>
      </c>
      <c r="X1137" s="2">
        <v>15</v>
      </c>
      <c r="Y1137">
        <v>3</v>
      </c>
      <c r="Z1137">
        <v>2</v>
      </c>
      <c r="AA1137">
        <v>80</v>
      </c>
      <c r="AB1137">
        <v>0</v>
      </c>
      <c r="AC1137" s="2">
        <v>27</v>
      </c>
      <c r="AD1137">
        <v>5</v>
      </c>
      <c r="AE1137">
        <v>1</v>
      </c>
      <c r="AF1137" s="2">
        <v>26</v>
      </c>
      <c r="AG1137">
        <v>0</v>
      </c>
      <c r="AH1137">
        <v>0</v>
      </c>
      <c r="AI1137">
        <v>12</v>
      </c>
      <c r="AJ1137" s="2" t="str">
        <f>IF(A1137 A1137 &lt;= 25, "18-25", IF(A1137 &lt;=35, "26-35", IF(A1137 &lt;=45, "36-45", IF(Table3[[#This Row],[Age]] &lt;=55, "46-55", "56+"))))</f>
        <v>46-55</v>
      </c>
      <c r="AK1137" t="str">
        <f t="shared" si="17"/>
        <v>High</v>
      </c>
      <c r="AL1137" s="2" t="str">
        <f>IF(AF1137 &lt; 3, "0-2 Years", IF(AF1137 &lt;= 5, "3-5 Years", IF(AF1137 &lt;= 10, "6-10 Years",IF(Table3[[#This Row],[Years At Company]]&lt;=20, "11-20 Years","20+ Years"))))</f>
        <v>20+ Years</v>
      </c>
    </row>
    <row r="1138" spans="1:38" x14ac:dyDescent="0.25">
      <c r="A1138" s="2">
        <v>28</v>
      </c>
      <c r="B1138" t="s">
        <v>35</v>
      </c>
      <c r="C1138" t="s">
        <v>36</v>
      </c>
      <c r="D1138" s="2">
        <v>329</v>
      </c>
      <c r="E1138" t="s">
        <v>45</v>
      </c>
      <c r="F1138" s="2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 s="2">
        <v>2408</v>
      </c>
      <c r="T1138">
        <v>7324</v>
      </c>
      <c r="U1138">
        <v>1</v>
      </c>
      <c r="V1138" t="s">
        <v>42</v>
      </c>
      <c r="W1138" t="s">
        <v>35</v>
      </c>
      <c r="X1138" s="2">
        <v>17</v>
      </c>
      <c r="Y1138">
        <v>3</v>
      </c>
      <c r="Z1138">
        <v>3</v>
      </c>
      <c r="AA1138">
        <v>80</v>
      </c>
      <c r="AB1138">
        <v>3</v>
      </c>
      <c r="AC1138" s="2">
        <v>1</v>
      </c>
      <c r="AD1138">
        <v>3</v>
      </c>
      <c r="AE1138">
        <v>3</v>
      </c>
      <c r="AF1138" s="2">
        <v>1</v>
      </c>
      <c r="AG1138">
        <v>1</v>
      </c>
      <c r="AH1138">
        <v>0</v>
      </c>
      <c r="AI1138">
        <v>0</v>
      </c>
      <c r="AJ1138" s="2" t="str">
        <f>IF(A1138 A1138 &lt;= 25, "18-25", IF(A1138 &lt;=35, "26-35", IF(A1138 &lt;=45, "36-45", IF(Table3[[#This Row],[Age]] &lt;=55, "46-55", "56+"))))</f>
        <v>26-35</v>
      </c>
      <c r="AK1138" t="str">
        <f t="shared" si="17"/>
        <v>Low</v>
      </c>
      <c r="AL1138" s="2" t="str">
        <f>IF(AF1138 &lt; 3, "0-2 Years", IF(AF1138 &lt;= 5, "3-5 Years", IF(AF1138 &lt;= 10, "6-10 Years",IF(Table3[[#This Row],[Years At Company]]&lt;=20, "11-20 Years","20+ Years"))))</f>
        <v>0-2 Years</v>
      </c>
    </row>
    <row r="1139" spans="1:38" x14ac:dyDescent="0.25">
      <c r="A1139" s="2">
        <v>22</v>
      </c>
      <c r="B1139" t="s">
        <v>43</v>
      </c>
      <c r="C1139" t="s">
        <v>55</v>
      </c>
      <c r="D1139" s="2">
        <v>457</v>
      </c>
      <c r="E1139" t="s">
        <v>45</v>
      </c>
      <c r="F1139" s="2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 s="2">
        <v>2814</v>
      </c>
      <c r="T1139">
        <v>10293</v>
      </c>
      <c r="U1139">
        <v>1</v>
      </c>
      <c r="V1139" t="s">
        <v>42</v>
      </c>
      <c r="W1139" t="s">
        <v>35</v>
      </c>
      <c r="X1139" s="2">
        <v>14</v>
      </c>
      <c r="Y1139">
        <v>3</v>
      </c>
      <c r="Z1139">
        <v>2</v>
      </c>
      <c r="AA1139">
        <v>80</v>
      </c>
      <c r="AB1139">
        <v>0</v>
      </c>
      <c r="AC1139" s="2">
        <v>4</v>
      </c>
      <c r="AD1139">
        <v>2</v>
      </c>
      <c r="AE1139">
        <v>2</v>
      </c>
      <c r="AF1139" s="2">
        <v>4</v>
      </c>
      <c r="AG1139">
        <v>2</v>
      </c>
      <c r="AH1139">
        <v>1</v>
      </c>
      <c r="AI1139">
        <v>3</v>
      </c>
      <c r="AJ1139" s="2" t="str">
        <f>IF(A1139 A1139 &lt;= 25, "18-25", IF(A1139 &lt;=35, "26-35", IF(A1139 &lt;=45, "36-45", IF(Table3[[#This Row],[Age]] &lt;=55, "46-55", "56+"))))</f>
        <v>18-25</v>
      </c>
      <c r="AK1139" t="str">
        <f t="shared" si="17"/>
        <v>Low</v>
      </c>
      <c r="AL1139" s="2" t="str">
        <f>IF(AF1139 &lt; 3, "0-2 Years", IF(AF1139 &lt;= 5, "3-5 Years", IF(AF1139 &lt;= 10, "6-10 Years",IF(Table3[[#This Row],[Years At Company]]&lt;=20, "11-20 Years","20+ Years"))))</f>
        <v>3-5 Years</v>
      </c>
    </row>
    <row r="1140" spans="1:38" x14ac:dyDescent="0.25">
      <c r="A1140" s="2">
        <v>50</v>
      </c>
      <c r="B1140" t="s">
        <v>43</v>
      </c>
      <c r="C1140" t="s">
        <v>44</v>
      </c>
      <c r="D1140" s="2">
        <v>1234</v>
      </c>
      <c r="E1140" t="s">
        <v>45</v>
      </c>
      <c r="F1140" s="2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 s="2">
        <v>11245</v>
      </c>
      <c r="T1140">
        <v>20689</v>
      </c>
      <c r="U1140">
        <v>2</v>
      </c>
      <c r="V1140" t="s">
        <v>42</v>
      </c>
      <c r="W1140" t="s">
        <v>35</v>
      </c>
      <c r="X1140" s="2">
        <v>15</v>
      </c>
      <c r="Y1140">
        <v>3</v>
      </c>
      <c r="Z1140">
        <v>3</v>
      </c>
      <c r="AA1140">
        <v>80</v>
      </c>
      <c r="AB1140">
        <v>1</v>
      </c>
      <c r="AC1140" s="2">
        <v>32</v>
      </c>
      <c r="AD1140">
        <v>3</v>
      </c>
      <c r="AE1140">
        <v>3</v>
      </c>
      <c r="AF1140" s="2">
        <v>30</v>
      </c>
      <c r="AG1140">
        <v>8</v>
      </c>
      <c r="AH1140">
        <v>12</v>
      </c>
      <c r="AI1140">
        <v>13</v>
      </c>
      <c r="AJ1140" s="2" t="str">
        <f>IF(A1140 A1140 &lt;= 25, "18-25", IF(A1140 &lt;=35, "26-35", IF(A1140 &lt;=45, "36-45", IF(Table3[[#This Row],[Age]] &lt;=55, "46-55", "56+"))))</f>
        <v>46-55</v>
      </c>
      <c r="AK1140" t="str">
        <f t="shared" si="17"/>
        <v>High</v>
      </c>
      <c r="AL1140" s="2" t="str">
        <f>IF(AF1140 &lt; 3, "0-2 Years", IF(AF1140 &lt;= 5, "3-5 Years", IF(AF1140 &lt;= 10, "6-10 Years",IF(Table3[[#This Row],[Years At Company]]&lt;=20, "11-20 Years","20+ Years"))))</f>
        <v>20+ Years</v>
      </c>
    </row>
    <row r="1141" spans="1:38" x14ac:dyDescent="0.25">
      <c r="A1141" s="2">
        <v>32</v>
      </c>
      <c r="B1141" t="s">
        <v>43</v>
      </c>
      <c r="C1141" t="s">
        <v>36</v>
      </c>
      <c r="D1141" s="2">
        <v>634</v>
      </c>
      <c r="E1141" t="s">
        <v>45</v>
      </c>
      <c r="F1141" s="2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 s="2">
        <v>3312</v>
      </c>
      <c r="T1141">
        <v>18783</v>
      </c>
      <c r="U1141">
        <v>3</v>
      </c>
      <c r="V1141" t="s">
        <v>42</v>
      </c>
      <c r="W1141" t="s">
        <v>43</v>
      </c>
      <c r="X1141" s="2">
        <v>17</v>
      </c>
      <c r="Y1141">
        <v>3</v>
      </c>
      <c r="Z1141">
        <v>4</v>
      </c>
      <c r="AA1141">
        <v>80</v>
      </c>
      <c r="AB1141">
        <v>2</v>
      </c>
      <c r="AC1141" s="2">
        <v>6</v>
      </c>
      <c r="AD1141">
        <v>3</v>
      </c>
      <c r="AE1141">
        <v>3</v>
      </c>
      <c r="AF1141" s="2">
        <v>3</v>
      </c>
      <c r="AG1141">
        <v>2</v>
      </c>
      <c r="AH1141">
        <v>0</v>
      </c>
      <c r="AI1141">
        <v>2</v>
      </c>
      <c r="AJ1141" s="2" t="str">
        <f>IF(A1141 A1141 &lt;= 25, "18-25", IF(A1141 &lt;=35, "26-35", IF(A1141 &lt;=45, "36-45", IF(Table3[[#This Row],[Age]] &lt;=55, "46-55", "56+"))))</f>
        <v>26-35</v>
      </c>
      <c r="AK1141" t="str">
        <f t="shared" si="17"/>
        <v>Low</v>
      </c>
      <c r="AL1141" s="2" t="str">
        <f>IF(AF1141 &lt; 3, "0-2 Years", IF(AF1141 &lt;= 5, "3-5 Years", IF(AF1141 &lt;= 10, "6-10 Years",IF(Table3[[#This Row],[Years At Company]]&lt;=20, "11-20 Years","20+ Years"))))</f>
        <v>3-5 Years</v>
      </c>
    </row>
    <row r="1142" spans="1:38" x14ac:dyDescent="0.25">
      <c r="A1142" s="2">
        <v>44</v>
      </c>
      <c r="B1142" t="s">
        <v>43</v>
      </c>
      <c r="C1142" t="s">
        <v>36</v>
      </c>
      <c r="D1142" s="2">
        <v>1313</v>
      </c>
      <c r="E1142" t="s">
        <v>45</v>
      </c>
      <c r="F1142" s="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 s="2">
        <v>19049</v>
      </c>
      <c r="T1142">
        <v>3549</v>
      </c>
      <c r="U1142">
        <v>0</v>
      </c>
      <c r="V1142" t="s">
        <v>42</v>
      </c>
      <c r="W1142" t="s">
        <v>35</v>
      </c>
      <c r="X1142" s="2">
        <v>14</v>
      </c>
      <c r="Y1142">
        <v>3</v>
      </c>
      <c r="Z1142">
        <v>4</v>
      </c>
      <c r="AA1142">
        <v>80</v>
      </c>
      <c r="AB1142">
        <v>1</v>
      </c>
      <c r="AC1142" s="2">
        <v>23</v>
      </c>
      <c r="AD1142">
        <v>4</v>
      </c>
      <c r="AE1142">
        <v>2</v>
      </c>
      <c r="AF1142" s="2">
        <v>22</v>
      </c>
      <c r="AG1142">
        <v>7</v>
      </c>
      <c r="AH1142">
        <v>1</v>
      </c>
      <c r="AI1142">
        <v>10</v>
      </c>
      <c r="AJ1142" s="2" t="str">
        <f>IF(A1142 A1142 &lt;= 25, "18-25", IF(A1142 &lt;=35, "26-35", IF(A1142 &lt;=45, "36-45", IF(Table3[[#This Row],[Age]] &lt;=55, "46-55", "56+"))))</f>
        <v>36-45</v>
      </c>
      <c r="AK1142" t="str">
        <f t="shared" si="17"/>
        <v>High</v>
      </c>
      <c r="AL1142" s="2" t="str">
        <f>IF(AF1142 &lt; 3, "0-2 Years", IF(AF1142 &lt;= 5, "3-5 Years", IF(AF1142 &lt;= 10, "6-10 Years",IF(Table3[[#This Row],[Years At Company]]&lt;=20, "11-20 Years","20+ Years"))))</f>
        <v>20+ Years</v>
      </c>
    </row>
    <row r="1143" spans="1:38" x14ac:dyDescent="0.25">
      <c r="A1143" s="2">
        <v>30</v>
      </c>
      <c r="B1143" t="s">
        <v>43</v>
      </c>
      <c r="C1143" t="s">
        <v>36</v>
      </c>
      <c r="D1143" s="2">
        <v>241</v>
      </c>
      <c r="E1143" t="s">
        <v>45</v>
      </c>
      <c r="F1143" s="2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 s="2">
        <v>2141</v>
      </c>
      <c r="T1143">
        <v>5348</v>
      </c>
      <c r="U1143">
        <v>1</v>
      </c>
      <c r="V1143" t="s">
        <v>42</v>
      </c>
      <c r="W1143" t="s">
        <v>43</v>
      </c>
      <c r="X1143" s="2">
        <v>12</v>
      </c>
      <c r="Y1143">
        <v>3</v>
      </c>
      <c r="Z1143">
        <v>2</v>
      </c>
      <c r="AA1143">
        <v>80</v>
      </c>
      <c r="AB1143">
        <v>1</v>
      </c>
      <c r="AC1143" s="2">
        <v>6</v>
      </c>
      <c r="AD1143">
        <v>3</v>
      </c>
      <c r="AE1143">
        <v>2</v>
      </c>
      <c r="AF1143" s="2">
        <v>6</v>
      </c>
      <c r="AG1143">
        <v>4</v>
      </c>
      <c r="AH1143">
        <v>1</v>
      </c>
      <c r="AI1143">
        <v>1</v>
      </c>
      <c r="AJ1143" s="2" t="str">
        <f>IF(A1143 A1143 &lt;= 25, "18-25", IF(A1143 &lt;=35, "26-35", IF(A1143 &lt;=45, "36-45", IF(Table3[[#This Row],[Age]] &lt;=55, "46-55", "56+"))))</f>
        <v>26-35</v>
      </c>
      <c r="AK1143" t="str">
        <f t="shared" si="17"/>
        <v>Low</v>
      </c>
      <c r="AL1143" s="2" t="str">
        <f>IF(AF1143 &lt; 3, "0-2 Years", IF(AF1143 &lt;= 5, "3-5 Years", IF(AF1143 &lt;= 10, "6-10 Years",IF(Table3[[#This Row],[Years At Company]]&lt;=20, "11-20 Years","20+ Years"))))</f>
        <v>6-10 Years</v>
      </c>
    </row>
    <row r="1144" spans="1:38" x14ac:dyDescent="0.25">
      <c r="A1144" s="2">
        <v>45</v>
      </c>
      <c r="B1144" t="s">
        <v>43</v>
      </c>
      <c r="C1144" t="s">
        <v>36</v>
      </c>
      <c r="D1144" s="2">
        <v>1015</v>
      </c>
      <c r="E1144" t="s">
        <v>45</v>
      </c>
      <c r="F1144" s="2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 s="2">
        <v>5769</v>
      </c>
      <c r="T1144">
        <v>23447</v>
      </c>
      <c r="U1144">
        <v>1</v>
      </c>
      <c r="V1144" t="s">
        <v>42</v>
      </c>
      <c r="W1144" t="s">
        <v>35</v>
      </c>
      <c r="X1144" s="2">
        <v>14</v>
      </c>
      <c r="Y1144">
        <v>3</v>
      </c>
      <c r="Z1144">
        <v>1</v>
      </c>
      <c r="AA1144">
        <v>80</v>
      </c>
      <c r="AB1144">
        <v>0</v>
      </c>
      <c r="AC1144" s="2">
        <v>10</v>
      </c>
      <c r="AD1144">
        <v>3</v>
      </c>
      <c r="AE1144">
        <v>3</v>
      </c>
      <c r="AF1144" s="2">
        <v>10</v>
      </c>
      <c r="AG1144">
        <v>7</v>
      </c>
      <c r="AH1144">
        <v>1</v>
      </c>
      <c r="AI1144">
        <v>4</v>
      </c>
      <c r="AJ1144" s="2" t="str">
        <f>IF(A1144 A1144 &lt;= 25, "18-25", IF(A1144 &lt;=35, "26-35", IF(A1144 &lt;=45, "36-45", IF(Table3[[#This Row],[Age]] &lt;=55, "46-55", "56+"))))</f>
        <v>36-45</v>
      </c>
      <c r="AK1144" t="str">
        <f t="shared" si="17"/>
        <v>Medium</v>
      </c>
      <c r="AL1144" s="2" t="str">
        <f>IF(AF1144 &lt; 3, "0-2 Years", IF(AF1144 &lt;= 5, "3-5 Years", IF(AF1144 &lt;= 10, "6-10 Years",IF(Table3[[#This Row],[Years At Company]]&lt;=20, "11-20 Years","20+ Years"))))</f>
        <v>6-10 Years</v>
      </c>
    </row>
    <row r="1145" spans="1:38" x14ac:dyDescent="0.25">
      <c r="A1145" s="2">
        <v>45</v>
      </c>
      <c r="B1145" t="s">
        <v>43</v>
      </c>
      <c r="C1145" t="s">
        <v>55</v>
      </c>
      <c r="D1145" s="2">
        <v>336</v>
      </c>
      <c r="E1145" t="s">
        <v>37</v>
      </c>
      <c r="F1145" s="2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 s="2">
        <v>4385</v>
      </c>
      <c r="T1145">
        <v>24162</v>
      </c>
      <c r="U1145">
        <v>1</v>
      </c>
      <c r="V1145" t="s">
        <v>42</v>
      </c>
      <c r="W1145" t="s">
        <v>43</v>
      </c>
      <c r="X1145" s="2">
        <v>15</v>
      </c>
      <c r="Y1145">
        <v>3</v>
      </c>
      <c r="Z1145">
        <v>1</v>
      </c>
      <c r="AA1145">
        <v>80</v>
      </c>
      <c r="AB1145">
        <v>1</v>
      </c>
      <c r="AC1145" s="2">
        <v>10</v>
      </c>
      <c r="AD1145">
        <v>2</v>
      </c>
      <c r="AE1145">
        <v>3</v>
      </c>
      <c r="AF1145" s="2">
        <v>10</v>
      </c>
      <c r="AG1145">
        <v>7</v>
      </c>
      <c r="AH1145">
        <v>4</v>
      </c>
      <c r="AI1145">
        <v>5</v>
      </c>
      <c r="AJ1145" s="2" t="str">
        <f>IF(A1145 A1145 &lt;= 25, "18-25", IF(A1145 &lt;=35, "26-35", IF(A1145 &lt;=45, "36-45", IF(Table3[[#This Row],[Age]] &lt;=55, "46-55", "56+"))))</f>
        <v>36-45</v>
      </c>
      <c r="AK1145" t="str">
        <f t="shared" si="17"/>
        <v>Low</v>
      </c>
      <c r="AL1145" s="2" t="str">
        <f>IF(AF1145 &lt; 3, "0-2 Years", IF(AF1145 &lt;= 5, "3-5 Years", IF(AF1145 &lt;= 10, "6-10 Years",IF(Table3[[#This Row],[Years At Company]]&lt;=20, "11-20 Years","20+ Years"))))</f>
        <v>6-10 Years</v>
      </c>
    </row>
    <row r="1146" spans="1:38" x14ac:dyDescent="0.25">
      <c r="A1146" s="2">
        <v>31</v>
      </c>
      <c r="B1146" t="s">
        <v>43</v>
      </c>
      <c r="C1146" t="s">
        <v>44</v>
      </c>
      <c r="D1146" s="2">
        <v>715</v>
      </c>
      <c r="E1146" t="s">
        <v>37</v>
      </c>
      <c r="F1146" s="2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 s="2">
        <v>5332</v>
      </c>
      <c r="T1146">
        <v>21602</v>
      </c>
      <c r="U1146">
        <v>7</v>
      </c>
      <c r="V1146" t="s">
        <v>42</v>
      </c>
      <c r="W1146" t="s">
        <v>43</v>
      </c>
      <c r="X1146" s="2">
        <v>13</v>
      </c>
      <c r="Y1146">
        <v>3</v>
      </c>
      <c r="Z1146">
        <v>4</v>
      </c>
      <c r="AA1146">
        <v>80</v>
      </c>
      <c r="AB1146">
        <v>0</v>
      </c>
      <c r="AC1146" s="2">
        <v>10</v>
      </c>
      <c r="AD1146">
        <v>3</v>
      </c>
      <c r="AE1146">
        <v>3</v>
      </c>
      <c r="AF1146" s="2">
        <v>5</v>
      </c>
      <c r="AG1146">
        <v>2</v>
      </c>
      <c r="AH1146">
        <v>0</v>
      </c>
      <c r="AI1146">
        <v>3</v>
      </c>
      <c r="AJ1146" s="2" t="str">
        <f>IF(A1146 A1146 &lt;= 25, "18-25", IF(A1146 &lt;=35, "26-35", IF(A1146 &lt;=45, "36-45", IF(Table3[[#This Row],[Age]] &lt;=55, "46-55", "56+"))))</f>
        <v>26-35</v>
      </c>
      <c r="AK1146" t="str">
        <f t="shared" si="17"/>
        <v>Medium</v>
      </c>
      <c r="AL1146" s="2" t="str">
        <f>IF(AF1146 &lt; 3, "0-2 Years", IF(AF1146 &lt;= 5, "3-5 Years", IF(AF1146 &lt;= 10, "6-10 Years",IF(Table3[[#This Row],[Years At Company]]&lt;=20, "11-20 Years","20+ Years"))))</f>
        <v>3-5 Years</v>
      </c>
    </row>
    <row r="1147" spans="1:38" x14ac:dyDescent="0.25">
      <c r="A1147" s="2">
        <v>36</v>
      </c>
      <c r="B1147" t="s">
        <v>43</v>
      </c>
      <c r="C1147" t="s">
        <v>36</v>
      </c>
      <c r="D1147" s="2">
        <v>559</v>
      </c>
      <c r="E1147" t="s">
        <v>45</v>
      </c>
      <c r="F1147" s="2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 s="2">
        <v>4663</v>
      </c>
      <c r="T1147">
        <v>12421</v>
      </c>
      <c r="U1147">
        <v>9</v>
      </c>
      <c r="V1147" t="s">
        <v>42</v>
      </c>
      <c r="W1147" t="s">
        <v>35</v>
      </c>
      <c r="X1147" s="2">
        <v>12</v>
      </c>
      <c r="Y1147">
        <v>3</v>
      </c>
      <c r="Z1147">
        <v>2</v>
      </c>
      <c r="AA1147">
        <v>80</v>
      </c>
      <c r="AB1147">
        <v>2</v>
      </c>
      <c r="AC1147" s="2">
        <v>7</v>
      </c>
      <c r="AD1147">
        <v>2</v>
      </c>
      <c r="AE1147">
        <v>3</v>
      </c>
      <c r="AF1147" s="2">
        <v>3</v>
      </c>
      <c r="AG1147">
        <v>2</v>
      </c>
      <c r="AH1147">
        <v>1</v>
      </c>
      <c r="AI1147">
        <v>1</v>
      </c>
      <c r="AJ1147" s="2" t="str">
        <f>IF(A1147 A1147 &lt;= 25, "18-25", IF(A1147 &lt;=35, "26-35", IF(A1147 &lt;=45, "36-45", IF(Table3[[#This Row],[Age]] &lt;=55, "46-55", "56+"))))</f>
        <v>36-45</v>
      </c>
      <c r="AK1147" t="str">
        <f t="shared" si="17"/>
        <v>Low</v>
      </c>
      <c r="AL1147" s="2" t="str">
        <f>IF(AF1147 &lt; 3, "0-2 Years", IF(AF1147 &lt;= 5, "3-5 Years", IF(AF1147 &lt;= 10, "6-10 Years",IF(Table3[[#This Row],[Years At Company]]&lt;=20, "11-20 Years","20+ Years"))))</f>
        <v>3-5 Years</v>
      </c>
    </row>
    <row r="1148" spans="1:38" x14ac:dyDescent="0.25">
      <c r="A1148" s="2">
        <v>34</v>
      </c>
      <c r="B1148" t="s">
        <v>43</v>
      </c>
      <c r="C1148" t="s">
        <v>44</v>
      </c>
      <c r="D1148" s="2">
        <v>426</v>
      </c>
      <c r="E1148" t="s">
        <v>45</v>
      </c>
      <c r="F1148" s="2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 s="2">
        <v>4724</v>
      </c>
      <c r="T1148">
        <v>17000</v>
      </c>
      <c r="U1148">
        <v>1</v>
      </c>
      <c r="V1148" t="s">
        <v>42</v>
      </c>
      <c r="W1148" t="s">
        <v>43</v>
      </c>
      <c r="X1148" s="2">
        <v>13</v>
      </c>
      <c r="Y1148">
        <v>3</v>
      </c>
      <c r="Z1148">
        <v>1</v>
      </c>
      <c r="AA1148">
        <v>80</v>
      </c>
      <c r="AB1148">
        <v>1</v>
      </c>
      <c r="AC1148" s="2">
        <v>9</v>
      </c>
      <c r="AD1148">
        <v>3</v>
      </c>
      <c r="AE1148">
        <v>3</v>
      </c>
      <c r="AF1148" s="2">
        <v>9</v>
      </c>
      <c r="AG1148">
        <v>7</v>
      </c>
      <c r="AH1148">
        <v>7</v>
      </c>
      <c r="AI1148">
        <v>2</v>
      </c>
      <c r="AJ1148" s="2" t="str">
        <f>IF(A1148 A1148 &lt;= 25, "18-25", IF(A1148 &lt;=35, "26-35", IF(A1148 &lt;=45, "36-45", IF(Table3[[#This Row],[Age]] &lt;=55, "46-55", "56+"))))</f>
        <v>26-35</v>
      </c>
      <c r="AK1148" t="str">
        <f t="shared" si="17"/>
        <v>Low</v>
      </c>
      <c r="AL1148" s="2" t="str">
        <f>IF(AF1148 &lt; 3, "0-2 Years", IF(AF1148 &lt;= 5, "3-5 Years", IF(AF1148 &lt;= 10, "6-10 Years",IF(Table3[[#This Row],[Years At Company]]&lt;=20, "11-20 Years","20+ Years"))))</f>
        <v>6-10 Years</v>
      </c>
    </row>
    <row r="1149" spans="1:38" x14ac:dyDescent="0.25">
      <c r="A1149" s="2">
        <v>49</v>
      </c>
      <c r="B1149" t="s">
        <v>43</v>
      </c>
      <c r="C1149" t="s">
        <v>36</v>
      </c>
      <c r="D1149" s="2">
        <v>722</v>
      </c>
      <c r="E1149" t="s">
        <v>45</v>
      </c>
      <c r="F1149" s="2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 s="2">
        <v>3211</v>
      </c>
      <c r="T1149">
        <v>22102</v>
      </c>
      <c r="U1149">
        <v>1</v>
      </c>
      <c r="V1149" t="s">
        <v>42</v>
      </c>
      <c r="W1149" t="s">
        <v>43</v>
      </c>
      <c r="X1149" s="2">
        <v>14</v>
      </c>
      <c r="Y1149">
        <v>3</v>
      </c>
      <c r="Z1149">
        <v>4</v>
      </c>
      <c r="AA1149">
        <v>80</v>
      </c>
      <c r="AB1149">
        <v>1</v>
      </c>
      <c r="AC1149" s="2">
        <v>10</v>
      </c>
      <c r="AD1149">
        <v>3</v>
      </c>
      <c r="AE1149">
        <v>2</v>
      </c>
      <c r="AF1149" s="2">
        <v>9</v>
      </c>
      <c r="AG1149">
        <v>6</v>
      </c>
      <c r="AH1149">
        <v>1</v>
      </c>
      <c r="AI1149">
        <v>4</v>
      </c>
      <c r="AJ1149" s="2" t="str">
        <f>IF(A1149 A1149 &lt;= 25, "18-25", IF(A1149 &lt;=35, "26-35", IF(A1149 &lt;=45, "36-45", IF(Table3[[#This Row],[Age]] &lt;=55, "46-55", "56+"))))</f>
        <v>46-55</v>
      </c>
      <c r="AK1149" t="str">
        <f t="shared" si="17"/>
        <v>Low</v>
      </c>
      <c r="AL1149" s="2" t="str">
        <f>IF(AF1149 &lt; 3, "0-2 Years", IF(AF1149 &lt;= 5, "3-5 Years", IF(AF1149 &lt;= 10, "6-10 Years",IF(Table3[[#This Row],[Years At Company]]&lt;=20, "11-20 Years","20+ Years"))))</f>
        <v>6-10 Years</v>
      </c>
    </row>
    <row r="1150" spans="1:38" x14ac:dyDescent="0.25">
      <c r="A1150" s="2">
        <v>39</v>
      </c>
      <c r="B1150" t="s">
        <v>43</v>
      </c>
      <c r="C1150" t="s">
        <v>36</v>
      </c>
      <c r="D1150" s="2">
        <v>1387</v>
      </c>
      <c r="E1150" t="s">
        <v>45</v>
      </c>
      <c r="F1150" s="2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 s="2">
        <v>5377</v>
      </c>
      <c r="T1150">
        <v>3835</v>
      </c>
      <c r="U1150">
        <v>2</v>
      </c>
      <c r="V1150" t="s">
        <v>42</v>
      </c>
      <c r="W1150" t="s">
        <v>43</v>
      </c>
      <c r="X1150" s="2">
        <v>13</v>
      </c>
      <c r="Y1150">
        <v>3</v>
      </c>
      <c r="Z1150">
        <v>4</v>
      </c>
      <c r="AA1150">
        <v>80</v>
      </c>
      <c r="AB1150">
        <v>3</v>
      </c>
      <c r="AC1150" s="2">
        <v>10</v>
      </c>
      <c r="AD1150">
        <v>3</v>
      </c>
      <c r="AE1150">
        <v>3</v>
      </c>
      <c r="AF1150" s="2">
        <v>7</v>
      </c>
      <c r="AG1150">
        <v>7</v>
      </c>
      <c r="AH1150">
        <v>7</v>
      </c>
      <c r="AI1150">
        <v>7</v>
      </c>
      <c r="AJ1150" s="2" t="str">
        <f>IF(A1150 A1150 &lt;= 25, "18-25", IF(A1150 &lt;=35, "26-35", IF(A1150 &lt;=45, "36-45", IF(Table3[[#This Row],[Age]] &lt;=55, "46-55", "56+"))))</f>
        <v>36-45</v>
      </c>
      <c r="AK1150" t="str">
        <f t="shared" si="17"/>
        <v>Medium</v>
      </c>
      <c r="AL1150" s="2" t="str">
        <f>IF(AF1150 &lt; 3, "0-2 Years", IF(AF1150 &lt;= 5, "3-5 Years", IF(AF1150 &lt;= 10, "6-10 Years",IF(Table3[[#This Row],[Years At Company]]&lt;=20, "11-20 Years","20+ Years"))))</f>
        <v>6-10 Years</v>
      </c>
    </row>
    <row r="1151" spans="1:38" x14ac:dyDescent="0.25">
      <c r="A1151" s="2">
        <v>27</v>
      </c>
      <c r="B1151" t="s">
        <v>43</v>
      </c>
      <c r="C1151" t="s">
        <v>36</v>
      </c>
      <c r="D1151" s="2">
        <v>1302</v>
      </c>
      <c r="E1151" t="s">
        <v>45</v>
      </c>
      <c r="F1151" s="2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 s="2">
        <v>4066</v>
      </c>
      <c r="T1151">
        <v>16290</v>
      </c>
      <c r="U1151">
        <v>1</v>
      </c>
      <c r="V1151" t="s">
        <v>42</v>
      </c>
      <c r="W1151" t="s">
        <v>43</v>
      </c>
      <c r="X1151" s="2">
        <v>11</v>
      </c>
      <c r="Y1151">
        <v>3</v>
      </c>
      <c r="Z1151">
        <v>1</v>
      </c>
      <c r="AA1151">
        <v>80</v>
      </c>
      <c r="AB1151">
        <v>2</v>
      </c>
      <c r="AC1151" s="2">
        <v>7</v>
      </c>
      <c r="AD1151">
        <v>3</v>
      </c>
      <c r="AE1151">
        <v>3</v>
      </c>
      <c r="AF1151" s="2">
        <v>7</v>
      </c>
      <c r="AG1151">
        <v>7</v>
      </c>
      <c r="AH1151">
        <v>0</v>
      </c>
      <c r="AI1151">
        <v>7</v>
      </c>
      <c r="AJ1151" s="2" t="str">
        <f>IF(A1151 A1151 &lt;= 25, "18-25", IF(A1151 &lt;=35, "26-35", IF(A1151 &lt;=45, "36-45", IF(Table3[[#This Row],[Age]] &lt;=55, "46-55", "56+"))))</f>
        <v>26-35</v>
      </c>
      <c r="AK1151" t="str">
        <f t="shared" si="17"/>
        <v>Low</v>
      </c>
      <c r="AL1151" s="2" t="str">
        <f>IF(AF1151 &lt; 3, "0-2 Years", IF(AF1151 &lt;= 5, "3-5 Years", IF(AF1151 &lt;= 10, "6-10 Years",IF(Table3[[#This Row],[Years At Company]]&lt;=20, "11-20 Years","20+ Years"))))</f>
        <v>6-10 Years</v>
      </c>
    </row>
    <row r="1152" spans="1:38" x14ac:dyDescent="0.25">
      <c r="A1152" s="2">
        <v>35</v>
      </c>
      <c r="B1152" t="s">
        <v>43</v>
      </c>
      <c r="C1152" t="s">
        <v>36</v>
      </c>
      <c r="D1152" s="2">
        <v>819</v>
      </c>
      <c r="E1152" t="s">
        <v>45</v>
      </c>
      <c r="F1152" s="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 s="2">
        <v>5208</v>
      </c>
      <c r="T1152">
        <v>26312</v>
      </c>
      <c r="U1152">
        <v>1</v>
      </c>
      <c r="V1152" t="s">
        <v>42</v>
      </c>
      <c r="W1152" t="s">
        <v>43</v>
      </c>
      <c r="X1152" s="2">
        <v>11</v>
      </c>
      <c r="Y1152">
        <v>3</v>
      </c>
      <c r="Z1152">
        <v>4</v>
      </c>
      <c r="AA1152">
        <v>80</v>
      </c>
      <c r="AB1152">
        <v>0</v>
      </c>
      <c r="AC1152" s="2">
        <v>16</v>
      </c>
      <c r="AD1152">
        <v>2</v>
      </c>
      <c r="AE1152">
        <v>3</v>
      </c>
      <c r="AF1152" s="2">
        <v>16</v>
      </c>
      <c r="AG1152">
        <v>15</v>
      </c>
      <c r="AH1152">
        <v>1</v>
      </c>
      <c r="AI1152">
        <v>10</v>
      </c>
      <c r="AJ1152" s="2" t="str">
        <f>IF(A1152 A1152 &lt;= 25, "18-25", IF(A1152 &lt;=35, "26-35", IF(A1152 &lt;=45, "36-45", IF(Table3[[#This Row],[Age]] &lt;=55, "46-55", "56+"))))</f>
        <v>26-35</v>
      </c>
      <c r="AK1152" t="str">
        <f t="shared" si="17"/>
        <v>Medium</v>
      </c>
      <c r="AL1152" s="2" t="str">
        <f>IF(AF1152 &lt; 3, "0-2 Years", IF(AF1152 &lt;= 5, "3-5 Years", IF(AF1152 &lt;= 10, "6-10 Years",IF(Table3[[#This Row],[Years At Company]]&lt;=20, "11-20 Years","20+ Years"))))</f>
        <v>11-20 Years</v>
      </c>
    </row>
    <row r="1153" spans="1:38" x14ac:dyDescent="0.25">
      <c r="A1153" s="2">
        <v>28</v>
      </c>
      <c r="B1153" t="s">
        <v>43</v>
      </c>
      <c r="C1153" t="s">
        <v>36</v>
      </c>
      <c r="D1153" s="2">
        <v>580</v>
      </c>
      <c r="E1153" t="s">
        <v>45</v>
      </c>
      <c r="F1153" s="2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 s="2">
        <v>4877</v>
      </c>
      <c r="T1153">
        <v>20460</v>
      </c>
      <c r="U1153">
        <v>0</v>
      </c>
      <c r="V1153" t="s">
        <v>42</v>
      </c>
      <c r="W1153" t="s">
        <v>43</v>
      </c>
      <c r="X1153" s="2">
        <v>21</v>
      </c>
      <c r="Y1153">
        <v>4</v>
      </c>
      <c r="Z1153">
        <v>2</v>
      </c>
      <c r="AA1153">
        <v>80</v>
      </c>
      <c r="AB1153">
        <v>1</v>
      </c>
      <c r="AC1153" s="2">
        <v>6</v>
      </c>
      <c r="AD1153">
        <v>5</v>
      </c>
      <c r="AE1153">
        <v>2</v>
      </c>
      <c r="AF1153" s="2">
        <v>5</v>
      </c>
      <c r="AG1153">
        <v>3</v>
      </c>
      <c r="AH1153">
        <v>0</v>
      </c>
      <c r="AI1153">
        <v>0</v>
      </c>
      <c r="AJ1153" s="2" t="str">
        <f>IF(A1153 A1153 &lt;= 25, "18-25", IF(A1153 &lt;=35, "26-35", IF(A1153 &lt;=45, "36-45", IF(Table3[[#This Row],[Age]] &lt;=55, "46-55", "56+"))))</f>
        <v>26-35</v>
      </c>
      <c r="AK1153" t="str">
        <f t="shared" si="17"/>
        <v>Low</v>
      </c>
      <c r="AL1153" s="2" t="str">
        <f>IF(AF1153 &lt; 3, "0-2 Years", IF(AF1153 &lt;= 5, "3-5 Years", IF(AF1153 &lt;= 10, "6-10 Years",IF(Table3[[#This Row],[Years At Company]]&lt;=20, "11-20 Years","20+ Years"))))</f>
        <v>3-5 Years</v>
      </c>
    </row>
    <row r="1154" spans="1:38" x14ac:dyDescent="0.25">
      <c r="A1154" s="2">
        <v>21</v>
      </c>
      <c r="B1154" t="s">
        <v>43</v>
      </c>
      <c r="C1154" t="s">
        <v>36</v>
      </c>
      <c r="D1154" s="2">
        <v>546</v>
      </c>
      <c r="E1154" t="s">
        <v>45</v>
      </c>
      <c r="F1154" s="2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 s="2">
        <v>3117</v>
      </c>
      <c r="T1154">
        <v>26009</v>
      </c>
      <c r="U1154">
        <v>1</v>
      </c>
      <c r="V1154" t="s">
        <v>42</v>
      </c>
      <c r="W1154" t="s">
        <v>43</v>
      </c>
      <c r="X1154" s="2">
        <v>18</v>
      </c>
      <c r="Y1154">
        <v>3</v>
      </c>
      <c r="Z1154">
        <v>3</v>
      </c>
      <c r="AA1154">
        <v>80</v>
      </c>
      <c r="AB1154">
        <v>0</v>
      </c>
      <c r="AC1154" s="2">
        <v>3</v>
      </c>
      <c r="AD1154">
        <v>2</v>
      </c>
      <c r="AE1154">
        <v>3</v>
      </c>
      <c r="AF1154" s="2">
        <v>2</v>
      </c>
      <c r="AG1154">
        <v>2</v>
      </c>
      <c r="AH1154">
        <v>2</v>
      </c>
      <c r="AI1154">
        <v>2</v>
      </c>
      <c r="AJ1154" s="2" t="str">
        <f>IF(A1154 A1154 &lt;= 25, "18-25", IF(A1154 &lt;=35, "26-35", IF(A1154 &lt;=45, "36-45", IF(Table3[[#This Row],[Age]] &lt;=55, "46-55", "56+"))))</f>
        <v>18-25</v>
      </c>
      <c r="AK1154" t="str">
        <f t="shared" ref="AK1154:AK1217" si="18">IF(S1154 &lt; 5000, "Low",IF(S1154 &lt;=9999, "Medium", "High"))</f>
        <v>Low</v>
      </c>
      <c r="AL1154" s="2" t="str">
        <f>IF(AF1154 &lt; 3, "0-2 Years", IF(AF1154 &lt;= 5, "3-5 Years", IF(AF1154 &lt;= 10, "6-10 Years",IF(Table3[[#This Row],[Years At Company]]&lt;=20, "11-20 Years","20+ Years"))))</f>
        <v>0-2 Years</v>
      </c>
    </row>
    <row r="1155" spans="1:38" x14ac:dyDescent="0.25">
      <c r="A1155" s="2">
        <v>18</v>
      </c>
      <c r="B1155" t="s">
        <v>35</v>
      </c>
      <c r="C1155" t="s">
        <v>44</v>
      </c>
      <c r="D1155" s="2">
        <v>544</v>
      </c>
      <c r="E1155" t="s">
        <v>37</v>
      </c>
      <c r="F1155" s="2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 s="2">
        <v>1569</v>
      </c>
      <c r="T1155">
        <v>18420</v>
      </c>
      <c r="U1155">
        <v>1</v>
      </c>
      <c r="V1155" t="s">
        <v>42</v>
      </c>
      <c r="W1155" t="s">
        <v>35</v>
      </c>
      <c r="X1155" s="2">
        <v>12</v>
      </c>
      <c r="Y1155">
        <v>3</v>
      </c>
      <c r="Z1155">
        <v>3</v>
      </c>
      <c r="AA1155">
        <v>80</v>
      </c>
      <c r="AB1155">
        <v>0</v>
      </c>
      <c r="AC1155" s="2">
        <v>0</v>
      </c>
      <c r="AD1155">
        <v>2</v>
      </c>
      <c r="AE1155">
        <v>4</v>
      </c>
      <c r="AF1155" s="2">
        <v>0</v>
      </c>
      <c r="AG1155">
        <v>0</v>
      </c>
      <c r="AH1155">
        <v>0</v>
      </c>
      <c r="AI1155">
        <v>0</v>
      </c>
      <c r="AJ1155" s="2" t="str">
        <f>IF(A1155 A1155 &lt;= 25, "18-25", IF(A1155 &lt;=35, "26-35", IF(A1155 &lt;=45, "36-45", IF(Table3[[#This Row],[Age]] &lt;=55, "46-55", "56+"))))</f>
        <v>18-25</v>
      </c>
      <c r="AK1155" t="str">
        <f t="shared" si="18"/>
        <v>Low</v>
      </c>
      <c r="AL1155" s="2" t="str">
        <f>IF(AF1155 &lt; 3, "0-2 Years", IF(AF1155 &lt;= 5, "3-5 Years", IF(AF1155 &lt;= 10, "6-10 Years",IF(Table3[[#This Row],[Years At Company]]&lt;=20, "11-20 Years","20+ Years"))))</f>
        <v>0-2 Years</v>
      </c>
    </row>
    <row r="1156" spans="1:38" x14ac:dyDescent="0.25">
      <c r="A1156" s="2">
        <v>47</v>
      </c>
      <c r="B1156" t="s">
        <v>43</v>
      </c>
      <c r="C1156" t="s">
        <v>36</v>
      </c>
      <c r="D1156" s="2">
        <v>1176</v>
      </c>
      <c r="E1156" t="s">
        <v>61</v>
      </c>
      <c r="F1156" s="2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 s="2">
        <v>19658</v>
      </c>
      <c r="T1156">
        <v>5220</v>
      </c>
      <c r="U1156">
        <v>3</v>
      </c>
      <c r="V1156" t="s">
        <v>42</v>
      </c>
      <c r="W1156" t="s">
        <v>43</v>
      </c>
      <c r="X1156" s="2">
        <v>11</v>
      </c>
      <c r="Y1156">
        <v>3</v>
      </c>
      <c r="Z1156">
        <v>3</v>
      </c>
      <c r="AA1156">
        <v>80</v>
      </c>
      <c r="AB1156">
        <v>1</v>
      </c>
      <c r="AC1156" s="2">
        <v>27</v>
      </c>
      <c r="AD1156">
        <v>2</v>
      </c>
      <c r="AE1156">
        <v>3</v>
      </c>
      <c r="AF1156" s="2">
        <v>5</v>
      </c>
      <c r="AG1156">
        <v>2</v>
      </c>
      <c r="AH1156">
        <v>1</v>
      </c>
      <c r="AI1156">
        <v>0</v>
      </c>
      <c r="AJ1156" s="2" t="str">
        <f>IF(A1156 A1156 &lt;= 25, "18-25", IF(A1156 &lt;=35, "26-35", IF(A1156 &lt;=45, "36-45", IF(Table3[[#This Row],[Age]] &lt;=55, "46-55", "56+"))))</f>
        <v>46-55</v>
      </c>
      <c r="AK1156" t="str">
        <f t="shared" si="18"/>
        <v>High</v>
      </c>
      <c r="AL1156" s="2" t="str">
        <f>IF(AF1156 &lt; 3, "0-2 Years", IF(AF1156 &lt;= 5, "3-5 Years", IF(AF1156 &lt;= 10, "6-10 Years",IF(Table3[[#This Row],[Years At Company]]&lt;=20, "11-20 Years","20+ Years"))))</f>
        <v>3-5 Years</v>
      </c>
    </row>
    <row r="1157" spans="1:38" x14ac:dyDescent="0.25">
      <c r="A1157" s="2">
        <v>39</v>
      </c>
      <c r="B1157" t="s">
        <v>43</v>
      </c>
      <c r="C1157" t="s">
        <v>36</v>
      </c>
      <c r="D1157" s="2">
        <v>170</v>
      </c>
      <c r="E1157" t="s">
        <v>45</v>
      </c>
      <c r="F1157" s="2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 s="2">
        <v>3069</v>
      </c>
      <c r="T1157">
        <v>10302</v>
      </c>
      <c r="U1157">
        <v>0</v>
      </c>
      <c r="V1157" t="s">
        <v>42</v>
      </c>
      <c r="W1157" t="s">
        <v>43</v>
      </c>
      <c r="X1157" s="2">
        <v>15</v>
      </c>
      <c r="Y1157">
        <v>3</v>
      </c>
      <c r="Z1157">
        <v>4</v>
      </c>
      <c r="AA1157">
        <v>80</v>
      </c>
      <c r="AB1157">
        <v>1</v>
      </c>
      <c r="AC1157" s="2">
        <v>11</v>
      </c>
      <c r="AD1157">
        <v>3</v>
      </c>
      <c r="AE1157">
        <v>3</v>
      </c>
      <c r="AF1157" s="2">
        <v>10</v>
      </c>
      <c r="AG1157">
        <v>8</v>
      </c>
      <c r="AH1157">
        <v>0</v>
      </c>
      <c r="AI1157">
        <v>7</v>
      </c>
      <c r="AJ1157" s="2" t="str">
        <f>IF(A1157 A1157 &lt;= 25, "18-25", IF(A1157 &lt;=35, "26-35", IF(A1157 &lt;=45, "36-45", IF(Table3[[#This Row],[Age]] &lt;=55, "46-55", "56+"))))</f>
        <v>36-45</v>
      </c>
      <c r="AK1157" t="str">
        <f t="shared" si="18"/>
        <v>Low</v>
      </c>
      <c r="AL1157" s="2" t="str">
        <f>IF(AF1157 &lt; 3, "0-2 Years", IF(AF1157 &lt;= 5, "3-5 Years", IF(AF1157 &lt;= 10, "6-10 Years",IF(Table3[[#This Row],[Years At Company]]&lt;=20, "11-20 Years","20+ Years"))))</f>
        <v>6-10 Years</v>
      </c>
    </row>
    <row r="1158" spans="1:38" x14ac:dyDescent="0.25">
      <c r="A1158" s="2">
        <v>40</v>
      </c>
      <c r="B1158" t="s">
        <v>43</v>
      </c>
      <c r="C1158" t="s">
        <v>36</v>
      </c>
      <c r="D1158" s="2">
        <v>884</v>
      </c>
      <c r="E1158" t="s">
        <v>45</v>
      </c>
      <c r="F1158" s="2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 s="2">
        <v>10435</v>
      </c>
      <c r="T1158">
        <v>25800</v>
      </c>
      <c r="U1158">
        <v>1</v>
      </c>
      <c r="V1158" t="s">
        <v>42</v>
      </c>
      <c r="W1158" t="s">
        <v>43</v>
      </c>
      <c r="X1158" s="2">
        <v>13</v>
      </c>
      <c r="Y1158">
        <v>3</v>
      </c>
      <c r="Z1158">
        <v>4</v>
      </c>
      <c r="AA1158">
        <v>80</v>
      </c>
      <c r="AB1158">
        <v>2</v>
      </c>
      <c r="AC1158" s="2">
        <v>18</v>
      </c>
      <c r="AD1158">
        <v>2</v>
      </c>
      <c r="AE1158">
        <v>3</v>
      </c>
      <c r="AF1158" s="2">
        <v>18</v>
      </c>
      <c r="AG1158">
        <v>15</v>
      </c>
      <c r="AH1158">
        <v>14</v>
      </c>
      <c r="AI1158">
        <v>12</v>
      </c>
      <c r="AJ1158" s="2" t="str">
        <f>IF(A1158 A1158 &lt;= 25, "18-25", IF(A1158 &lt;=35, "26-35", IF(A1158 &lt;=45, "36-45", IF(Table3[[#This Row],[Age]] &lt;=55, "46-55", "56+"))))</f>
        <v>36-45</v>
      </c>
      <c r="AK1158" t="str">
        <f t="shared" si="18"/>
        <v>High</v>
      </c>
      <c r="AL1158" s="2" t="str">
        <f>IF(AF1158 &lt; 3, "0-2 Years", IF(AF1158 &lt;= 5, "3-5 Years", IF(AF1158 &lt;= 10, "6-10 Years",IF(Table3[[#This Row],[Years At Company]]&lt;=20, "11-20 Years","20+ Years"))))</f>
        <v>11-20 Years</v>
      </c>
    </row>
    <row r="1159" spans="1:38" x14ac:dyDescent="0.25">
      <c r="A1159" s="2">
        <v>35</v>
      </c>
      <c r="B1159" t="s">
        <v>43</v>
      </c>
      <c r="C1159" t="s">
        <v>55</v>
      </c>
      <c r="D1159" s="2">
        <v>208</v>
      </c>
      <c r="E1159" t="s">
        <v>45</v>
      </c>
      <c r="F1159" s="2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 s="2">
        <v>4148</v>
      </c>
      <c r="T1159">
        <v>12250</v>
      </c>
      <c r="U1159">
        <v>1</v>
      </c>
      <c r="V1159" t="s">
        <v>42</v>
      </c>
      <c r="W1159" t="s">
        <v>43</v>
      </c>
      <c r="X1159" s="2">
        <v>12</v>
      </c>
      <c r="Y1159">
        <v>3</v>
      </c>
      <c r="Z1159">
        <v>4</v>
      </c>
      <c r="AA1159">
        <v>80</v>
      </c>
      <c r="AB1159">
        <v>1</v>
      </c>
      <c r="AC1159" s="2">
        <v>15</v>
      </c>
      <c r="AD1159">
        <v>5</v>
      </c>
      <c r="AE1159">
        <v>3</v>
      </c>
      <c r="AF1159" s="2">
        <v>14</v>
      </c>
      <c r="AG1159">
        <v>11</v>
      </c>
      <c r="AH1159">
        <v>2</v>
      </c>
      <c r="AI1159">
        <v>9</v>
      </c>
      <c r="AJ1159" s="2" t="str">
        <f>IF(A1159 A1159 &lt;= 25, "18-25", IF(A1159 &lt;=35, "26-35", IF(A1159 &lt;=45, "36-45", IF(Table3[[#This Row],[Age]] &lt;=55, "46-55", "56+"))))</f>
        <v>26-35</v>
      </c>
      <c r="AK1159" t="str">
        <f t="shared" si="18"/>
        <v>Low</v>
      </c>
      <c r="AL1159" s="2" t="str">
        <f>IF(AF1159 &lt; 3, "0-2 Years", IF(AF1159 &lt;= 5, "3-5 Years", IF(AF1159 &lt;= 10, "6-10 Years",IF(Table3[[#This Row],[Years At Company]]&lt;=20, "11-20 Years","20+ Years"))))</f>
        <v>11-20 Years</v>
      </c>
    </row>
    <row r="1160" spans="1:38" x14ac:dyDescent="0.25">
      <c r="A1160" s="2">
        <v>37</v>
      </c>
      <c r="B1160" t="s">
        <v>43</v>
      </c>
      <c r="C1160" t="s">
        <v>36</v>
      </c>
      <c r="D1160" s="2">
        <v>671</v>
      </c>
      <c r="E1160" t="s">
        <v>45</v>
      </c>
      <c r="F1160" s="2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 s="2">
        <v>5768</v>
      </c>
      <c r="T1160">
        <v>26493</v>
      </c>
      <c r="U1160">
        <v>3</v>
      </c>
      <c r="V1160" t="s">
        <v>42</v>
      </c>
      <c r="W1160" t="s">
        <v>43</v>
      </c>
      <c r="X1160" s="2">
        <v>17</v>
      </c>
      <c r="Y1160">
        <v>3</v>
      </c>
      <c r="Z1160">
        <v>1</v>
      </c>
      <c r="AA1160">
        <v>80</v>
      </c>
      <c r="AB1160">
        <v>3</v>
      </c>
      <c r="AC1160" s="2">
        <v>9</v>
      </c>
      <c r="AD1160">
        <v>2</v>
      </c>
      <c r="AE1160">
        <v>2</v>
      </c>
      <c r="AF1160" s="2">
        <v>4</v>
      </c>
      <c r="AG1160">
        <v>3</v>
      </c>
      <c r="AH1160">
        <v>0</v>
      </c>
      <c r="AI1160">
        <v>2</v>
      </c>
      <c r="AJ1160" s="2" t="str">
        <f>IF(A1160 A1160 &lt;= 25, "18-25", IF(A1160 &lt;=35, "26-35", IF(A1160 &lt;=45, "36-45", IF(Table3[[#This Row],[Age]] &lt;=55, "46-55", "56+"))))</f>
        <v>36-45</v>
      </c>
      <c r="AK1160" t="str">
        <f t="shared" si="18"/>
        <v>Medium</v>
      </c>
      <c r="AL1160" s="2" t="str">
        <f>IF(AF1160 &lt; 3, "0-2 Years", IF(AF1160 &lt;= 5, "3-5 Years", IF(AF1160 &lt;= 10, "6-10 Years",IF(Table3[[#This Row],[Years At Company]]&lt;=20, "11-20 Years","20+ Years"))))</f>
        <v>3-5 Years</v>
      </c>
    </row>
    <row r="1161" spans="1:38" x14ac:dyDescent="0.25">
      <c r="A1161" s="2">
        <v>39</v>
      </c>
      <c r="B1161" t="s">
        <v>43</v>
      </c>
      <c r="C1161" t="s">
        <v>44</v>
      </c>
      <c r="D1161" s="2">
        <v>711</v>
      </c>
      <c r="E1161" t="s">
        <v>45</v>
      </c>
      <c r="F1161" s="2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 s="2">
        <v>5042</v>
      </c>
      <c r="T1161">
        <v>3140</v>
      </c>
      <c r="U1161">
        <v>0</v>
      </c>
      <c r="V1161" t="s">
        <v>42</v>
      </c>
      <c r="W1161" t="s">
        <v>43</v>
      </c>
      <c r="X1161" s="2">
        <v>13</v>
      </c>
      <c r="Y1161">
        <v>3</v>
      </c>
      <c r="Z1161">
        <v>4</v>
      </c>
      <c r="AA1161">
        <v>80</v>
      </c>
      <c r="AB1161">
        <v>0</v>
      </c>
      <c r="AC1161" s="2">
        <v>10</v>
      </c>
      <c r="AD1161">
        <v>2</v>
      </c>
      <c r="AE1161">
        <v>1</v>
      </c>
      <c r="AF1161" s="2">
        <v>9</v>
      </c>
      <c r="AG1161">
        <v>2</v>
      </c>
      <c r="AH1161">
        <v>3</v>
      </c>
      <c r="AI1161">
        <v>8</v>
      </c>
      <c r="AJ1161" s="2" t="str">
        <f>IF(A1161 A1161 &lt;= 25, "18-25", IF(A1161 &lt;=35, "26-35", IF(A1161 &lt;=45, "36-45", IF(Table3[[#This Row],[Age]] &lt;=55, "46-55", "56+"))))</f>
        <v>36-45</v>
      </c>
      <c r="AK1161" t="str">
        <f t="shared" si="18"/>
        <v>Medium</v>
      </c>
      <c r="AL1161" s="2" t="str">
        <f>IF(AF1161 &lt; 3, "0-2 Years", IF(AF1161 &lt;= 5, "3-5 Years", IF(AF1161 &lt;= 10, "6-10 Years",IF(Table3[[#This Row],[Years At Company]]&lt;=20, "11-20 Years","20+ Years"))))</f>
        <v>6-10 Years</v>
      </c>
    </row>
    <row r="1162" spans="1:38" x14ac:dyDescent="0.25">
      <c r="A1162" s="2">
        <v>45</v>
      </c>
      <c r="B1162" t="s">
        <v>43</v>
      </c>
      <c r="C1162" t="s">
        <v>36</v>
      </c>
      <c r="D1162" s="2">
        <v>1329</v>
      </c>
      <c r="E1162" t="s">
        <v>45</v>
      </c>
      <c r="F1162" s="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 s="2">
        <v>5770</v>
      </c>
      <c r="T1162">
        <v>5388</v>
      </c>
      <c r="U1162">
        <v>1</v>
      </c>
      <c r="V1162" t="s">
        <v>42</v>
      </c>
      <c r="W1162" t="s">
        <v>43</v>
      </c>
      <c r="X1162" s="2">
        <v>19</v>
      </c>
      <c r="Y1162">
        <v>3</v>
      </c>
      <c r="Z1162">
        <v>1</v>
      </c>
      <c r="AA1162">
        <v>80</v>
      </c>
      <c r="AB1162">
        <v>2</v>
      </c>
      <c r="AC1162" s="2">
        <v>10</v>
      </c>
      <c r="AD1162">
        <v>3</v>
      </c>
      <c r="AE1162">
        <v>3</v>
      </c>
      <c r="AF1162" s="2">
        <v>10</v>
      </c>
      <c r="AG1162">
        <v>7</v>
      </c>
      <c r="AH1162">
        <v>3</v>
      </c>
      <c r="AI1162">
        <v>9</v>
      </c>
      <c r="AJ1162" s="2" t="str">
        <f>IF(A1162 A1162 &lt;= 25, "18-25", IF(A1162 &lt;=35, "26-35", IF(A1162 &lt;=45, "36-45", IF(Table3[[#This Row],[Age]] &lt;=55, "46-55", "56+"))))</f>
        <v>36-45</v>
      </c>
      <c r="AK1162" t="str">
        <f t="shared" si="18"/>
        <v>Medium</v>
      </c>
      <c r="AL1162" s="2" t="str">
        <f>IF(AF1162 &lt; 3, "0-2 Years", IF(AF1162 &lt;= 5, "3-5 Years", IF(AF1162 &lt;= 10, "6-10 Years",IF(Table3[[#This Row],[Years At Company]]&lt;=20, "11-20 Years","20+ Years"))))</f>
        <v>6-10 Years</v>
      </c>
    </row>
    <row r="1163" spans="1:38" x14ac:dyDescent="0.25">
      <c r="A1163" s="2">
        <v>38</v>
      </c>
      <c r="B1163" t="s">
        <v>43</v>
      </c>
      <c r="C1163" t="s">
        <v>36</v>
      </c>
      <c r="D1163" s="2">
        <v>397</v>
      </c>
      <c r="E1163" t="s">
        <v>45</v>
      </c>
      <c r="F1163" s="2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 s="2">
        <v>7756</v>
      </c>
      <c r="T1163">
        <v>14199</v>
      </c>
      <c r="U1163">
        <v>3</v>
      </c>
      <c r="V1163" t="s">
        <v>42</v>
      </c>
      <c r="W1163" t="s">
        <v>35</v>
      </c>
      <c r="X1163" s="2">
        <v>19</v>
      </c>
      <c r="Y1163">
        <v>3</v>
      </c>
      <c r="Z1163">
        <v>4</v>
      </c>
      <c r="AA1163">
        <v>80</v>
      </c>
      <c r="AB1163">
        <v>1</v>
      </c>
      <c r="AC1163" s="2">
        <v>10</v>
      </c>
      <c r="AD1163">
        <v>6</v>
      </c>
      <c r="AE1163">
        <v>4</v>
      </c>
      <c r="AF1163" s="2">
        <v>5</v>
      </c>
      <c r="AG1163">
        <v>4</v>
      </c>
      <c r="AH1163">
        <v>0</v>
      </c>
      <c r="AI1163">
        <v>2</v>
      </c>
      <c r="AJ1163" s="2" t="str">
        <f>IF(A1163 A1163 &lt;= 25, "18-25", IF(A1163 &lt;=35, "26-35", IF(A1163 &lt;=45, "36-45", IF(Table3[[#This Row],[Age]] &lt;=55, "46-55", "56+"))))</f>
        <v>36-45</v>
      </c>
      <c r="AK1163" t="str">
        <f t="shared" si="18"/>
        <v>Medium</v>
      </c>
      <c r="AL1163" s="2" t="str">
        <f>IF(AF1163 &lt; 3, "0-2 Years", IF(AF1163 &lt;= 5, "3-5 Years", IF(AF1163 &lt;= 10, "6-10 Years",IF(Table3[[#This Row],[Years At Company]]&lt;=20, "11-20 Years","20+ Years"))))</f>
        <v>3-5 Years</v>
      </c>
    </row>
    <row r="1164" spans="1:38" x14ac:dyDescent="0.25">
      <c r="A1164" s="2">
        <v>35</v>
      </c>
      <c r="B1164" t="s">
        <v>35</v>
      </c>
      <c r="C1164" t="s">
        <v>36</v>
      </c>
      <c r="D1164" s="2">
        <v>737</v>
      </c>
      <c r="E1164" t="s">
        <v>37</v>
      </c>
      <c r="F1164" s="2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 s="2">
        <v>10306</v>
      </c>
      <c r="T1164">
        <v>21530</v>
      </c>
      <c r="U1164">
        <v>9</v>
      </c>
      <c r="V1164" t="s">
        <v>42</v>
      </c>
      <c r="W1164" t="s">
        <v>43</v>
      </c>
      <c r="X1164" s="2">
        <v>17</v>
      </c>
      <c r="Y1164">
        <v>3</v>
      </c>
      <c r="Z1164">
        <v>3</v>
      </c>
      <c r="AA1164">
        <v>80</v>
      </c>
      <c r="AB1164">
        <v>0</v>
      </c>
      <c r="AC1164" s="2">
        <v>15</v>
      </c>
      <c r="AD1164">
        <v>3</v>
      </c>
      <c r="AE1164">
        <v>3</v>
      </c>
      <c r="AF1164" s="2">
        <v>13</v>
      </c>
      <c r="AG1164">
        <v>12</v>
      </c>
      <c r="AH1164">
        <v>6</v>
      </c>
      <c r="AI1164">
        <v>0</v>
      </c>
      <c r="AJ1164" s="2" t="str">
        <f>IF(A1164 A1164 &lt;= 25, "18-25", IF(A1164 &lt;=35, "26-35", IF(A1164 &lt;=45, "36-45", IF(Table3[[#This Row],[Age]] &lt;=55, "46-55", "56+"))))</f>
        <v>26-35</v>
      </c>
      <c r="AK1164" t="str">
        <f t="shared" si="18"/>
        <v>High</v>
      </c>
      <c r="AL1164" s="2" t="str">
        <f>IF(AF1164 &lt; 3, "0-2 Years", IF(AF1164 &lt;= 5, "3-5 Years", IF(AF1164 &lt;= 10, "6-10 Years",IF(Table3[[#This Row],[Years At Company]]&lt;=20, "11-20 Years","20+ Years"))))</f>
        <v>11-20 Years</v>
      </c>
    </row>
    <row r="1165" spans="1:38" x14ac:dyDescent="0.25">
      <c r="A1165" s="2">
        <v>37</v>
      </c>
      <c r="B1165" t="s">
        <v>43</v>
      </c>
      <c r="C1165" t="s">
        <v>36</v>
      </c>
      <c r="D1165" s="2">
        <v>1470</v>
      </c>
      <c r="E1165" t="s">
        <v>45</v>
      </c>
      <c r="F1165" s="2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 s="2">
        <v>3936</v>
      </c>
      <c r="T1165">
        <v>9953</v>
      </c>
      <c r="U1165">
        <v>1</v>
      </c>
      <c r="V1165" t="s">
        <v>42</v>
      </c>
      <c r="W1165" t="s">
        <v>43</v>
      </c>
      <c r="X1165" s="2">
        <v>11</v>
      </c>
      <c r="Y1165">
        <v>3</v>
      </c>
      <c r="Z1165">
        <v>1</v>
      </c>
      <c r="AA1165">
        <v>80</v>
      </c>
      <c r="AB1165">
        <v>1</v>
      </c>
      <c r="AC1165" s="2">
        <v>8</v>
      </c>
      <c r="AD1165">
        <v>2</v>
      </c>
      <c r="AE1165">
        <v>1</v>
      </c>
      <c r="AF1165" s="2">
        <v>8</v>
      </c>
      <c r="AG1165">
        <v>4</v>
      </c>
      <c r="AH1165">
        <v>7</v>
      </c>
      <c r="AI1165">
        <v>7</v>
      </c>
      <c r="AJ1165" s="2" t="str">
        <f>IF(A1165 A1165 &lt;= 25, "18-25", IF(A1165 &lt;=35, "26-35", IF(A1165 &lt;=45, "36-45", IF(Table3[[#This Row],[Age]] &lt;=55, "46-55", "56+"))))</f>
        <v>36-45</v>
      </c>
      <c r="AK1165" t="str">
        <f t="shared" si="18"/>
        <v>Low</v>
      </c>
      <c r="AL1165" s="2" t="str">
        <f>IF(AF1165 &lt; 3, "0-2 Years", IF(AF1165 &lt;= 5, "3-5 Years", IF(AF1165 &lt;= 10, "6-10 Years",IF(Table3[[#This Row],[Years At Company]]&lt;=20, "11-20 Years","20+ Years"))))</f>
        <v>6-10 Years</v>
      </c>
    </row>
    <row r="1166" spans="1:38" x14ac:dyDescent="0.25">
      <c r="A1166" s="2">
        <v>40</v>
      </c>
      <c r="B1166" t="s">
        <v>43</v>
      </c>
      <c r="C1166" t="s">
        <v>36</v>
      </c>
      <c r="D1166" s="2">
        <v>448</v>
      </c>
      <c r="E1166" t="s">
        <v>45</v>
      </c>
      <c r="F1166" s="2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 s="2">
        <v>7945</v>
      </c>
      <c r="T1166">
        <v>19948</v>
      </c>
      <c r="U1166">
        <v>6</v>
      </c>
      <c r="V1166" t="s">
        <v>42</v>
      </c>
      <c r="W1166" t="s">
        <v>35</v>
      </c>
      <c r="X1166" s="2">
        <v>15</v>
      </c>
      <c r="Y1166">
        <v>3</v>
      </c>
      <c r="Z1166">
        <v>4</v>
      </c>
      <c r="AA1166">
        <v>80</v>
      </c>
      <c r="AB1166">
        <v>0</v>
      </c>
      <c r="AC1166" s="2">
        <v>18</v>
      </c>
      <c r="AD1166">
        <v>2</v>
      </c>
      <c r="AE1166">
        <v>2</v>
      </c>
      <c r="AF1166" s="2">
        <v>4</v>
      </c>
      <c r="AG1166">
        <v>2</v>
      </c>
      <c r="AH1166">
        <v>3</v>
      </c>
      <c r="AI1166">
        <v>3</v>
      </c>
      <c r="AJ1166" s="2" t="str">
        <f>IF(A1166 A1166 &lt;= 25, "18-25", IF(A1166 &lt;=35, "26-35", IF(A1166 &lt;=45, "36-45", IF(Table3[[#This Row],[Age]] &lt;=55, "46-55", "56+"))))</f>
        <v>36-45</v>
      </c>
      <c r="AK1166" t="str">
        <f t="shared" si="18"/>
        <v>Medium</v>
      </c>
      <c r="AL1166" s="2" t="str">
        <f>IF(AF1166 &lt; 3, "0-2 Years", IF(AF1166 &lt;= 5, "3-5 Years", IF(AF1166 &lt;= 10, "6-10 Years",IF(Table3[[#This Row],[Years At Company]]&lt;=20, "11-20 Years","20+ Years"))))</f>
        <v>3-5 Years</v>
      </c>
    </row>
    <row r="1167" spans="1:38" x14ac:dyDescent="0.25">
      <c r="A1167" s="2">
        <v>44</v>
      </c>
      <c r="B1167" t="s">
        <v>43</v>
      </c>
      <c r="C1167" t="s">
        <v>44</v>
      </c>
      <c r="D1167" s="2">
        <v>602</v>
      </c>
      <c r="E1167" t="s">
        <v>61</v>
      </c>
      <c r="F1167" s="2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 s="2">
        <v>5743</v>
      </c>
      <c r="T1167">
        <v>10503</v>
      </c>
      <c r="U1167">
        <v>4</v>
      </c>
      <c r="V1167" t="s">
        <v>42</v>
      </c>
      <c r="W1167" t="s">
        <v>35</v>
      </c>
      <c r="X1167" s="2">
        <v>11</v>
      </c>
      <c r="Y1167">
        <v>3</v>
      </c>
      <c r="Z1167">
        <v>3</v>
      </c>
      <c r="AA1167">
        <v>80</v>
      </c>
      <c r="AB1167">
        <v>0</v>
      </c>
      <c r="AC1167" s="2">
        <v>14</v>
      </c>
      <c r="AD1167">
        <v>3</v>
      </c>
      <c r="AE1167">
        <v>3</v>
      </c>
      <c r="AF1167" s="2">
        <v>10</v>
      </c>
      <c r="AG1167">
        <v>7</v>
      </c>
      <c r="AH1167">
        <v>0</v>
      </c>
      <c r="AI1167">
        <v>2</v>
      </c>
      <c r="AJ1167" s="2" t="str">
        <f>IF(A1167 A1167 &lt;= 25, "18-25", IF(A1167 &lt;=35, "26-35", IF(A1167 &lt;=45, "36-45", IF(Table3[[#This Row],[Age]] &lt;=55, "46-55", "56+"))))</f>
        <v>36-45</v>
      </c>
      <c r="AK1167" t="str">
        <f t="shared" si="18"/>
        <v>Medium</v>
      </c>
      <c r="AL1167" s="2" t="str">
        <f>IF(AF1167 &lt; 3, "0-2 Years", IF(AF1167 &lt;= 5, "3-5 Years", IF(AF1167 &lt;= 10, "6-10 Years",IF(Table3[[#This Row],[Years At Company]]&lt;=20, "11-20 Years","20+ Years"))))</f>
        <v>6-10 Years</v>
      </c>
    </row>
    <row r="1168" spans="1:38" x14ac:dyDescent="0.25">
      <c r="A1168" s="2">
        <v>48</v>
      </c>
      <c r="B1168" t="s">
        <v>43</v>
      </c>
      <c r="C1168" t="s">
        <v>44</v>
      </c>
      <c r="D1168" s="2">
        <v>365</v>
      </c>
      <c r="E1168" t="s">
        <v>45</v>
      </c>
      <c r="F1168" s="2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 s="2">
        <v>15202</v>
      </c>
      <c r="T1168">
        <v>5602</v>
      </c>
      <c r="U1168">
        <v>2</v>
      </c>
      <c r="V1168" t="s">
        <v>42</v>
      </c>
      <c r="W1168" t="s">
        <v>43</v>
      </c>
      <c r="X1168" s="2">
        <v>25</v>
      </c>
      <c r="Y1168">
        <v>4</v>
      </c>
      <c r="Z1168">
        <v>2</v>
      </c>
      <c r="AA1168">
        <v>80</v>
      </c>
      <c r="AB1168">
        <v>1</v>
      </c>
      <c r="AC1168" s="2">
        <v>23</v>
      </c>
      <c r="AD1168">
        <v>3</v>
      </c>
      <c r="AE1168">
        <v>3</v>
      </c>
      <c r="AF1168" s="2">
        <v>2</v>
      </c>
      <c r="AG1168">
        <v>2</v>
      </c>
      <c r="AH1168">
        <v>2</v>
      </c>
      <c r="AI1168">
        <v>2</v>
      </c>
      <c r="AJ1168" s="2" t="str">
        <f>IF(A1168 A1168 &lt;= 25, "18-25", IF(A1168 &lt;=35, "26-35", IF(A1168 &lt;=45, "36-45", IF(Table3[[#This Row],[Age]] &lt;=55, "46-55", "56+"))))</f>
        <v>46-55</v>
      </c>
      <c r="AK1168" t="str">
        <f t="shared" si="18"/>
        <v>High</v>
      </c>
      <c r="AL1168" s="2" t="str">
        <f>IF(AF1168 &lt; 3, "0-2 Years", IF(AF1168 &lt;= 5, "3-5 Years", IF(AF1168 &lt;= 10, "6-10 Years",IF(Table3[[#This Row],[Years At Company]]&lt;=20, "11-20 Years","20+ Years"))))</f>
        <v>0-2 Years</v>
      </c>
    </row>
    <row r="1169" spans="1:38" x14ac:dyDescent="0.25">
      <c r="A1169" s="2">
        <v>35</v>
      </c>
      <c r="B1169" t="s">
        <v>35</v>
      </c>
      <c r="C1169" t="s">
        <v>36</v>
      </c>
      <c r="D1169" s="2">
        <v>763</v>
      </c>
      <c r="E1169" t="s">
        <v>37</v>
      </c>
      <c r="F1169" s="2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 s="2">
        <v>5440</v>
      </c>
      <c r="T1169">
        <v>22098</v>
      </c>
      <c r="U1169">
        <v>6</v>
      </c>
      <c r="V1169" t="s">
        <v>42</v>
      </c>
      <c r="W1169" t="s">
        <v>35</v>
      </c>
      <c r="X1169" s="2">
        <v>14</v>
      </c>
      <c r="Y1169">
        <v>3</v>
      </c>
      <c r="Z1169">
        <v>4</v>
      </c>
      <c r="AA1169">
        <v>80</v>
      </c>
      <c r="AB1169">
        <v>2</v>
      </c>
      <c r="AC1169" s="2">
        <v>7</v>
      </c>
      <c r="AD1169">
        <v>2</v>
      </c>
      <c r="AE1169">
        <v>2</v>
      </c>
      <c r="AF1169" s="2">
        <v>2</v>
      </c>
      <c r="AG1169">
        <v>2</v>
      </c>
      <c r="AH1169">
        <v>2</v>
      </c>
      <c r="AI1169">
        <v>2</v>
      </c>
      <c r="AJ1169" s="2" t="str">
        <f>IF(A1169 A1169 &lt;= 25, "18-25", IF(A1169 &lt;=35, "26-35", IF(A1169 &lt;=45, "36-45", IF(Table3[[#This Row],[Age]] &lt;=55, "46-55", "56+"))))</f>
        <v>26-35</v>
      </c>
      <c r="AK1169" t="str">
        <f t="shared" si="18"/>
        <v>Medium</v>
      </c>
      <c r="AL1169" s="2" t="str">
        <f>IF(AF1169 &lt; 3, "0-2 Years", IF(AF1169 &lt;= 5, "3-5 Years", IF(AF1169 &lt;= 10, "6-10 Years",IF(Table3[[#This Row],[Years At Company]]&lt;=20, "11-20 Years","20+ Years"))))</f>
        <v>0-2 Years</v>
      </c>
    </row>
    <row r="1170" spans="1:38" x14ac:dyDescent="0.25">
      <c r="A1170" s="2">
        <v>24</v>
      </c>
      <c r="B1170" t="s">
        <v>43</v>
      </c>
      <c r="C1170" t="s">
        <v>44</v>
      </c>
      <c r="D1170" s="2">
        <v>567</v>
      </c>
      <c r="E1170" t="s">
        <v>45</v>
      </c>
      <c r="F1170" s="2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 s="2">
        <v>3760</v>
      </c>
      <c r="T1170">
        <v>17218</v>
      </c>
      <c r="U1170">
        <v>1</v>
      </c>
      <c r="V1170" t="s">
        <v>42</v>
      </c>
      <c r="W1170" t="s">
        <v>35</v>
      </c>
      <c r="X1170" s="2">
        <v>13</v>
      </c>
      <c r="Y1170">
        <v>3</v>
      </c>
      <c r="Z1170">
        <v>3</v>
      </c>
      <c r="AA1170">
        <v>80</v>
      </c>
      <c r="AB1170">
        <v>0</v>
      </c>
      <c r="AC1170" s="2">
        <v>6</v>
      </c>
      <c r="AD1170">
        <v>2</v>
      </c>
      <c r="AE1170">
        <v>3</v>
      </c>
      <c r="AF1170" s="2">
        <v>6</v>
      </c>
      <c r="AG1170">
        <v>3</v>
      </c>
      <c r="AH1170">
        <v>1</v>
      </c>
      <c r="AI1170">
        <v>3</v>
      </c>
      <c r="AJ1170" s="2" t="str">
        <f>IF(A1170 A1170 &lt;= 25, "18-25", IF(A1170 &lt;=35, "26-35", IF(A1170 &lt;=45, "36-45", IF(Table3[[#This Row],[Age]] &lt;=55, "46-55", "56+"))))</f>
        <v>18-25</v>
      </c>
      <c r="AK1170" t="str">
        <f t="shared" si="18"/>
        <v>Low</v>
      </c>
      <c r="AL1170" s="2" t="str">
        <f>IF(AF1170 &lt; 3, "0-2 Years", IF(AF1170 &lt;= 5, "3-5 Years", IF(AF1170 &lt;= 10, "6-10 Years",IF(Table3[[#This Row],[Years At Company]]&lt;=20, "11-20 Years","20+ Years"))))</f>
        <v>6-10 Years</v>
      </c>
    </row>
    <row r="1171" spans="1:38" x14ac:dyDescent="0.25">
      <c r="A1171" s="2">
        <v>27</v>
      </c>
      <c r="B1171" t="s">
        <v>43</v>
      </c>
      <c r="C1171" t="s">
        <v>36</v>
      </c>
      <c r="D1171" s="2">
        <v>486</v>
      </c>
      <c r="E1171" t="s">
        <v>45</v>
      </c>
      <c r="F1171" s="2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 s="2">
        <v>3517</v>
      </c>
      <c r="T1171">
        <v>22490</v>
      </c>
      <c r="U1171">
        <v>7</v>
      </c>
      <c r="V1171" t="s">
        <v>42</v>
      </c>
      <c r="W1171" t="s">
        <v>43</v>
      </c>
      <c r="X1171" s="2">
        <v>17</v>
      </c>
      <c r="Y1171">
        <v>3</v>
      </c>
      <c r="Z1171">
        <v>1</v>
      </c>
      <c r="AA1171">
        <v>80</v>
      </c>
      <c r="AB1171">
        <v>0</v>
      </c>
      <c r="AC1171" s="2">
        <v>5</v>
      </c>
      <c r="AD1171">
        <v>0</v>
      </c>
      <c r="AE1171">
        <v>3</v>
      </c>
      <c r="AF1171" s="2">
        <v>3</v>
      </c>
      <c r="AG1171">
        <v>2</v>
      </c>
      <c r="AH1171">
        <v>0</v>
      </c>
      <c r="AI1171">
        <v>2</v>
      </c>
      <c r="AJ1171" s="2" t="str">
        <f>IF(A1171 A1171 &lt;= 25, "18-25", IF(A1171 &lt;=35, "26-35", IF(A1171 &lt;=45, "36-45", IF(Table3[[#This Row],[Age]] &lt;=55, "46-55", "56+"))))</f>
        <v>26-35</v>
      </c>
      <c r="AK1171" t="str">
        <f t="shared" si="18"/>
        <v>Low</v>
      </c>
      <c r="AL1171" s="2" t="str">
        <f>IF(AF1171 &lt; 3, "0-2 Years", IF(AF1171 &lt;= 5, "3-5 Years", IF(AF1171 &lt;= 10, "6-10 Years",IF(Table3[[#This Row],[Years At Company]]&lt;=20, "11-20 Years","20+ Years"))))</f>
        <v>3-5 Years</v>
      </c>
    </row>
    <row r="1172" spans="1:38" x14ac:dyDescent="0.25">
      <c r="A1172" s="2">
        <v>27</v>
      </c>
      <c r="B1172" t="s">
        <v>43</v>
      </c>
      <c r="C1172" t="s">
        <v>44</v>
      </c>
      <c r="D1172" s="2">
        <v>591</v>
      </c>
      <c r="E1172" t="s">
        <v>45</v>
      </c>
      <c r="F1172" s="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 s="2">
        <v>2580</v>
      </c>
      <c r="T1172">
        <v>6297</v>
      </c>
      <c r="U1172">
        <v>2</v>
      </c>
      <c r="V1172" t="s">
        <v>42</v>
      </c>
      <c r="W1172" t="s">
        <v>43</v>
      </c>
      <c r="X1172" s="2">
        <v>13</v>
      </c>
      <c r="Y1172">
        <v>3</v>
      </c>
      <c r="Z1172">
        <v>3</v>
      </c>
      <c r="AA1172">
        <v>80</v>
      </c>
      <c r="AB1172">
        <v>0</v>
      </c>
      <c r="AC1172" s="2">
        <v>6</v>
      </c>
      <c r="AD1172">
        <v>0</v>
      </c>
      <c r="AE1172">
        <v>2</v>
      </c>
      <c r="AF1172" s="2">
        <v>4</v>
      </c>
      <c r="AG1172">
        <v>2</v>
      </c>
      <c r="AH1172">
        <v>1</v>
      </c>
      <c r="AI1172">
        <v>2</v>
      </c>
      <c r="AJ1172" s="2" t="str">
        <f>IF(A1172 A1172 &lt;= 25, "18-25", IF(A1172 &lt;=35, "26-35", IF(A1172 &lt;=45, "36-45", IF(Table3[[#This Row],[Age]] &lt;=55, "46-55", "56+"))))</f>
        <v>26-35</v>
      </c>
      <c r="AK1172" t="str">
        <f t="shared" si="18"/>
        <v>Low</v>
      </c>
      <c r="AL1172" s="2" t="str">
        <f>IF(AF1172 &lt; 3, "0-2 Years", IF(AF1172 &lt;= 5, "3-5 Years", IF(AF1172 &lt;= 10, "6-10 Years",IF(Table3[[#This Row],[Years At Company]]&lt;=20, "11-20 Years","20+ Years"))))</f>
        <v>3-5 Years</v>
      </c>
    </row>
    <row r="1173" spans="1:38" x14ac:dyDescent="0.25">
      <c r="A1173" s="2">
        <v>40</v>
      </c>
      <c r="B1173" t="s">
        <v>35</v>
      </c>
      <c r="C1173" t="s">
        <v>36</v>
      </c>
      <c r="D1173" s="2">
        <v>1329</v>
      </c>
      <c r="E1173" t="s">
        <v>45</v>
      </c>
      <c r="F1173" s="2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 s="2">
        <v>2166</v>
      </c>
      <c r="T1173">
        <v>3339</v>
      </c>
      <c r="U1173">
        <v>3</v>
      </c>
      <c r="V1173" t="s">
        <v>42</v>
      </c>
      <c r="W1173" t="s">
        <v>35</v>
      </c>
      <c r="X1173" s="2">
        <v>14</v>
      </c>
      <c r="Y1173">
        <v>3</v>
      </c>
      <c r="Z1173">
        <v>2</v>
      </c>
      <c r="AA1173">
        <v>80</v>
      </c>
      <c r="AB1173">
        <v>0</v>
      </c>
      <c r="AC1173" s="2">
        <v>10</v>
      </c>
      <c r="AD1173">
        <v>3</v>
      </c>
      <c r="AE1173">
        <v>1</v>
      </c>
      <c r="AF1173" s="2">
        <v>4</v>
      </c>
      <c r="AG1173">
        <v>2</v>
      </c>
      <c r="AH1173">
        <v>0</v>
      </c>
      <c r="AI1173">
        <v>3</v>
      </c>
      <c r="AJ1173" s="2" t="str">
        <f>IF(A1173 A1173 &lt;= 25, "18-25", IF(A1173 &lt;=35, "26-35", IF(A1173 &lt;=45, "36-45", IF(Table3[[#This Row],[Age]] &lt;=55, "46-55", "56+"))))</f>
        <v>36-45</v>
      </c>
      <c r="AK1173" t="str">
        <f t="shared" si="18"/>
        <v>Low</v>
      </c>
      <c r="AL1173" s="2" t="str">
        <f>IF(AF1173 &lt; 3, "0-2 Years", IF(AF1173 &lt;= 5, "3-5 Years", IF(AF1173 &lt;= 10, "6-10 Years",IF(Table3[[#This Row],[Years At Company]]&lt;=20, "11-20 Years","20+ Years"))))</f>
        <v>3-5 Years</v>
      </c>
    </row>
    <row r="1174" spans="1:38" x14ac:dyDescent="0.25">
      <c r="A1174" s="2">
        <v>29</v>
      </c>
      <c r="B1174" t="s">
        <v>43</v>
      </c>
      <c r="C1174" t="s">
        <v>36</v>
      </c>
      <c r="D1174" s="2">
        <v>469</v>
      </c>
      <c r="E1174" t="s">
        <v>37</v>
      </c>
      <c r="F1174" s="2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 s="2">
        <v>5869</v>
      </c>
      <c r="T1174">
        <v>23413</v>
      </c>
      <c r="U1174">
        <v>9</v>
      </c>
      <c r="V1174" t="s">
        <v>42</v>
      </c>
      <c r="W1174" t="s">
        <v>43</v>
      </c>
      <c r="X1174" s="2">
        <v>11</v>
      </c>
      <c r="Y1174">
        <v>3</v>
      </c>
      <c r="Z1174">
        <v>3</v>
      </c>
      <c r="AA1174">
        <v>80</v>
      </c>
      <c r="AB1174">
        <v>0</v>
      </c>
      <c r="AC1174" s="2">
        <v>8</v>
      </c>
      <c r="AD1174">
        <v>2</v>
      </c>
      <c r="AE1174">
        <v>3</v>
      </c>
      <c r="AF1174" s="2">
        <v>5</v>
      </c>
      <c r="AG1174">
        <v>2</v>
      </c>
      <c r="AH1174">
        <v>1</v>
      </c>
      <c r="AI1174">
        <v>4</v>
      </c>
      <c r="AJ1174" s="2" t="str">
        <f>IF(A1174 A1174 &lt;= 25, "18-25", IF(A1174 &lt;=35, "26-35", IF(A1174 &lt;=45, "36-45", IF(Table3[[#This Row],[Age]] &lt;=55, "46-55", "56+"))))</f>
        <v>26-35</v>
      </c>
      <c r="AK1174" t="str">
        <f t="shared" si="18"/>
        <v>Medium</v>
      </c>
      <c r="AL1174" s="2" t="str">
        <f>IF(AF1174 &lt; 3, "0-2 Years", IF(AF1174 &lt;= 5, "3-5 Years", IF(AF1174 &lt;= 10, "6-10 Years",IF(Table3[[#This Row],[Years At Company]]&lt;=20, "11-20 Years","20+ Years"))))</f>
        <v>3-5 Years</v>
      </c>
    </row>
    <row r="1175" spans="1:38" x14ac:dyDescent="0.25">
      <c r="A1175" s="2">
        <v>36</v>
      </c>
      <c r="B1175" t="s">
        <v>43</v>
      </c>
      <c r="C1175" t="s">
        <v>36</v>
      </c>
      <c r="D1175" s="2">
        <v>711</v>
      </c>
      <c r="E1175" t="s">
        <v>45</v>
      </c>
      <c r="F1175" s="2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 s="2">
        <v>8008</v>
      </c>
      <c r="T1175">
        <v>22792</v>
      </c>
      <c r="U1175">
        <v>4</v>
      </c>
      <c r="V1175" t="s">
        <v>42</v>
      </c>
      <c r="W1175" t="s">
        <v>43</v>
      </c>
      <c r="X1175" s="2">
        <v>12</v>
      </c>
      <c r="Y1175">
        <v>3</v>
      </c>
      <c r="Z1175">
        <v>3</v>
      </c>
      <c r="AA1175">
        <v>80</v>
      </c>
      <c r="AB1175">
        <v>2</v>
      </c>
      <c r="AC1175" s="2">
        <v>9</v>
      </c>
      <c r="AD1175">
        <v>6</v>
      </c>
      <c r="AE1175">
        <v>3</v>
      </c>
      <c r="AF1175" s="2">
        <v>3</v>
      </c>
      <c r="AG1175">
        <v>2</v>
      </c>
      <c r="AH1175">
        <v>0</v>
      </c>
      <c r="AI1175">
        <v>2</v>
      </c>
      <c r="AJ1175" s="2" t="str">
        <f>IF(A1175 A1175 &lt;= 25, "18-25", IF(A1175 &lt;=35, "26-35", IF(A1175 &lt;=45, "36-45", IF(Table3[[#This Row],[Age]] &lt;=55, "46-55", "56+"))))</f>
        <v>36-45</v>
      </c>
      <c r="AK1175" t="str">
        <f t="shared" si="18"/>
        <v>Medium</v>
      </c>
      <c r="AL1175" s="2" t="str">
        <f>IF(AF1175 &lt; 3, "0-2 Years", IF(AF1175 &lt;= 5, "3-5 Years", IF(AF1175 &lt;= 10, "6-10 Years",IF(Table3[[#This Row],[Years At Company]]&lt;=20, "11-20 Years","20+ Years"))))</f>
        <v>3-5 Years</v>
      </c>
    </row>
    <row r="1176" spans="1:38" x14ac:dyDescent="0.25">
      <c r="A1176" s="2">
        <v>25</v>
      </c>
      <c r="B1176" t="s">
        <v>43</v>
      </c>
      <c r="C1176" t="s">
        <v>44</v>
      </c>
      <c r="D1176" s="2">
        <v>772</v>
      </c>
      <c r="E1176" t="s">
        <v>45</v>
      </c>
      <c r="F1176" s="2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 s="2">
        <v>5206</v>
      </c>
      <c r="T1176">
        <v>4973</v>
      </c>
      <c r="U1176">
        <v>1</v>
      </c>
      <c r="V1176" t="s">
        <v>42</v>
      </c>
      <c r="W1176" t="s">
        <v>43</v>
      </c>
      <c r="X1176" s="2">
        <v>17</v>
      </c>
      <c r="Y1176">
        <v>3</v>
      </c>
      <c r="Z1176">
        <v>3</v>
      </c>
      <c r="AA1176">
        <v>80</v>
      </c>
      <c r="AB1176">
        <v>2</v>
      </c>
      <c r="AC1176" s="2">
        <v>7</v>
      </c>
      <c r="AD1176">
        <v>6</v>
      </c>
      <c r="AE1176">
        <v>3</v>
      </c>
      <c r="AF1176" s="2">
        <v>7</v>
      </c>
      <c r="AG1176">
        <v>7</v>
      </c>
      <c r="AH1176">
        <v>0</v>
      </c>
      <c r="AI1176">
        <v>7</v>
      </c>
      <c r="AJ1176" s="2" t="str">
        <f>IF(A1176 A1176 &lt;= 25, "18-25", IF(A1176 &lt;=35, "26-35", IF(A1176 &lt;=45, "36-45", IF(Table3[[#This Row],[Age]] &lt;=55, "46-55", "56+"))))</f>
        <v>18-25</v>
      </c>
      <c r="AK1176" t="str">
        <f t="shared" si="18"/>
        <v>Medium</v>
      </c>
      <c r="AL1176" s="2" t="str">
        <f>IF(AF1176 &lt; 3, "0-2 Years", IF(AF1176 &lt;= 5, "3-5 Years", IF(AF1176 &lt;= 10, "6-10 Years",IF(Table3[[#This Row],[Years At Company]]&lt;=20, "11-20 Years","20+ Years"))))</f>
        <v>6-10 Years</v>
      </c>
    </row>
    <row r="1177" spans="1:38" x14ac:dyDescent="0.25">
      <c r="A1177" s="2">
        <v>39</v>
      </c>
      <c r="B1177" t="s">
        <v>43</v>
      </c>
      <c r="C1177" t="s">
        <v>36</v>
      </c>
      <c r="D1177" s="2">
        <v>492</v>
      </c>
      <c r="E1177" t="s">
        <v>45</v>
      </c>
      <c r="F1177" s="2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 s="2">
        <v>5295</v>
      </c>
      <c r="T1177">
        <v>7693</v>
      </c>
      <c r="U1177">
        <v>4</v>
      </c>
      <c r="V1177" t="s">
        <v>42</v>
      </c>
      <c r="W1177" t="s">
        <v>43</v>
      </c>
      <c r="X1177" s="2">
        <v>21</v>
      </c>
      <c r="Y1177">
        <v>4</v>
      </c>
      <c r="Z1177">
        <v>3</v>
      </c>
      <c r="AA1177">
        <v>80</v>
      </c>
      <c r="AB1177">
        <v>0</v>
      </c>
      <c r="AC1177" s="2">
        <v>7</v>
      </c>
      <c r="AD1177">
        <v>3</v>
      </c>
      <c r="AE1177">
        <v>3</v>
      </c>
      <c r="AF1177" s="2">
        <v>5</v>
      </c>
      <c r="AG1177">
        <v>4</v>
      </c>
      <c r="AH1177">
        <v>1</v>
      </c>
      <c r="AI1177">
        <v>0</v>
      </c>
      <c r="AJ1177" s="2" t="str">
        <f>IF(A1177 A1177 &lt;= 25, "18-25", IF(A1177 &lt;=35, "26-35", IF(A1177 &lt;=45, "36-45", IF(Table3[[#This Row],[Age]] &lt;=55, "46-55", "56+"))))</f>
        <v>36-45</v>
      </c>
      <c r="AK1177" t="str">
        <f t="shared" si="18"/>
        <v>Medium</v>
      </c>
      <c r="AL1177" s="2" t="str">
        <f>IF(AF1177 &lt; 3, "0-2 Years", IF(AF1177 &lt;= 5, "3-5 Years", IF(AF1177 &lt;= 10, "6-10 Years",IF(Table3[[#This Row],[Years At Company]]&lt;=20, "11-20 Years","20+ Years"))))</f>
        <v>3-5 Years</v>
      </c>
    </row>
    <row r="1178" spans="1:38" x14ac:dyDescent="0.25">
      <c r="A1178" s="2">
        <v>49</v>
      </c>
      <c r="B1178" t="s">
        <v>43</v>
      </c>
      <c r="C1178" t="s">
        <v>36</v>
      </c>
      <c r="D1178" s="2">
        <v>301</v>
      </c>
      <c r="E1178" t="s">
        <v>45</v>
      </c>
      <c r="F1178" s="2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 s="2">
        <v>16413</v>
      </c>
      <c r="T1178">
        <v>3498</v>
      </c>
      <c r="U1178">
        <v>3</v>
      </c>
      <c r="V1178" t="s">
        <v>42</v>
      </c>
      <c r="W1178" t="s">
        <v>43</v>
      </c>
      <c r="X1178" s="2">
        <v>16</v>
      </c>
      <c r="Y1178">
        <v>3</v>
      </c>
      <c r="Z1178">
        <v>2</v>
      </c>
      <c r="AA1178">
        <v>80</v>
      </c>
      <c r="AB1178">
        <v>2</v>
      </c>
      <c r="AC1178" s="2">
        <v>27</v>
      </c>
      <c r="AD1178">
        <v>2</v>
      </c>
      <c r="AE1178">
        <v>3</v>
      </c>
      <c r="AF1178" s="2">
        <v>4</v>
      </c>
      <c r="AG1178">
        <v>2</v>
      </c>
      <c r="AH1178">
        <v>1</v>
      </c>
      <c r="AI1178">
        <v>2</v>
      </c>
      <c r="AJ1178" s="2" t="str">
        <f>IF(A1178 A1178 &lt;= 25, "18-25", IF(A1178 &lt;=35, "26-35", IF(A1178 &lt;=45, "36-45", IF(Table3[[#This Row],[Age]] &lt;=55, "46-55", "56+"))))</f>
        <v>46-55</v>
      </c>
      <c r="AK1178" t="str">
        <f t="shared" si="18"/>
        <v>High</v>
      </c>
      <c r="AL1178" s="2" t="str">
        <f>IF(AF1178 &lt; 3, "0-2 Years", IF(AF1178 &lt;= 5, "3-5 Years", IF(AF1178 &lt;= 10, "6-10 Years",IF(Table3[[#This Row],[Years At Company]]&lt;=20, "11-20 Years","20+ Years"))))</f>
        <v>3-5 Years</v>
      </c>
    </row>
    <row r="1179" spans="1:38" x14ac:dyDescent="0.25">
      <c r="A1179" s="2">
        <v>50</v>
      </c>
      <c r="B1179" t="s">
        <v>43</v>
      </c>
      <c r="C1179" t="s">
        <v>36</v>
      </c>
      <c r="D1179" s="2">
        <v>813</v>
      </c>
      <c r="E1179" t="s">
        <v>45</v>
      </c>
      <c r="F1179" s="2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 s="2">
        <v>13269</v>
      </c>
      <c r="T1179">
        <v>21981</v>
      </c>
      <c r="U1179">
        <v>5</v>
      </c>
      <c r="V1179" t="s">
        <v>42</v>
      </c>
      <c r="W1179" t="s">
        <v>43</v>
      </c>
      <c r="X1179" s="2">
        <v>15</v>
      </c>
      <c r="Y1179">
        <v>3</v>
      </c>
      <c r="Z1179">
        <v>3</v>
      </c>
      <c r="AA1179">
        <v>80</v>
      </c>
      <c r="AB1179">
        <v>3</v>
      </c>
      <c r="AC1179" s="2">
        <v>19</v>
      </c>
      <c r="AD1179">
        <v>3</v>
      </c>
      <c r="AE1179">
        <v>3</v>
      </c>
      <c r="AF1179" s="2">
        <v>14</v>
      </c>
      <c r="AG1179">
        <v>11</v>
      </c>
      <c r="AH1179">
        <v>1</v>
      </c>
      <c r="AI1179">
        <v>11</v>
      </c>
      <c r="AJ1179" s="2" t="str">
        <f>IF(A1179 A1179 &lt;= 25, "18-25", IF(A1179 &lt;=35, "26-35", IF(A1179 &lt;=45, "36-45", IF(Table3[[#This Row],[Age]] &lt;=55, "46-55", "56+"))))</f>
        <v>46-55</v>
      </c>
      <c r="AK1179" t="str">
        <f t="shared" si="18"/>
        <v>High</v>
      </c>
      <c r="AL1179" s="2" t="str">
        <f>IF(AF1179 &lt; 3, "0-2 Years", IF(AF1179 &lt;= 5, "3-5 Years", IF(AF1179 &lt;= 10, "6-10 Years",IF(Table3[[#This Row],[Years At Company]]&lt;=20, "11-20 Years","20+ Years"))))</f>
        <v>11-20 Years</v>
      </c>
    </row>
    <row r="1180" spans="1:38" x14ac:dyDescent="0.25">
      <c r="A1180" s="2">
        <v>20</v>
      </c>
      <c r="B1180" t="s">
        <v>43</v>
      </c>
      <c r="C1180" t="s">
        <v>36</v>
      </c>
      <c r="D1180" s="2">
        <v>1141</v>
      </c>
      <c r="E1180" t="s">
        <v>37</v>
      </c>
      <c r="F1180" s="2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 s="2">
        <v>2783</v>
      </c>
      <c r="T1180">
        <v>13251</v>
      </c>
      <c r="U1180">
        <v>1</v>
      </c>
      <c r="V1180" t="s">
        <v>42</v>
      </c>
      <c r="W1180" t="s">
        <v>43</v>
      </c>
      <c r="X1180" s="2">
        <v>19</v>
      </c>
      <c r="Y1180">
        <v>3</v>
      </c>
      <c r="Z1180">
        <v>1</v>
      </c>
      <c r="AA1180">
        <v>80</v>
      </c>
      <c r="AB1180">
        <v>0</v>
      </c>
      <c r="AC1180" s="2">
        <v>2</v>
      </c>
      <c r="AD1180">
        <v>3</v>
      </c>
      <c r="AE1180">
        <v>3</v>
      </c>
      <c r="AF1180" s="2">
        <v>2</v>
      </c>
      <c r="AG1180">
        <v>2</v>
      </c>
      <c r="AH1180">
        <v>2</v>
      </c>
      <c r="AI1180">
        <v>2</v>
      </c>
      <c r="AJ1180" s="2" t="str">
        <f>IF(A1180 A1180 &lt;= 25, "18-25", IF(A1180 &lt;=35, "26-35", IF(A1180 &lt;=45, "36-45", IF(Table3[[#This Row],[Age]] &lt;=55, "46-55", "56+"))))</f>
        <v>18-25</v>
      </c>
      <c r="AK1180" t="str">
        <f t="shared" si="18"/>
        <v>Low</v>
      </c>
      <c r="AL1180" s="2" t="str">
        <f>IF(AF1180 &lt; 3, "0-2 Years", IF(AF1180 &lt;= 5, "3-5 Years", IF(AF1180 &lt;= 10, "6-10 Years",IF(Table3[[#This Row],[Years At Company]]&lt;=20, "11-20 Years","20+ Years"))))</f>
        <v>0-2 Years</v>
      </c>
    </row>
    <row r="1181" spans="1:38" x14ac:dyDescent="0.25">
      <c r="A1181" s="2">
        <v>34</v>
      </c>
      <c r="B1181" t="s">
        <v>43</v>
      </c>
      <c r="C1181" t="s">
        <v>36</v>
      </c>
      <c r="D1181" s="2">
        <v>1130</v>
      </c>
      <c r="E1181" t="s">
        <v>45</v>
      </c>
      <c r="F1181" s="2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 s="2">
        <v>5433</v>
      </c>
      <c r="T1181">
        <v>19332</v>
      </c>
      <c r="U1181">
        <v>1</v>
      </c>
      <c r="V1181" t="s">
        <v>42</v>
      </c>
      <c r="W1181" t="s">
        <v>43</v>
      </c>
      <c r="X1181" s="2">
        <v>12</v>
      </c>
      <c r="Y1181">
        <v>3</v>
      </c>
      <c r="Z1181">
        <v>3</v>
      </c>
      <c r="AA1181">
        <v>80</v>
      </c>
      <c r="AB1181">
        <v>1</v>
      </c>
      <c r="AC1181" s="2">
        <v>11</v>
      </c>
      <c r="AD1181">
        <v>2</v>
      </c>
      <c r="AE1181">
        <v>3</v>
      </c>
      <c r="AF1181" s="2">
        <v>11</v>
      </c>
      <c r="AG1181">
        <v>8</v>
      </c>
      <c r="AH1181">
        <v>7</v>
      </c>
      <c r="AI1181">
        <v>9</v>
      </c>
      <c r="AJ1181" s="2" t="str">
        <f>IF(A1181 A1181 &lt;= 25, "18-25", IF(A1181 &lt;=35, "26-35", IF(A1181 &lt;=45, "36-45", IF(Table3[[#This Row],[Age]] &lt;=55, "46-55", "56+"))))</f>
        <v>26-35</v>
      </c>
      <c r="AK1181" t="str">
        <f t="shared" si="18"/>
        <v>Medium</v>
      </c>
      <c r="AL1181" s="2" t="str">
        <f>IF(AF1181 &lt; 3, "0-2 Years", IF(AF1181 &lt;= 5, "3-5 Years", IF(AF1181 &lt;= 10, "6-10 Years",IF(Table3[[#This Row],[Years At Company]]&lt;=20, "11-20 Years","20+ Years"))))</f>
        <v>11-20 Years</v>
      </c>
    </row>
    <row r="1182" spans="1:38" x14ac:dyDescent="0.25">
      <c r="A1182" s="2">
        <v>36</v>
      </c>
      <c r="B1182" t="s">
        <v>43</v>
      </c>
      <c r="C1182" t="s">
        <v>36</v>
      </c>
      <c r="D1182" s="2">
        <v>311</v>
      </c>
      <c r="E1182" t="s">
        <v>45</v>
      </c>
      <c r="F1182" s="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 s="2">
        <v>2013</v>
      </c>
      <c r="T1182">
        <v>10950</v>
      </c>
      <c r="U1182">
        <v>2</v>
      </c>
      <c r="V1182" t="s">
        <v>42</v>
      </c>
      <c r="W1182" t="s">
        <v>43</v>
      </c>
      <c r="X1182" s="2">
        <v>11</v>
      </c>
      <c r="Y1182">
        <v>3</v>
      </c>
      <c r="Z1182">
        <v>3</v>
      </c>
      <c r="AA1182">
        <v>80</v>
      </c>
      <c r="AB1182">
        <v>0</v>
      </c>
      <c r="AC1182" s="2">
        <v>15</v>
      </c>
      <c r="AD1182">
        <v>4</v>
      </c>
      <c r="AE1182">
        <v>3</v>
      </c>
      <c r="AF1182" s="2">
        <v>4</v>
      </c>
      <c r="AG1182">
        <v>3</v>
      </c>
      <c r="AH1182">
        <v>1</v>
      </c>
      <c r="AI1182">
        <v>3</v>
      </c>
      <c r="AJ1182" s="2" t="str">
        <f>IF(A1182 A1182 &lt;= 25, "18-25", IF(A1182 &lt;=35, "26-35", IF(A1182 &lt;=45, "36-45", IF(Table3[[#This Row],[Age]] &lt;=55, "46-55", "56+"))))</f>
        <v>36-45</v>
      </c>
      <c r="AK1182" t="str">
        <f t="shared" si="18"/>
        <v>Low</v>
      </c>
      <c r="AL1182" s="2" t="str">
        <f>IF(AF1182 &lt; 3, "0-2 Years", IF(AF1182 &lt;= 5, "3-5 Years", IF(AF1182 &lt;= 10, "6-10 Years",IF(Table3[[#This Row],[Years At Company]]&lt;=20, "11-20 Years","20+ Years"))))</f>
        <v>3-5 Years</v>
      </c>
    </row>
    <row r="1183" spans="1:38" x14ac:dyDescent="0.25">
      <c r="A1183" s="2">
        <v>49</v>
      </c>
      <c r="B1183" t="s">
        <v>43</v>
      </c>
      <c r="C1183" t="s">
        <v>36</v>
      </c>
      <c r="D1183" s="2">
        <v>465</v>
      </c>
      <c r="E1183" t="s">
        <v>45</v>
      </c>
      <c r="F1183" s="2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 s="2">
        <v>13966</v>
      </c>
      <c r="T1183">
        <v>11652</v>
      </c>
      <c r="U1183">
        <v>2</v>
      </c>
      <c r="V1183" t="s">
        <v>42</v>
      </c>
      <c r="W1183" t="s">
        <v>35</v>
      </c>
      <c r="X1183" s="2">
        <v>19</v>
      </c>
      <c r="Y1183">
        <v>3</v>
      </c>
      <c r="Z1183">
        <v>2</v>
      </c>
      <c r="AA1183">
        <v>80</v>
      </c>
      <c r="AB1183">
        <v>1</v>
      </c>
      <c r="AC1183" s="2">
        <v>30</v>
      </c>
      <c r="AD1183">
        <v>3</v>
      </c>
      <c r="AE1183">
        <v>3</v>
      </c>
      <c r="AF1183" s="2">
        <v>15</v>
      </c>
      <c r="AG1183">
        <v>11</v>
      </c>
      <c r="AH1183">
        <v>2</v>
      </c>
      <c r="AI1183">
        <v>12</v>
      </c>
      <c r="AJ1183" s="2" t="str">
        <f>IF(A1183 A1183 &lt;= 25, "18-25", IF(A1183 &lt;=35, "26-35", IF(A1183 &lt;=45, "36-45", IF(Table3[[#This Row],[Age]] &lt;=55, "46-55", "56+"))))</f>
        <v>46-55</v>
      </c>
      <c r="AK1183" t="str">
        <f t="shared" si="18"/>
        <v>High</v>
      </c>
      <c r="AL1183" s="2" t="str">
        <f>IF(AF1183 &lt; 3, "0-2 Years", IF(AF1183 &lt;= 5, "3-5 Years", IF(AF1183 &lt;= 10, "6-10 Years",IF(Table3[[#This Row],[Years At Company]]&lt;=20, "11-20 Years","20+ Years"))))</f>
        <v>11-20 Years</v>
      </c>
    </row>
    <row r="1184" spans="1:38" x14ac:dyDescent="0.25">
      <c r="A1184" s="2">
        <v>36</v>
      </c>
      <c r="B1184" t="s">
        <v>43</v>
      </c>
      <c r="C1184" t="s">
        <v>55</v>
      </c>
      <c r="D1184" s="2">
        <v>894</v>
      </c>
      <c r="E1184" t="s">
        <v>45</v>
      </c>
      <c r="F1184" s="2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 s="2">
        <v>4374</v>
      </c>
      <c r="T1184">
        <v>15411</v>
      </c>
      <c r="U1184">
        <v>0</v>
      </c>
      <c r="V1184" t="s">
        <v>42</v>
      </c>
      <c r="W1184" t="s">
        <v>43</v>
      </c>
      <c r="X1184" s="2">
        <v>15</v>
      </c>
      <c r="Y1184">
        <v>3</v>
      </c>
      <c r="Z1184">
        <v>3</v>
      </c>
      <c r="AA1184">
        <v>80</v>
      </c>
      <c r="AB1184">
        <v>0</v>
      </c>
      <c r="AC1184" s="2">
        <v>4</v>
      </c>
      <c r="AD1184">
        <v>6</v>
      </c>
      <c r="AE1184">
        <v>3</v>
      </c>
      <c r="AF1184" s="2">
        <v>3</v>
      </c>
      <c r="AG1184">
        <v>2</v>
      </c>
      <c r="AH1184">
        <v>1</v>
      </c>
      <c r="AI1184">
        <v>2</v>
      </c>
      <c r="AJ1184" s="2" t="str">
        <f>IF(A1184 A1184 &lt;= 25, "18-25", IF(A1184 &lt;=35, "26-35", IF(A1184 &lt;=45, "36-45", IF(Table3[[#This Row],[Age]] &lt;=55, "46-55", "56+"))))</f>
        <v>36-45</v>
      </c>
      <c r="AK1184" t="str">
        <f t="shared" si="18"/>
        <v>Low</v>
      </c>
      <c r="AL1184" s="2" t="str">
        <f>IF(AF1184 &lt; 3, "0-2 Years", IF(AF1184 &lt;= 5, "3-5 Years", IF(AF1184 &lt;= 10, "6-10 Years",IF(Table3[[#This Row],[Years At Company]]&lt;=20, "11-20 Years","20+ Years"))))</f>
        <v>3-5 Years</v>
      </c>
    </row>
    <row r="1185" spans="1:38" x14ac:dyDescent="0.25">
      <c r="A1185" s="2">
        <v>36</v>
      </c>
      <c r="B1185" t="s">
        <v>43</v>
      </c>
      <c r="C1185" t="s">
        <v>36</v>
      </c>
      <c r="D1185" s="2">
        <v>1040</v>
      </c>
      <c r="E1185" t="s">
        <v>45</v>
      </c>
      <c r="F1185" s="2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 s="2">
        <v>6842</v>
      </c>
      <c r="T1185">
        <v>26308</v>
      </c>
      <c r="U1185">
        <v>6</v>
      </c>
      <c r="V1185" t="s">
        <v>42</v>
      </c>
      <c r="W1185" t="s">
        <v>43</v>
      </c>
      <c r="X1185" s="2">
        <v>20</v>
      </c>
      <c r="Y1185">
        <v>4</v>
      </c>
      <c r="Z1185">
        <v>1</v>
      </c>
      <c r="AA1185">
        <v>80</v>
      </c>
      <c r="AB1185">
        <v>1</v>
      </c>
      <c r="AC1185" s="2">
        <v>13</v>
      </c>
      <c r="AD1185">
        <v>3</v>
      </c>
      <c r="AE1185">
        <v>3</v>
      </c>
      <c r="AF1185" s="2">
        <v>5</v>
      </c>
      <c r="AG1185">
        <v>4</v>
      </c>
      <c r="AH1185">
        <v>0</v>
      </c>
      <c r="AI1185">
        <v>4</v>
      </c>
      <c r="AJ1185" s="2" t="str">
        <f>IF(A1185 A1185 &lt;= 25, "18-25", IF(A1185 &lt;=35, "26-35", IF(A1185 &lt;=45, "36-45", IF(Table3[[#This Row],[Age]] &lt;=55, "46-55", "56+"))))</f>
        <v>36-45</v>
      </c>
      <c r="AK1185" t="str">
        <f t="shared" si="18"/>
        <v>Medium</v>
      </c>
      <c r="AL1185" s="2" t="str">
        <f>IF(AF1185 &lt; 3, "0-2 Years", IF(AF1185 &lt;= 5, "3-5 Years", IF(AF1185 &lt;= 10, "6-10 Years",IF(Table3[[#This Row],[Years At Company]]&lt;=20, "11-20 Years","20+ Years"))))</f>
        <v>3-5 Years</v>
      </c>
    </row>
    <row r="1186" spans="1:38" x14ac:dyDescent="0.25">
      <c r="A1186" s="2">
        <v>54</v>
      </c>
      <c r="B1186" t="s">
        <v>43</v>
      </c>
      <c r="C1186" t="s">
        <v>36</v>
      </c>
      <c r="D1186" s="2">
        <v>584</v>
      </c>
      <c r="E1186" t="s">
        <v>45</v>
      </c>
      <c r="F1186" s="2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 s="2">
        <v>17426</v>
      </c>
      <c r="T1186">
        <v>18685</v>
      </c>
      <c r="U1186">
        <v>3</v>
      </c>
      <c r="V1186" t="s">
        <v>42</v>
      </c>
      <c r="W1186" t="s">
        <v>43</v>
      </c>
      <c r="X1186" s="2">
        <v>25</v>
      </c>
      <c r="Y1186">
        <v>4</v>
      </c>
      <c r="Z1186">
        <v>3</v>
      </c>
      <c r="AA1186">
        <v>80</v>
      </c>
      <c r="AB1186">
        <v>1</v>
      </c>
      <c r="AC1186" s="2">
        <v>36</v>
      </c>
      <c r="AD1186">
        <v>6</v>
      </c>
      <c r="AE1186">
        <v>3</v>
      </c>
      <c r="AF1186" s="2">
        <v>10</v>
      </c>
      <c r="AG1186">
        <v>8</v>
      </c>
      <c r="AH1186">
        <v>4</v>
      </c>
      <c r="AI1186">
        <v>7</v>
      </c>
      <c r="AJ1186" s="2" t="str">
        <f>IF(A1186 A1186 &lt;= 25, "18-25", IF(A1186 &lt;=35, "26-35", IF(A1186 &lt;=45, "36-45", IF(Table3[[#This Row],[Age]] &lt;=55, "46-55", "56+"))))</f>
        <v>46-55</v>
      </c>
      <c r="AK1186" t="str">
        <f t="shared" si="18"/>
        <v>High</v>
      </c>
      <c r="AL1186" s="2" t="str">
        <f>IF(AF1186 &lt; 3, "0-2 Years", IF(AF1186 &lt;= 5, "3-5 Years", IF(AF1186 &lt;= 10, "6-10 Years",IF(Table3[[#This Row],[Years At Company]]&lt;=20, "11-20 Years","20+ Years"))))</f>
        <v>6-10 Years</v>
      </c>
    </row>
    <row r="1187" spans="1:38" x14ac:dyDescent="0.25">
      <c r="A1187" s="2">
        <v>43</v>
      </c>
      <c r="B1187" t="s">
        <v>43</v>
      </c>
      <c r="C1187" t="s">
        <v>36</v>
      </c>
      <c r="D1187" s="2">
        <v>1291</v>
      </c>
      <c r="E1187" t="s">
        <v>45</v>
      </c>
      <c r="F1187" s="2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 s="2">
        <v>17603</v>
      </c>
      <c r="T1187">
        <v>3525</v>
      </c>
      <c r="U1187">
        <v>1</v>
      </c>
      <c r="V1187" t="s">
        <v>42</v>
      </c>
      <c r="W1187" t="s">
        <v>43</v>
      </c>
      <c r="X1187" s="2">
        <v>24</v>
      </c>
      <c r="Y1187">
        <v>4</v>
      </c>
      <c r="Z1187">
        <v>1</v>
      </c>
      <c r="AA1187">
        <v>80</v>
      </c>
      <c r="AB1187">
        <v>1</v>
      </c>
      <c r="AC1187" s="2">
        <v>14</v>
      </c>
      <c r="AD1187">
        <v>3</v>
      </c>
      <c r="AE1187">
        <v>3</v>
      </c>
      <c r="AF1187" s="2">
        <v>14</v>
      </c>
      <c r="AG1187">
        <v>10</v>
      </c>
      <c r="AH1187">
        <v>6</v>
      </c>
      <c r="AI1187">
        <v>11</v>
      </c>
      <c r="AJ1187" s="2" t="str">
        <f>IF(A1187 A1187 &lt;= 25, "18-25", IF(A1187 &lt;=35, "26-35", IF(A1187 &lt;=45, "36-45", IF(Table3[[#This Row],[Age]] &lt;=55, "46-55", "56+"))))</f>
        <v>36-45</v>
      </c>
      <c r="AK1187" t="str">
        <f t="shared" si="18"/>
        <v>High</v>
      </c>
      <c r="AL1187" s="2" t="str">
        <f>IF(AF1187 &lt; 3, "0-2 Years", IF(AF1187 &lt;= 5, "3-5 Years", IF(AF1187 &lt;= 10, "6-10 Years",IF(Table3[[#This Row],[Years At Company]]&lt;=20, "11-20 Years","20+ Years"))))</f>
        <v>11-20 Years</v>
      </c>
    </row>
    <row r="1188" spans="1:38" x14ac:dyDescent="0.25">
      <c r="A1188" s="2">
        <v>35</v>
      </c>
      <c r="B1188" t="s">
        <v>35</v>
      </c>
      <c r="C1188" t="s">
        <v>44</v>
      </c>
      <c r="D1188" s="2">
        <v>880</v>
      </c>
      <c r="E1188" t="s">
        <v>37</v>
      </c>
      <c r="F1188" s="2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 s="2">
        <v>4581</v>
      </c>
      <c r="T1188">
        <v>10414</v>
      </c>
      <c r="U1188">
        <v>3</v>
      </c>
      <c r="V1188" t="s">
        <v>42</v>
      </c>
      <c r="W1188" t="s">
        <v>35</v>
      </c>
      <c r="X1188" s="2">
        <v>24</v>
      </c>
      <c r="Y1188">
        <v>4</v>
      </c>
      <c r="Z1188">
        <v>1</v>
      </c>
      <c r="AA1188">
        <v>80</v>
      </c>
      <c r="AB1188">
        <v>0</v>
      </c>
      <c r="AC1188" s="2">
        <v>13</v>
      </c>
      <c r="AD1188">
        <v>2</v>
      </c>
      <c r="AE1188">
        <v>4</v>
      </c>
      <c r="AF1188" s="2">
        <v>11</v>
      </c>
      <c r="AG1188">
        <v>9</v>
      </c>
      <c r="AH1188">
        <v>6</v>
      </c>
      <c r="AI1188">
        <v>7</v>
      </c>
      <c r="AJ1188" s="2" t="str">
        <f>IF(A1188 A1188 &lt;= 25, "18-25", IF(A1188 &lt;=35, "26-35", IF(A1188 &lt;=45, "36-45", IF(Table3[[#This Row],[Age]] &lt;=55, "46-55", "56+"))))</f>
        <v>26-35</v>
      </c>
      <c r="AK1188" t="str">
        <f t="shared" si="18"/>
        <v>Low</v>
      </c>
      <c r="AL1188" s="2" t="str">
        <f>IF(AF1188 &lt; 3, "0-2 Years", IF(AF1188 &lt;= 5, "3-5 Years", IF(AF1188 &lt;= 10, "6-10 Years",IF(Table3[[#This Row],[Years At Company]]&lt;=20, "11-20 Years","20+ Years"))))</f>
        <v>11-20 Years</v>
      </c>
    </row>
    <row r="1189" spans="1:38" x14ac:dyDescent="0.25">
      <c r="A1189" s="2">
        <v>38</v>
      </c>
      <c r="B1189" t="s">
        <v>43</v>
      </c>
      <c r="C1189" t="s">
        <v>44</v>
      </c>
      <c r="D1189" s="2">
        <v>1189</v>
      </c>
      <c r="E1189" t="s">
        <v>45</v>
      </c>
      <c r="F1189" s="2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 s="2">
        <v>4735</v>
      </c>
      <c r="T1189">
        <v>9867</v>
      </c>
      <c r="U1189">
        <v>7</v>
      </c>
      <c r="V1189" t="s">
        <v>42</v>
      </c>
      <c r="W1189" t="s">
        <v>43</v>
      </c>
      <c r="X1189" s="2">
        <v>15</v>
      </c>
      <c r="Y1189">
        <v>3</v>
      </c>
      <c r="Z1189">
        <v>4</v>
      </c>
      <c r="AA1189">
        <v>80</v>
      </c>
      <c r="AB1189">
        <v>2</v>
      </c>
      <c r="AC1189" s="2">
        <v>19</v>
      </c>
      <c r="AD1189">
        <v>4</v>
      </c>
      <c r="AE1189">
        <v>4</v>
      </c>
      <c r="AF1189" s="2">
        <v>13</v>
      </c>
      <c r="AG1189">
        <v>11</v>
      </c>
      <c r="AH1189">
        <v>2</v>
      </c>
      <c r="AI1189">
        <v>9</v>
      </c>
      <c r="AJ1189" s="2" t="str">
        <f>IF(A1189 A1189 &lt;= 25, "18-25", IF(A1189 &lt;=35, "26-35", IF(A1189 &lt;=45, "36-45", IF(Table3[[#This Row],[Age]] &lt;=55, "46-55", "56+"))))</f>
        <v>36-45</v>
      </c>
      <c r="AK1189" t="str">
        <f t="shared" si="18"/>
        <v>Low</v>
      </c>
      <c r="AL1189" s="2" t="str">
        <f>IF(AF1189 &lt; 3, "0-2 Years", IF(AF1189 &lt;= 5, "3-5 Years", IF(AF1189 &lt;= 10, "6-10 Years",IF(Table3[[#This Row],[Years At Company]]&lt;=20, "11-20 Years","20+ Years"))))</f>
        <v>11-20 Years</v>
      </c>
    </row>
    <row r="1190" spans="1:38" x14ac:dyDescent="0.25">
      <c r="A1190" s="2">
        <v>29</v>
      </c>
      <c r="B1190" t="s">
        <v>43</v>
      </c>
      <c r="C1190" t="s">
        <v>36</v>
      </c>
      <c r="D1190" s="2">
        <v>991</v>
      </c>
      <c r="E1190" t="s">
        <v>37</v>
      </c>
      <c r="F1190" s="2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 s="2">
        <v>4187</v>
      </c>
      <c r="T1190">
        <v>3356</v>
      </c>
      <c r="U1190">
        <v>1</v>
      </c>
      <c r="V1190" t="s">
        <v>42</v>
      </c>
      <c r="W1190" t="s">
        <v>35</v>
      </c>
      <c r="X1190" s="2">
        <v>13</v>
      </c>
      <c r="Y1190">
        <v>3</v>
      </c>
      <c r="Z1190">
        <v>2</v>
      </c>
      <c r="AA1190">
        <v>80</v>
      </c>
      <c r="AB1190">
        <v>1</v>
      </c>
      <c r="AC1190" s="2">
        <v>10</v>
      </c>
      <c r="AD1190">
        <v>3</v>
      </c>
      <c r="AE1190">
        <v>2</v>
      </c>
      <c r="AF1190" s="2">
        <v>10</v>
      </c>
      <c r="AG1190">
        <v>0</v>
      </c>
      <c r="AH1190">
        <v>0</v>
      </c>
      <c r="AI1190">
        <v>9</v>
      </c>
      <c r="AJ1190" s="2" t="str">
        <f>IF(A1190 A1190 &lt;= 25, "18-25", IF(A1190 &lt;=35, "26-35", IF(A1190 &lt;=45, "36-45", IF(Table3[[#This Row],[Age]] &lt;=55, "46-55", "56+"))))</f>
        <v>26-35</v>
      </c>
      <c r="AK1190" t="str">
        <f t="shared" si="18"/>
        <v>Low</v>
      </c>
      <c r="AL1190" s="2" t="str">
        <f>IF(AF1190 &lt; 3, "0-2 Years", IF(AF1190 &lt;= 5, "3-5 Years", IF(AF1190 &lt;= 10, "6-10 Years",IF(Table3[[#This Row],[Years At Company]]&lt;=20, "11-20 Years","20+ Years"))))</f>
        <v>6-10 Years</v>
      </c>
    </row>
    <row r="1191" spans="1:38" x14ac:dyDescent="0.25">
      <c r="A1191" s="2">
        <v>33</v>
      </c>
      <c r="B1191" t="s">
        <v>43</v>
      </c>
      <c r="C1191" t="s">
        <v>36</v>
      </c>
      <c r="D1191" s="2">
        <v>392</v>
      </c>
      <c r="E1191" t="s">
        <v>37</v>
      </c>
      <c r="F1191" s="2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 s="2">
        <v>5505</v>
      </c>
      <c r="T1191">
        <v>3921</v>
      </c>
      <c r="U1191">
        <v>1</v>
      </c>
      <c r="V1191" t="s">
        <v>42</v>
      </c>
      <c r="W1191" t="s">
        <v>43</v>
      </c>
      <c r="X1191" s="2">
        <v>14</v>
      </c>
      <c r="Y1191">
        <v>3</v>
      </c>
      <c r="Z1191">
        <v>3</v>
      </c>
      <c r="AA1191">
        <v>80</v>
      </c>
      <c r="AB1191">
        <v>2</v>
      </c>
      <c r="AC1191" s="2">
        <v>6</v>
      </c>
      <c r="AD1191">
        <v>5</v>
      </c>
      <c r="AE1191">
        <v>3</v>
      </c>
      <c r="AF1191" s="2">
        <v>6</v>
      </c>
      <c r="AG1191">
        <v>2</v>
      </c>
      <c r="AH1191">
        <v>0</v>
      </c>
      <c r="AI1191">
        <v>4</v>
      </c>
      <c r="AJ1191" s="2" t="str">
        <f>IF(A1191 A1191 &lt;= 25, "18-25", IF(A1191 &lt;=35, "26-35", IF(A1191 &lt;=45, "36-45", IF(Table3[[#This Row],[Age]] &lt;=55, "46-55", "56+"))))</f>
        <v>26-35</v>
      </c>
      <c r="AK1191" t="str">
        <f t="shared" si="18"/>
        <v>Medium</v>
      </c>
      <c r="AL1191" s="2" t="str">
        <f>IF(AF1191 &lt; 3, "0-2 Years", IF(AF1191 &lt;= 5, "3-5 Years", IF(AF1191 &lt;= 10, "6-10 Years",IF(Table3[[#This Row],[Years At Company]]&lt;=20, "11-20 Years","20+ Years"))))</f>
        <v>6-10 Years</v>
      </c>
    </row>
    <row r="1192" spans="1:38" x14ac:dyDescent="0.25">
      <c r="A1192" s="2">
        <v>32</v>
      </c>
      <c r="B1192" t="s">
        <v>43</v>
      </c>
      <c r="C1192" t="s">
        <v>36</v>
      </c>
      <c r="D1192" s="2">
        <v>977</v>
      </c>
      <c r="E1192" t="s">
        <v>45</v>
      </c>
      <c r="F1192" s="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 s="2">
        <v>5470</v>
      </c>
      <c r="T1192">
        <v>25518</v>
      </c>
      <c r="U1192">
        <v>0</v>
      </c>
      <c r="V1192" t="s">
        <v>42</v>
      </c>
      <c r="W1192" t="s">
        <v>43</v>
      </c>
      <c r="X1192" s="2">
        <v>13</v>
      </c>
      <c r="Y1192">
        <v>3</v>
      </c>
      <c r="Z1192">
        <v>3</v>
      </c>
      <c r="AA1192">
        <v>80</v>
      </c>
      <c r="AB1192">
        <v>2</v>
      </c>
      <c r="AC1192" s="2">
        <v>10</v>
      </c>
      <c r="AD1192">
        <v>4</v>
      </c>
      <c r="AE1192">
        <v>2</v>
      </c>
      <c r="AF1192" s="2">
        <v>9</v>
      </c>
      <c r="AG1192">
        <v>5</v>
      </c>
      <c r="AH1192">
        <v>1</v>
      </c>
      <c r="AI1192">
        <v>6</v>
      </c>
      <c r="AJ1192" s="2" t="str">
        <f>IF(A1192 A1192 &lt;= 25, "18-25", IF(A1192 &lt;=35, "26-35", IF(A1192 &lt;=45, "36-45", IF(Table3[[#This Row],[Age]] &lt;=55, "46-55", "56+"))))</f>
        <v>26-35</v>
      </c>
      <c r="AK1192" t="str">
        <f t="shared" si="18"/>
        <v>Medium</v>
      </c>
      <c r="AL1192" s="2" t="str">
        <f>IF(AF1192 &lt; 3, "0-2 Years", IF(AF1192 &lt;= 5, "3-5 Years", IF(AF1192 &lt;= 10, "6-10 Years",IF(Table3[[#This Row],[Years At Company]]&lt;=20, "11-20 Years","20+ Years"))))</f>
        <v>6-10 Years</v>
      </c>
    </row>
    <row r="1193" spans="1:38" x14ac:dyDescent="0.25">
      <c r="A1193" s="2">
        <v>31</v>
      </c>
      <c r="B1193" t="s">
        <v>43</v>
      </c>
      <c r="C1193" t="s">
        <v>36</v>
      </c>
      <c r="D1193" s="2">
        <v>1112</v>
      </c>
      <c r="E1193" t="s">
        <v>37</v>
      </c>
      <c r="F1193" s="2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 s="2">
        <v>5476</v>
      </c>
      <c r="T1193">
        <v>22589</v>
      </c>
      <c r="U1193">
        <v>1</v>
      </c>
      <c r="V1193" t="s">
        <v>42</v>
      </c>
      <c r="W1193" t="s">
        <v>43</v>
      </c>
      <c r="X1193" s="2">
        <v>11</v>
      </c>
      <c r="Y1193">
        <v>3</v>
      </c>
      <c r="Z1193">
        <v>1</v>
      </c>
      <c r="AA1193">
        <v>80</v>
      </c>
      <c r="AB1193">
        <v>2</v>
      </c>
      <c r="AC1193" s="2">
        <v>10</v>
      </c>
      <c r="AD1193">
        <v>2</v>
      </c>
      <c r="AE1193">
        <v>3</v>
      </c>
      <c r="AF1193" s="2">
        <v>10</v>
      </c>
      <c r="AG1193">
        <v>0</v>
      </c>
      <c r="AH1193">
        <v>0</v>
      </c>
      <c r="AI1193">
        <v>2</v>
      </c>
      <c r="AJ1193" s="2" t="str">
        <f>IF(A1193 A1193 &lt;= 25, "18-25", IF(A1193 &lt;=35, "26-35", IF(A1193 &lt;=45, "36-45", IF(Table3[[#This Row],[Age]] &lt;=55, "46-55", "56+"))))</f>
        <v>26-35</v>
      </c>
      <c r="AK1193" t="str">
        <f t="shared" si="18"/>
        <v>Medium</v>
      </c>
      <c r="AL1193" s="2" t="str">
        <f>IF(AF1193 &lt; 3, "0-2 Years", IF(AF1193 &lt;= 5, "3-5 Years", IF(AF1193 &lt;= 10, "6-10 Years",IF(Table3[[#This Row],[Years At Company]]&lt;=20, "11-20 Years","20+ Years"))))</f>
        <v>6-10 Years</v>
      </c>
    </row>
    <row r="1194" spans="1:38" x14ac:dyDescent="0.25">
      <c r="A1194" s="2">
        <v>49</v>
      </c>
      <c r="B1194" t="s">
        <v>43</v>
      </c>
      <c r="C1194" t="s">
        <v>36</v>
      </c>
      <c r="D1194" s="2">
        <v>464</v>
      </c>
      <c r="E1194" t="s">
        <v>45</v>
      </c>
      <c r="F1194" s="2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 s="2">
        <v>2587</v>
      </c>
      <c r="T1194">
        <v>24941</v>
      </c>
      <c r="U1194">
        <v>4</v>
      </c>
      <c r="V1194" t="s">
        <v>42</v>
      </c>
      <c r="W1194" t="s">
        <v>35</v>
      </c>
      <c r="X1194" s="2">
        <v>16</v>
      </c>
      <c r="Y1194">
        <v>3</v>
      </c>
      <c r="Z1194">
        <v>2</v>
      </c>
      <c r="AA1194">
        <v>80</v>
      </c>
      <c r="AB1194">
        <v>1</v>
      </c>
      <c r="AC1194" s="2">
        <v>17</v>
      </c>
      <c r="AD1194">
        <v>2</v>
      </c>
      <c r="AE1194">
        <v>2</v>
      </c>
      <c r="AF1194" s="2">
        <v>2</v>
      </c>
      <c r="AG1194">
        <v>2</v>
      </c>
      <c r="AH1194">
        <v>2</v>
      </c>
      <c r="AI1194">
        <v>2</v>
      </c>
      <c r="AJ1194" s="2" t="str">
        <f>IF(A1194 A1194 &lt;= 25, "18-25", IF(A1194 &lt;=35, "26-35", IF(A1194 &lt;=45, "36-45", IF(Table3[[#This Row],[Age]] &lt;=55, "46-55", "56+"))))</f>
        <v>46-55</v>
      </c>
      <c r="AK1194" t="str">
        <f t="shared" si="18"/>
        <v>Low</v>
      </c>
      <c r="AL1194" s="2" t="str">
        <f>IF(AF1194 &lt; 3, "0-2 Years", IF(AF1194 &lt;= 5, "3-5 Years", IF(AF1194 &lt;= 10, "6-10 Years",IF(Table3[[#This Row],[Years At Company]]&lt;=20, "11-20 Years","20+ Years"))))</f>
        <v>0-2 Years</v>
      </c>
    </row>
    <row r="1195" spans="1:38" x14ac:dyDescent="0.25">
      <c r="A1195" s="2">
        <v>38</v>
      </c>
      <c r="B1195" t="s">
        <v>43</v>
      </c>
      <c r="C1195" t="s">
        <v>44</v>
      </c>
      <c r="D1195" s="2">
        <v>148</v>
      </c>
      <c r="E1195" t="s">
        <v>45</v>
      </c>
      <c r="F1195" s="2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 s="2">
        <v>2440</v>
      </c>
      <c r="T1195">
        <v>23826</v>
      </c>
      <c r="U1195">
        <v>1</v>
      </c>
      <c r="V1195" t="s">
        <v>42</v>
      </c>
      <c r="W1195" t="s">
        <v>43</v>
      </c>
      <c r="X1195" s="2">
        <v>22</v>
      </c>
      <c r="Y1195">
        <v>4</v>
      </c>
      <c r="Z1195">
        <v>2</v>
      </c>
      <c r="AA1195">
        <v>80</v>
      </c>
      <c r="AB1195">
        <v>0</v>
      </c>
      <c r="AC1195" s="2">
        <v>4</v>
      </c>
      <c r="AD1195">
        <v>3</v>
      </c>
      <c r="AE1195">
        <v>3</v>
      </c>
      <c r="AF1195" s="2">
        <v>4</v>
      </c>
      <c r="AG1195">
        <v>3</v>
      </c>
      <c r="AH1195">
        <v>3</v>
      </c>
      <c r="AI1195">
        <v>3</v>
      </c>
      <c r="AJ1195" s="2" t="str">
        <f>IF(A1195 A1195 &lt;= 25, "18-25", IF(A1195 &lt;=35, "26-35", IF(A1195 &lt;=45, "36-45", IF(Table3[[#This Row],[Age]] &lt;=55, "46-55", "56+"))))</f>
        <v>36-45</v>
      </c>
      <c r="AK1195" t="str">
        <f t="shared" si="18"/>
        <v>Low</v>
      </c>
      <c r="AL1195" s="2" t="str">
        <f>IF(AF1195 &lt; 3, "0-2 Years", IF(AF1195 &lt;= 5, "3-5 Years", IF(AF1195 &lt;= 10, "6-10 Years",IF(Table3[[#This Row],[Years At Company]]&lt;=20, "11-20 Years","20+ Years"))))</f>
        <v>3-5 Years</v>
      </c>
    </row>
    <row r="1196" spans="1:38" x14ac:dyDescent="0.25">
      <c r="A1196" s="2">
        <v>47</v>
      </c>
      <c r="B1196" t="s">
        <v>43</v>
      </c>
      <c r="C1196" t="s">
        <v>36</v>
      </c>
      <c r="D1196" s="2">
        <v>1225</v>
      </c>
      <c r="E1196" t="s">
        <v>37</v>
      </c>
      <c r="F1196" s="2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 s="2">
        <v>15972</v>
      </c>
      <c r="T1196">
        <v>21086</v>
      </c>
      <c r="U1196">
        <v>6</v>
      </c>
      <c r="V1196" t="s">
        <v>42</v>
      </c>
      <c r="W1196" t="s">
        <v>43</v>
      </c>
      <c r="X1196" s="2">
        <v>14</v>
      </c>
      <c r="Y1196">
        <v>3</v>
      </c>
      <c r="Z1196">
        <v>3</v>
      </c>
      <c r="AA1196">
        <v>80</v>
      </c>
      <c r="AB1196">
        <v>3</v>
      </c>
      <c r="AC1196" s="2">
        <v>29</v>
      </c>
      <c r="AD1196">
        <v>2</v>
      </c>
      <c r="AE1196">
        <v>3</v>
      </c>
      <c r="AF1196" s="2">
        <v>3</v>
      </c>
      <c r="AG1196">
        <v>2</v>
      </c>
      <c r="AH1196">
        <v>1</v>
      </c>
      <c r="AI1196">
        <v>2</v>
      </c>
      <c r="AJ1196" s="2" t="str">
        <f>IF(A1196 A1196 &lt;= 25, "18-25", IF(A1196 &lt;=35, "26-35", IF(A1196 &lt;=45, "36-45", IF(Table3[[#This Row],[Age]] &lt;=55, "46-55", "56+"))))</f>
        <v>46-55</v>
      </c>
      <c r="AK1196" t="str">
        <f t="shared" si="18"/>
        <v>High</v>
      </c>
      <c r="AL1196" s="2" t="str">
        <f>IF(AF1196 &lt; 3, "0-2 Years", IF(AF1196 &lt;= 5, "3-5 Years", IF(AF1196 &lt;= 10, "6-10 Years",IF(Table3[[#This Row],[Years At Company]]&lt;=20, "11-20 Years","20+ Years"))))</f>
        <v>3-5 Years</v>
      </c>
    </row>
    <row r="1197" spans="1:38" x14ac:dyDescent="0.25">
      <c r="A1197" s="2">
        <v>49</v>
      </c>
      <c r="B1197" t="s">
        <v>43</v>
      </c>
      <c r="C1197" t="s">
        <v>36</v>
      </c>
      <c r="D1197" s="2">
        <v>809</v>
      </c>
      <c r="E1197" t="s">
        <v>45</v>
      </c>
      <c r="F1197" s="2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 s="2">
        <v>15379</v>
      </c>
      <c r="T1197">
        <v>22384</v>
      </c>
      <c r="U1197">
        <v>4</v>
      </c>
      <c r="V1197" t="s">
        <v>42</v>
      </c>
      <c r="W1197" t="s">
        <v>43</v>
      </c>
      <c r="X1197" s="2">
        <v>14</v>
      </c>
      <c r="Y1197">
        <v>3</v>
      </c>
      <c r="Z1197">
        <v>1</v>
      </c>
      <c r="AA1197">
        <v>80</v>
      </c>
      <c r="AB1197">
        <v>0</v>
      </c>
      <c r="AC1197" s="2">
        <v>23</v>
      </c>
      <c r="AD1197">
        <v>2</v>
      </c>
      <c r="AE1197">
        <v>3</v>
      </c>
      <c r="AF1197" s="2">
        <v>8</v>
      </c>
      <c r="AG1197">
        <v>7</v>
      </c>
      <c r="AH1197">
        <v>0</v>
      </c>
      <c r="AI1197">
        <v>0</v>
      </c>
      <c r="AJ1197" s="2" t="str">
        <f>IF(A1197 A1197 &lt;= 25, "18-25", IF(A1197 &lt;=35, "26-35", IF(A1197 &lt;=45, "36-45", IF(Table3[[#This Row],[Age]] &lt;=55, "46-55", "56+"))))</f>
        <v>46-55</v>
      </c>
      <c r="AK1197" t="str">
        <f t="shared" si="18"/>
        <v>High</v>
      </c>
      <c r="AL1197" s="2" t="str">
        <f>IF(AF1197 &lt; 3, "0-2 Years", IF(AF1197 &lt;= 5, "3-5 Years", IF(AF1197 &lt;= 10, "6-10 Years",IF(Table3[[#This Row],[Years At Company]]&lt;=20, "11-20 Years","20+ Years"))))</f>
        <v>6-10 Years</v>
      </c>
    </row>
    <row r="1198" spans="1:38" x14ac:dyDescent="0.25">
      <c r="A1198" s="2">
        <v>41</v>
      </c>
      <c r="B1198" t="s">
        <v>43</v>
      </c>
      <c r="C1198" t="s">
        <v>36</v>
      </c>
      <c r="D1198" s="2">
        <v>1206</v>
      </c>
      <c r="E1198" t="s">
        <v>37</v>
      </c>
      <c r="F1198" s="2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 s="2">
        <v>7082</v>
      </c>
      <c r="T1198">
        <v>11591</v>
      </c>
      <c r="U1198">
        <v>3</v>
      </c>
      <c r="V1198" t="s">
        <v>42</v>
      </c>
      <c r="W1198" t="s">
        <v>35</v>
      </c>
      <c r="X1198" s="2">
        <v>16</v>
      </c>
      <c r="Y1198">
        <v>3</v>
      </c>
      <c r="Z1198">
        <v>4</v>
      </c>
      <c r="AA1198">
        <v>80</v>
      </c>
      <c r="AB1198">
        <v>0</v>
      </c>
      <c r="AC1198" s="2">
        <v>21</v>
      </c>
      <c r="AD1198">
        <v>2</v>
      </c>
      <c r="AE1198">
        <v>3</v>
      </c>
      <c r="AF1198" s="2">
        <v>2</v>
      </c>
      <c r="AG1198">
        <v>0</v>
      </c>
      <c r="AH1198">
        <v>0</v>
      </c>
      <c r="AI1198">
        <v>2</v>
      </c>
      <c r="AJ1198" s="2" t="str">
        <f>IF(A1198 A1198 &lt;= 25, "18-25", IF(A1198 &lt;=35, "26-35", IF(A1198 &lt;=45, "36-45", IF(Table3[[#This Row],[Age]] &lt;=55, "46-55", "56+"))))</f>
        <v>36-45</v>
      </c>
      <c r="AK1198" t="str">
        <f t="shared" si="18"/>
        <v>Medium</v>
      </c>
      <c r="AL1198" s="2" t="str">
        <f>IF(AF1198 &lt; 3, "0-2 Years", IF(AF1198 &lt;= 5, "3-5 Years", IF(AF1198 &lt;= 10, "6-10 Years",IF(Table3[[#This Row],[Years At Company]]&lt;=20, "11-20 Years","20+ Years"))))</f>
        <v>0-2 Years</v>
      </c>
    </row>
    <row r="1199" spans="1:38" x14ac:dyDescent="0.25">
      <c r="A1199" s="2">
        <v>20</v>
      </c>
      <c r="B1199" t="s">
        <v>43</v>
      </c>
      <c r="C1199" t="s">
        <v>36</v>
      </c>
      <c r="D1199" s="2">
        <v>727</v>
      </c>
      <c r="E1199" t="s">
        <v>37</v>
      </c>
      <c r="F1199" s="2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 s="2">
        <v>2728</v>
      </c>
      <c r="T1199">
        <v>21082</v>
      </c>
      <c r="U1199">
        <v>1</v>
      </c>
      <c r="V1199" t="s">
        <v>42</v>
      </c>
      <c r="W1199" t="s">
        <v>43</v>
      </c>
      <c r="X1199" s="2">
        <v>11</v>
      </c>
      <c r="Y1199">
        <v>3</v>
      </c>
      <c r="Z1199">
        <v>1</v>
      </c>
      <c r="AA1199">
        <v>80</v>
      </c>
      <c r="AB1199">
        <v>0</v>
      </c>
      <c r="AC1199" s="2">
        <v>2</v>
      </c>
      <c r="AD1199">
        <v>3</v>
      </c>
      <c r="AE1199">
        <v>3</v>
      </c>
      <c r="AF1199" s="2">
        <v>2</v>
      </c>
      <c r="AG1199">
        <v>2</v>
      </c>
      <c r="AH1199">
        <v>0</v>
      </c>
      <c r="AI1199">
        <v>2</v>
      </c>
      <c r="AJ1199" s="2" t="str">
        <f>IF(A1199 A1199 &lt;= 25, "18-25", IF(A1199 &lt;=35, "26-35", IF(A1199 &lt;=45, "36-45", IF(Table3[[#This Row],[Age]] &lt;=55, "46-55", "56+"))))</f>
        <v>18-25</v>
      </c>
      <c r="AK1199" t="str">
        <f t="shared" si="18"/>
        <v>Low</v>
      </c>
      <c r="AL1199" s="2" t="str">
        <f>IF(AF1199 &lt; 3, "0-2 Years", IF(AF1199 &lt;= 5, "3-5 Years", IF(AF1199 &lt;= 10, "6-10 Years",IF(Table3[[#This Row],[Years At Company]]&lt;=20, "11-20 Years","20+ Years"))))</f>
        <v>0-2 Years</v>
      </c>
    </row>
    <row r="1200" spans="1:38" x14ac:dyDescent="0.25">
      <c r="A1200" s="2">
        <v>33</v>
      </c>
      <c r="B1200" t="s">
        <v>43</v>
      </c>
      <c r="C1200" t="s">
        <v>55</v>
      </c>
      <c r="D1200" s="2">
        <v>530</v>
      </c>
      <c r="E1200" t="s">
        <v>37</v>
      </c>
      <c r="F1200" s="2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 s="2">
        <v>5368</v>
      </c>
      <c r="T1200">
        <v>16130</v>
      </c>
      <c r="U1200">
        <v>1</v>
      </c>
      <c r="V1200" t="s">
        <v>42</v>
      </c>
      <c r="W1200" t="s">
        <v>35</v>
      </c>
      <c r="X1200" s="2">
        <v>25</v>
      </c>
      <c r="Y1200">
        <v>4</v>
      </c>
      <c r="Z1200">
        <v>3</v>
      </c>
      <c r="AA1200">
        <v>80</v>
      </c>
      <c r="AB1200">
        <v>1</v>
      </c>
      <c r="AC1200" s="2">
        <v>7</v>
      </c>
      <c r="AD1200">
        <v>2</v>
      </c>
      <c r="AE1200">
        <v>3</v>
      </c>
      <c r="AF1200" s="2">
        <v>6</v>
      </c>
      <c r="AG1200">
        <v>5</v>
      </c>
      <c r="AH1200">
        <v>1</v>
      </c>
      <c r="AI1200">
        <v>2</v>
      </c>
      <c r="AJ1200" s="2" t="str">
        <f>IF(A1200 A1200 &lt;= 25, "18-25", IF(A1200 &lt;=35, "26-35", IF(A1200 &lt;=45, "36-45", IF(Table3[[#This Row],[Age]] &lt;=55, "46-55", "56+"))))</f>
        <v>26-35</v>
      </c>
      <c r="AK1200" t="str">
        <f t="shared" si="18"/>
        <v>Medium</v>
      </c>
      <c r="AL1200" s="2" t="str">
        <f>IF(AF1200 &lt; 3, "0-2 Years", IF(AF1200 &lt;= 5, "3-5 Years", IF(AF1200 &lt;= 10, "6-10 Years",IF(Table3[[#This Row],[Years At Company]]&lt;=20, "11-20 Years","20+ Years"))))</f>
        <v>6-10 Years</v>
      </c>
    </row>
    <row r="1201" spans="1:38" x14ac:dyDescent="0.25">
      <c r="A1201" s="2">
        <v>36</v>
      </c>
      <c r="B1201" t="s">
        <v>43</v>
      </c>
      <c r="C1201" t="s">
        <v>36</v>
      </c>
      <c r="D1201" s="2">
        <v>1351</v>
      </c>
      <c r="E1201" t="s">
        <v>45</v>
      </c>
      <c r="F1201" s="2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 s="2">
        <v>5347</v>
      </c>
      <c r="T1201">
        <v>7419</v>
      </c>
      <c r="U1201">
        <v>6</v>
      </c>
      <c r="V1201" t="s">
        <v>42</v>
      </c>
      <c r="W1201" t="s">
        <v>43</v>
      </c>
      <c r="X1201" s="2">
        <v>14</v>
      </c>
      <c r="Y1201">
        <v>3</v>
      </c>
      <c r="Z1201">
        <v>2</v>
      </c>
      <c r="AA1201">
        <v>80</v>
      </c>
      <c r="AB1201">
        <v>2</v>
      </c>
      <c r="AC1201" s="2">
        <v>10</v>
      </c>
      <c r="AD1201">
        <v>2</v>
      </c>
      <c r="AE1201">
        <v>2</v>
      </c>
      <c r="AF1201" s="2">
        <v>3</v>
      </c>
      <c r="AG1201">
        <v>2</v>
      </c>
      <c r="AH1201">
        <v>0</v>
      </c>
      <c r="AI1201">
        <v>2</v>
      </c>
      <c r="AJ1201" s="2" t="str">
        <f>IF(A1201 A1201 &lt;= 25, "18-25", IF(A1201 &lt;=35, "26-35", IF(A1201 &lt;=45, "36-45", IF(Table3[[#This Row],[Age]] &lt;=55, "46-55", "56+"))))</f>
        <v>36-45</v>
      </c>
      <c r="AK1201" t="str">
        <f t="shared" si="18"/>
        <v>Medium</v>
      </c>
      <c r="AL1201" s="2" t="str">
        <f>IF(AF1201 &lt; 3, "0-2 Years", IF(AF1201 &lt;= 5, "3-5 Years", IF(AF1201 &lt;= 10, "6-10 Years",IF(Table3[[#This Row],[Years At Company]]&lt;=20, "11-20 Years","20+ Years"))))</f>
        <v>3-5 Years</v>
      </c>
    </row>
    <row r="1202" spans="1:38" x14ac:dyDescent="0.25">
      <c r="A1202" s="2">
        <v>44</v>
      </c>
      <c r="B1202" t="s">
        <v>43</v>
      </c>
      <c r="C1202" t="s">
        <v>36</v>
      </c>
      <c r="D1202" s="2">
        <v>528</v>
      </c>
      <c r="E1202" t="s">
        <v>61</v>
      </c>
      <c r="F1202" s="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 s="2">
        <v>3195</v>
      </c>
      <c r="T1202">
        <v>4167</v>
      </c>
      <c r="U1202">
        <v>4</v>
      </c>
      <c r="V1202" t="s">
        <v>42</v>
      </c>
      <c r="W1202" t="s">
        <v>35</v>
      </c>
      <c r="X1202" s="2">
        <v>18</v>
      </c>
      <c r="Y1202">
        <v>3</v>
      </c>
      <c r="Z1202">
        <v>1</v>
      </c>
      <c r="AA1202">
        <v>80</v>
      </c>
      <c r="AB1202">
        <v>3</v>
      </c>
      <c r="AC1202" s="2">
        <v>8</v>
      </c>
      <c r="AD1202">
        <v>2</v>
      </c>
      <c r="AE1202">
        <v>3</v>
      </c>
      <c r="AF1202" s="2">
        <v>2</v>
      </c>
      <c r="AG1202">
        <v>2</v>
      </c>
      <c r="AH1202">
        <v>2</v>
      </c>
      <c r="AI1202">
        <v>2</v>
      </c>
      <c r="AJ1202" s="2" t="str">
        <f>IF(A1202 A1202 &lt;= 25, "18-25", IF(A1202 &lt;=35, "26-35", IF(A1202 &lt;=45, "36-45", IF(Table3[[#This Row],[Age]] &lt;=55, "46-55", "56+"))))</f>
        <v>36-45</v>
      </c>
      <c r="AK1202" t="str">
        <f t="shared" si="18"/>
        <v>Low</v>
      </c>
      <c r="AL1202" s="2" t="str">
        <f>IF(AF1202 &lt; 3, "0-2 Years", IF(AF1202 &lt;= 5, "3-5 Years", IF(AF1202 &lt;= 10, "6-10 Years",IF(Table3[[#This Row],[Years At Company]]&lt;=20, "11-20 Years","20+ Years"))))</f>
        <v>0-2 Years</v>
      </c>
    </row>
    <row r="1203" spans="1:38" x14ac:dyDescent="0.25">
      <c r="A1203" s="2">
        <v>23</v>
      </c>
      <c r="B1203" t="s">
        <v>35</v>
      </c>
      <c r="C1203" t="s">
        <v>36</v>
      </c>
      <c r="D1203" s="2">
        <v>1320</v>
      </c>
      <c r="E1203" t="s">
        <v>45</v>
      </c>
      <c r="F1203" s="2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 s="2">
        <v>3989</v>
      </c>
      <c r="T1203">
        <v>20586</v>
      </c>
      <c r="U1203">
        <v>1</v>
      </c>
      <c r="V1203" t="s">
        <v>42</v>
      </c>
      <c r="W1203" t="s">
        <v>35</v>
      </c>
      <c r="X1203" s="2">
        <v>11</v>
      </c>
      <c r="Y1203">
        <v>3</v>
      </c>
      <c r="Z1203">
        <v>1</v>
      </c>
      <c r="AA1203">
        <v>80</v>
      </c>
      <c r="AB1203">
        <v>0</v>
      </c>
      <c r="AC1203" s="2">
        <v>5</v>
      </c>
      <c r="AD1203">
        <v>2</v>
      </c>
      <c r="AE1203">
        <v>3</v>
      </c>
      <c r="AF1203" s="2">
        <v>5</v>
      </c>
      <c r="AG1203">
        <v>4</v>
      </c>
      <c r="AH1203">
        <v>1</v>
      </c>
      <c r="AI1203">
        <v>2</v>
      </c>
      <c r="AJ1203" s="2" t="str">
        <f>IF(A1203 A1203 &lt;= 25, "18-25", IF(A1203 &lt;=35, "26-35", IF(A1203 &lt;=45, "36-45", IF(Table3[[#This Row],[Age]] &lt;=55, "46-55", "56+"))))</f>
        <v>18-25</v>
      </c>
      <c r="AK1203" t="str">
        <f t="shared" si="18"/>
        <v>Low</v>
      </c>
      <c r="AL1203" s="2" t="str">
        <f>IF(AF1203 &lt; 3, "0-2 Years", IF(AF1203 &lt;= 5, "3-5 Years", IF(AF1203 &lt;= 10, "6-10 Years",IF(Table3[[#This Row],[Years At Company]]&lt;=20, "11-20 Years","20+ Years"))))</f>
        <v>3-5 Years</v>
      </c>
    </row>
    <row r="1204" spans="1:38" x14ac:dyDescent="0.25">
      <c r="A1204" s="2">
        <v>38</v>
      </c>
      <c r="B1204" t="s">
        <v>43</v>
      </c>
      <c r="C1204" t="s">
        <v>36</v>
      </c>
      <c r="D1204" s="2">
        <v>1495</v>
      </c>
      <c r="E1204" t="s">
        <v>45</v>
      </c>
      <c r="F1204" s="2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 s="2">
        <v>3306</v>
      </c>
      <c r="T1204">
        <v>26176</v>
      </c>
      <c r="U1204">
        <v>7</v>
      </c>
      <c r="V1204" t="s">
        <v>42</v>
      </c>
      <c r="W1204" t="s">
        <v>43</v>
      </c>
      <c r="X1204" s="2">
        <v>19</v>
      </c>
      <c r="Y1204">
        <v>3</v>
      </c>
      <c r="Z1204">
        <v>4</v>
      </c>
      <c r="AA1204">
        <v>80</v>
      </c>
      <c r="AB1204">
        <v>1</v>
      </c>
      <c r="AC1204" s="2">
        <v>7</v>
      </c>
      <c r="AD1204">
        <v>5</v>
      </c>
      <c r="AE1204">
        <v>2</v>
      </c>
      <c r="AF1204" s="2">
        <v>0</v>
      </c>
      <c r="AG1204">
        <v>0</v>
      </c>
      <c r="AH1204">
        <v>0</v>
      </c>
      <c r="AI1204">
        <v>0</v>
      </c>
      <c r="AJ1204" s="2" t="str">
        <f>IF(A1204 A1204 &lt;= 25, "18-25", IF(A1204 &lt;=35, "26-35", IF(A1204 &lt;=45, "36-45", IF(Table3[[#This Row],[Age]] &lt;=55, "46-55", "56+"))))</f>
        <v>36-45</v>
      </c>
      <c r="AK1204" t="str">
        <f t="shared" si="18"/>
        <v>Low</v>
      </c>
      <c r="AL1204" s="2" t="str">
        <f>IF(AF1204 &lt; 3, "0-2 Years", IF(AF1204 &lt;= 5, "3-5 Years", IF(AF1204 &lt;= 10, "6-10 Years",IF(Table3[[#This Row],[Years At Company]]&lt;=20, "11-20 Years","20+ Years"))))</f>
        <v>0-2 Years</v>
      </c>
    </row>
    <row r="1205" spans="1:38" x14ac:dyDescent="0.25">
      <c r="A1205" s="2">
        <v>53</v>
      </c>
      <c r="B1205" t="s">
        <v>43</v>
      </c>
      <c r="C1205" t="s">
        <v>36</v>
      </c>
      <c r="D1205" s="2">
        <v>1395</v>
      </c>
      <c r="E1205" t="s">
        <v>45</v>
      </c>
      <c r="F1205" s="2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 s="2">
        <v>7005</v>
      </c>
      <c r="T1205">
        <v>3458</v>
      </c>
      <c r="U1205">
        <v>3</v>
      </c>
      <c r="V1205" t="s">
        <v>42</v>
      </c>
      <c r="W1205" t="s">
        <v>43</v>
      </c>
      <c r="X1205" s="2">
        <v>15</v>
      </c>
      <c r="Y1205">
        <v>3</v>
      </c>
      <c r="Z1205">
        <v>3</v>
      </c>
      <c r="AA1205">
        <v>80</v>
      </c>
      <c r="AB1205">
        <v>0</v>
      </c>
      <c r="AC1205" s="2">
        <v>11</v>
      </c>
      <c r="AD1205">
        <v>2</v>
      </c>
      <c r="AE1205">
        <v>3</v>
      </c>
      <c r="AF1205" s="2">
        <v>4</v>
      </c>
      <c r="AG1205">
        <v>3</v>
      </c>
      <c r="AH1205">
        <v>1</v>
      </c>
      <c r="AI1205">
        <v>2</v>
      </c>
      <c r="AJ1205" s="2" t="str">
        <f>IF(A1205 A1205 &lt;= 25, "18-25", IF(A1205 &lt;=35, "26-35", IF(A1205 &lt;=45, "36-45", IF(Table3[[#This Row],[Age]] &lt;=55, "46-55", "56+"))))</f>
        <v>46-55</v>
      </c>
      <c r="AK1205" t="str">
        <f t="shared" si="18"/>
        <v>Medium</v>
      </c>
      <c r="AL1205" s="2" t="str">
        <f>IF(AF1205 &lt; 3, "0-2 Years", IF(AF1205 &lt;= 5, "3-5 Years", IF(AF1205 &lt;= 10, "6-10 Years",IF(Table3[[#This Row],[Years At Company]]&lt;=20, "11-20 Years","20+ Years"))))</f>
        <v>3-5 Years</v>
      </c>
    </row>
    <row r="1206" spans="1:38" x14ac:dyDescent="0.25">
      <c r="A1206" s="2">
        <v>48</v>
      </c>
      <c r="B1206" t="s">
        <v>35</v>
      </c>
      <c r="C1206" t="s">
        <v>44</v>
      </c>
      <c r="D1206" s="2">
        <v>708</v>
      </c>
      <c r="E1206" t="s">
        <v>37</v>
      </c>
      <c r="F1206" s="2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 s="2">
        <v>2655</v>
      </c>
      <c r="T1206">
        <v>11740</v>
      </c>
      <c r="U1206">
        <v>2</v>
      </c>
      <c r="V1206" t="s">
        <v>42</v>
      </c>
      <c r="W1206" t="s">
        <v>35</v>
      </c>
      <c r="X1206" s="2">
        <v>11</v>
      </c>
      <c r="Y1206">
        <v>3</v>
      </c>
      <c r="Z1206">
        <v>3</v>
      </c>
      <c r="AA1206">
        <v>80</v>
      </c>
      <c r="AB1206">
        <v>2</v>
      </c>
      <c r="AC1206" s="2">
        <v>19</v>
      </c>
      <c r="AD1206">
        <v>3</v>
      </c>
      <c r="AE1206">
        <v>3</v>
      </c>
      <c r="AF1206" s="2">
        <v>9</v>
      </c>
      <c r="AG1206">
        <v>7</v>
      </c>
      <c r="AH1206">
        <v>7</v>
      </c>
      <c r="AI1206">
        <v>7</v>
      </c>
      <c r="AJ1206" s="2" t="str">
        <f>IF(A1206 A1206 &lt;= 25, "18-25", IF(A1206 &lt;=35, "26-35", IF(A1206 &lt;=45, "36-45", IF(Table3[[#This Row],[Age]] &lt;=55, "46-55", "56+"))))</f>
        <v>46-55</v>
      </c>
      <c r="AK1206" t="str">
        <f t="shared" si="18"/>
        <v>Low</v>
      </c>
      <c r="AL1206" s="2" t="str">
        <f>IF(AF1206 &lt; 3, "0-2 Years", IF(AF1206 &lt;= 5, "3-5 Years", IF(AF1206 &lt;= 10, "6-10 Years",IF(Table3[[#This Row],[Years At Company]]&lt;=20, "11-20 Years","20+ Years"))))</f>
        <v>6-10 Years</v>
      </c>
    </row>
    <row r="1207" spans="1:38" x14ac:dyDescent="0.25">
      <c r="A1207" s="2">
        <v>32</v>
      </c>
      <c r="B1207" t="s">
        <v>35</v>
      </c>
      <c r="C1207" t="s">
        <v>36</v>
      </c>
      <c r="D1207" s="2">
        <v>1259</v>
      </c>
      <c r="E1207" t="s">
        <v>45</v>
      </c>
      <c r="F1207" s="2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 s="2">
        <v>1393</v>
      </c>
      <c r="T1207">
        <v>24852</v>
      </c>
      <c r="U1207">
        <v>1</v>
      </c>
      <c r="V1207" t="s">
        <v>42</v>
      </c>
      <c r="W1207" t="s">
        <v>43</v>
      </c>
      <c r="X1207" s="2">
        <v>12</v>
      </c>
      <c r="Y1207">
        <v>3</v>
      </c>
      <c r="Z1207">
        <v>1</v>
      </c>
      <c r="AA1207">
        <v>80</v>
      </c>
      <c r="AB1207">
        <v>0</v>
      </c>
      <c r="AC1207" s="2">
        <v>1</v>
      </c>
      <c r="AD1207">
        <v>2</v>
      </c>
      <c r="AE1207">
        <v>3</v>
      </c>
      <c r="AF1207" s="2">
        <v>1</v>
      </c>
      <c r="AG1207">
        <v>0</v>
      </c>
      <c r="AH1207">
        <v>0</v>
      </c>
      <c r="AI1207">
        <v>0</v>
      </c>
      <c r="AJ1207" s="2" t="str">
        <f>IF(A1207 A1207 &lt;= 25, "18-25", IF(A1207 &lt;=35, "26-35", IF(A1207 &lt;=45, "36-45", IF(Table3[[#This Row],[Age]] &lt;=55, "46-55", "56+"))))</f>
        <v>26-35</v>
      </c>
      <c r="AK1207" t="str">
        <f t="shared" si="18"/>
        <v>Low</v>
      </c>
      <c r="AL1207" s="2" t="str">
        <f>IF(AF1207 &lt; 3, "0-2 Years", IF(AF1207 &lt;= 5, "3-5 Years", IF(AF1207 &lt;= 10, "6-10 Years",IF(Table3[[#This Row],[Years At Company]]&lt;=20, "11-20 Years","20+ Years"))))</f>
        <v>0-2 Years</v>
      </c>
    </row>
    <row r="1208" spans="1:38" x14ac:dyDescent="0.25">
      <c r="A1208" s="2">
        <v>26</v>
      </c>
      <c r="B1208" t="s">
        <v>43</v>
      </c>
      <c r="C1208" t="s">
        <v>55</v>
      </c>
      <c r="D1208" s="2">
        <v>786</v>
      </c>
      <c r="E1208" t="s">
        <v>45</v>
      </c>
      <c r="F1208" s="2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 s="2">
        <v>2570</v>
      </c>
      <c r="T1208">
        <v>11925</v>
      </c>
      <c r="U1208">
        <v>1</v>
      </c>
      <c r="V1208" t="s">
        <v>42</v>
      </c>
      <c r="W1208" t="s">
        <v>43</v>
      </c>
      <c r="X1208" s="2">
        <v>20</v>
      </c>
      <c r="Y1208">
        <v>4</v>
      </c>
      <c r="Z1208">
        <v>3</v>
      </c>
      <c r="AA1208">
        <v>80</v>
      </c>
      <c r="AB1208">
        <v>0</v>
      </c>
      <c r="AC1208" s="2">
        <v>7</v>
      </c>
      <c r="AD1208">
        <v>5</v>
      </c>
      <c r="AE1208">
        <v>3</v>
      </c>
      <c r="AF1208" s="2">
        <v>7</v>
      </c>
      <c r="AG1208">
        <v>7</v>
      </c>
      <c r="AH1208">
        <v>5</v>
      </c>
      <c r="AI1208">
        <v>7</v>
      </c>
      <c r="AJ1208" s="2" t="str">
        <f>IF(A1208 A1208 &lt;= 25, "18-25", IF(A1208 &lt;=35, "26-35", IF(A1208 &lt;=45, "36-45", IF(Table3[[#This Row],[Age]] &lt;=55, "46-55", "56+"))))</f>
        <v>26-35</v>
      </c>
      <c r="AK1208" t="str">
        <f t="shared" si="18"/>
        <v>Low</v>
      </c>
      <c r="AL1208" s="2" t="str">
        <f>IF(AF1208 &lt; 3, "0-2 Years", IF(AF1208 &lt;= 5, "3-5 Years", IF(AF1208 &lt;= 10, "6-10 Years",IF(Table3[[#This Row],[Years At Company]]&lt;=20, "11-20 Years","20+ Years"))))</f>
        <v>6-10 Years</v>
      </c>
    </row>
    <row r="1209" spans="1:38" x14ac:dyDescent="0.25">
      <c r="A1209" s="2">
        <v>55</v>
      </c>
      <c r="B1209" t="s">
        <v>43</v>
      </c>
      <c r="C1209" t="s">
        <v>36</v>
      </c>
      <c r="D1209" s="2">
        <v>1441</v>
      </c>
      <c r="E1209" t="s">
        <v>45</v>
      </c>
      <c r="F1209" s="2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 s="2">
        <v>3537</v>
      </c>
      <c r="T1209">
        <v>23737</v>
      </c>
      <c r="U1209">
        <v>5</v>
      </c>
      <c r="V1209" t="s">
        <v>42</v>
      </c>
      <c r="W1209" t="s">
        <v>43</v>
      </c>
      <c r="X1209" s="2">
        <v>12</v>
      </c>
      <c r="Y1209">
        <v>3</v>
      </c>
      <c r="Z1209">
        <v>4</v>
      </c>
      <c r="AA1209">
        <v>80</v>
      </c>
      <c r="AB1209">
        <v>1</v>
      </c>
      <c r="AC1209" s="2">
        <v>8</v>
      </c>
      <c r="AD1209">
        <v>1</v>
      </c>
      <c r="AE1209">
        <v>3</v>
      </c>
      <c r="AF1209" s="2">
        <v>4</v>
      </c>
      <c r="AG1209">
        <v>2</v>
      </c>
      <c r="AH1209">
        <v>1</v>
      </c>
      <c r="AI1209">
        <v>2</v>
      </c>
      <c r="AJ1209" s="2" t="str">
        <f>IF(A1209 A1209 &lt;= 25, "18-25", IF(A1209 &lt;=35, "26-35", IF(A1209 &lt;=45, "36-45", IF(Table3[[#This Row],[Age]] &lt;=55, "46-55", "56+"))))</f>
        <v>46-55</v>
      </c>
      <c r="AK1209" t="str">
        <f t="shared" si="18"/>
        <v>Low</v>
      </c>
      <c r="AL1209" s="2" t="str">
        <f>IF(AF1209 &lt; 3, "0-2 Years", IF(AF1209 &lt;= 5, "3-5 Years", IF(AF1209 &lt;= 10, "6-10 Years",IF(Table3[[#This Row],[Years At Company]]&lt;=20, "11-20 Years","20+ Years"))))</f>
        <v>3-5 Years</v>
      </c>
    </row>
    <row r="1210" spans="1:38" x14ac:dyDescent="0.25">
      <c r="A1210" s="2">
        <v>34</v>
      </c>
      <c r="B1210" t="s">
        <v>43</v>
      </c>
      <c r="C1210" t="s">
        <v>36</v>
      </c>
      <c r="D1210" s="2">
        <v>1157</v>
      </c>
      <c r="E1210" t="s">
        <v>45</v>
      </c>
      <c r="F1210" s="2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 s="2">
        <v>3986</v>
      </c>
      <c r="T1210">
        <v>11912</v>
      </c>
      <c r="U1210">
        <v>1</v>
      </c>
      <c r="V1210" t="s">
        <v>42</v>
      </c>
      <c r="W1210" t="s">
        <v>43</v>
      </c>
      <c r="X1210" s="2">
        <v>14</v>
      </c>
      <c r="Y1210">
        <v>3</v>
      </c>
      <c r="Z1210">
        <v>3</v>
      </c>
      <c r="AA1210">
        <v>80</v>
      </c>
      <c r="AB1210">
        <v>1</v>
      </c>
      <c r="AC1210" s="2">
        <v>15</v>
      </c>
      <c r="AD1210">
        <v>3</v>
      </c>
      <c r="AE1210">
        <v>4</v>
      </c>
      <c r="AF1210" s="2">
        <v>15</v>
      </c>
      <c r="AG1210">
        <v>10</v>
      </c>
      <c r="AH1210">
        <v>4</v>
      </c>
      <c r="AI1210">
        <v>13</v>
      </c>
      <c r="AJ1210" s="2" t="str">
        <f>IF(A1210 A1210 &lt;= 25, "18-25", IF(A1210 &lt;=35, "26-35", IF(A1210 &lt;=45, "36-45", IF(Table3[[#This Row],[Age]] &lt;=55, "46-55", "56+"))))</f>
        <v>26-35</v>
      </c>
      <c r="AK1210" t="str">
        <f t="shared" si="18"/>
        <v>Low</v>
      </c>
      <c r="AL1210" s="2" t="str">
        <f>IF(AF1210 &lt; 3, "0-2 Years", IF(AF1210 &lt;= 5, "3-5 Years", IF(AF1210 &lt;= 10, "6-10 Years",IF(Table3[[#This Row],[Years At Company]]&lt;=20, "11-20 Years","20+ Years"))))</f>
        <v>11-20 Years</v>
      </c>
    </row>
    <row r="1211" spans="1:38" x14ac:dyDescent="0.25">
      <c r="A1211" s="2">
        <v>60</v>
      </c>
      <c r="B1211" t="s">
        <v>43</v>
      </c>
      <c r="C1211" t="s">
        <v>36</v>
      </c>
      <c r="D1211" s="2">
        <v>370</v>
      </c>
      <c r="E1211" t="s">
        <v>45</v>
      </c>
      <c r="F1211" s="2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 s="2">
        <v>10883</v>
      </c>
      <c r="T1211">
        <v>20467</v>
      </c>
      <c r="U1211">
        <v>3</v>
      </c>
      <c r="V1211" t="s">
        <v>42</v>
      </c>
      <c r="W1211" t="s">
        <v>43</v>
      </c>
      <c r="X1211" s="2">
        <v>20</v>
      </c>
      <c r="Y1211">
        <v>4</v>
      </c>
      <c r="Z1211">
        <v>3</v>
      </c>
      <c r="AA1211">
        <v>80</v>
      </c>
      <c r="AB1211">
        <v>1</v>
      </c>
      <c r="AC1211" s="2">
        <v>19</v>
      </c>
      <c r="AD1211">
        <v>2</v>
      </c>
      <c r="AE1211">
        <v>4</v>
      </c>
      <c r="AF1211" s="2">
        <v>1</v>
      </c>
      <c r="AG1211">
        <v>0</v>
      </c>
      <c r="AH1211">
        <v>0</v>
      </c>
      <c r="AI1211">
        <v>0</v>
      </c>
      <c r="AJ1211" s="2" t="str">
        <f>IF(A1211 A1211 &lt;= 25, "18-25", IF(A1211 &lt;=35, "26-35", IF(A1211 &lt;=45, "36-45", IF(Table3[[#This Row],[Age]] &lt;=55, "46-55", "56+"))))</f>
        <v>56+</v>
      </c>
      <c r="AK1211" t="str">
        <f t="shared" si="18"/>
        <v>High</v>
      </c>
      <c r="AL1211" s="2" t="str">
        <f>IF(AF1211 &lt; 3, "0-2 Years", IF(AF1211 &lt;= 5, "3-5 Years", IF(AF1211 &lt;= 10, "6-10 Years",IF(Table3[[#This Row],[Years At Company]]&lt;=20, "11-20 Years","20+ Years"))))</f>
        <v>0-2 Years</v>
      </c>
    </row>
    <row r="1212" spans="1:38" x14ac:dyDescent="0.25">
      <c r="A1212" s="2">
        <v>33</v>
      </c>
      <c r="B1212" t="s">
        <v>43</v>
      </c>
      <c r="C1212" t="s">
        <v>36</v>
      </c>
      <c r="D1212" s="2">
        <v>267</v>
      </c>
      <c r="E1212" t="s">
        <v>45</v>
      </c>
      <c r="F1212" s="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 s="2">
        <v>2028</v>
      </c>
      <c r="T1212">
        <v>13637</v>
      </c>
      <c r="U1212">
        <v>1</v>
      </c>
      <c r="V1212" t="s">
        <v>42</v>
      </c>
      <c r="W1212" t="s">
        <v>43</v>
      </c>
      <c r="X1212" s="2">
        <v>18</v>
      </c>
      <c r="Y1212">
        <v>3</v>
      </c>
      <c r="Z1212">
        <v>4</v>
      </c>
      <c r="AA1212">
        <v>80</v>
      </c>
      <c r="AB1212">
        <v>3</v>
      </c>
      <c r="AC1212" s="2">
        <v>14</v>
      </c>
      <c r="AD1212">
        <v>6</v>
      </c>
      <c r="AE1212">
        <v>3</v>
      </c>
      <c r="AF1212" s="2">
        <v>14</v>
      </c>
      <c r="AG1212">
        <v>11</v>
      </c>
      <c r="AH1212">
        <v>2</v>
      </c>
      <c r="AI1212">
        <v>13</v>
      </c>
      <c r="AJ1212" s="2" t="str">
        <f>IF(A1212 A1212 &lt;= 25, "18-25", IF(A1212 &lt;=35, "26-35", IF(A1212 &lt;=45, "36-45", IF(Table3[[#This Row],[Age]] &lt;=55, "46-55", "56+"))))</f>
        <v>26-35</v>
      </c>
      <c r="AK1212" t="str">
        <f t="shared" si="18"/>
        <v>Low</v>
      </c>
      <c r="AL1212" s="2" t="str">
        <f>IF(AF1212 &lt; 3, "0-2 Years", IF(AF1212 &lt;= 5, "3-5 Years", IF(AF1212 &lt;= 10, "6-10 Years",IF(Table3[[#This Row],[Years At Company]]&lt;=20, "11-20 Years","20+ Years"))))</f>
        <v>11-20 Years</v>
      </c>
    </row>
    <row r="1213" spans="1:38" x14ac:dyDescent="0.25">
      <c r="A1213" s="2">
        <v>37</v>
      </c>
      <c r="B1213" t="s">
        <v>43</v>
      </c>
      <c r="C1213" t="s">
        <v>44</v>
      </c>
      <c r="D1213" s="2">
        <v>1278</v>
      </c>
      <c r="E1213" t="s">
        <v>37</v>
      </c>
      <c r="F1213" s="2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 s="2">
        <v>9525</v>
      </c>
      <c r="T1213">
        <v>7677</v>
      </c>
      <c r="U1213">
        <v>1</v>
      </c>
      <c r="V1213" t="s">
        <v>42</v>
      </c>
      <c r="W1213" t="s">
        <v>43</v>
      </c>
      <c r="X1213" s="2">
        <v>14</v>
      </c>
      <c r="Y1213">
        <v>3</v>
      </c>
      <c r="Z1213">
        <v>3</v>
      </c>
      <c r="AA1213">
        <v>80</v>
      </c>
      <c r="AB1213">
        <v>2</v>
      </c>
      <c r="AC1213" s="2">
        <v>6</v>
      </c>
      <c r="AD1213">
        <v>2</v>
      </c>
      <c r="AE1213">
        <v>2</v>
      </c>
      <c r="AF1213" s="2">
        <v>6</v>
      </c>
      <c r="AG1213">
        <v>3</v>
      </c>
      <c r="AH1213">
        <v>1</v>
      </c>
      <c r="AI1213">
        <v>3</v>
      </c>
      <c r="AJ1213" s="2" t="str">
        <f>IF(A1213 A1213 &lt;= 25, "18-25", IF(A1213 &lt;=35, "26-35", IF(A1213 &lt;=45, "36-45", IF(Table3[[#This Row],[Age]] &lt;=55, "46-55", "56+"))))</f>
        <v>36-45</v>
      </c>
      <c r="AK1213" t="str">
        <f t="shared" si="18"/>
        <v>Medium</v>
      </c>
      <c r="AL1213" s="2" t="str">
        <f>IF(AF1213 &lt; 3, "0-2 Years", IF(AF1213 &lt;= 5, "3-5 Years", IF(AF1213 &lt;= 10, "6-10 Years",IF(Table3[[#This Row],[Years At Company]]&lt;=20, "11-20 Years","20+ Years"))))</f>
        <v>6-10 Years</v>
      </c>
    </row>
    <row r="1214" spans="1:38" x14ac:dyDescent="0.25">
      <c r="A1214" s="2">
        <v>34</v>
      </c>
      <c r="B1214" t="s">
        <v>43</v>
      </c>
      <c r="C1214" t="s">
        <v>36</v>
      </c>
      <c r="D1214" s="2">
        <v>678</v>
      </c>
      <c r="E1214" t="s">
        <v>45</v>
      </c>
      <c r="F1214" s="2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 s="2">
        <v>2929</v>
      </c>
      <c r="T1214">
        <v>20338</v>
      </c>
      <c r="U1214">
        <v>1</v>
      </c>
      <c r="V1214" t="s">
        <v>42</v>
      </c>
      <c r="W1214" t="s">
        <v>43</v>
      </c>
      <c r="X1214" s="2">
        <v>12</v>
      </c>
      <c r="Y1214">
        <v>3</v>
      </c>
      <c r="Z1214">
        <v>2</v>
      </c>
      <c r="AA1214">
        <v>80</v>
      </c>
      <c r="AB1214">
        <v>0</v>
      </c>
      <c r="AC1214" s="2">
        <v>10</v>
      </c>
      <c r="AD1214">
        <v>3</v>
      </c>
      <c r="AE1214">
        <v>3</v>
      </c>
      <c r="AF1214" s="2">
        <v>10</v>
      </c>
      <c r="AG1214">
        <v>9</v>
      </c>
      <c r="AH1214">
        <v>8</v>
      </c>
      <c r="AI1214">
        <v>7</v>
      </c>
      <c r="AJ1214" s="2" t="str">
        <f>IF(A1214 A1214 &lt;= 25, "18-25", IF(A1214 &lt;=35, "26-35", IF(A1214 &lt;=45, "36-45", IF(Table3[[#This Row],[Age]] &lt;=55, "46-55", "56+"))))</f>
        <v>26-35</v>
      </c>
      <c r="AK1214" t="str">
        <f t="shared" si="18"/>
        <v>Low</v>
      </c>
      <c r="AL1214" s="2" t="str">
        <f>IF(AF1214 &lt; 3, "0-2 Years", IF(AF1214 &lt;= 5, "3-5 Years", IF(AF1214 &lt;= 10, "6-10 Years",IF(Table3[[#This Row],[Years At Company]]&lt;=20, "11-20 Years","20+ Years"))))</f>
        <v>6-10 Years</v>
      </c>
    </row>
    <row r="1215" spans="1:38" x14ac:dyDescent="0.25">
      <c r="A1215" s="2">
        <v>23</v>
      </c>
      <c r="B1215" t="s">
        <v>35</v>
      </c>
      <c r="C1215" t="s">
        <v>36</v>
      </c>
      <c r="D1215" s="2">
        <v>427</v>
      </c>
      <c r="E1215" t="s">
        <v>37</v>
      </c>
      <c r="F1215" s="2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 s="2">
        <v>2275</v>
      </c>
      <c r="T1215">
        <v>25103</v>
      </c>
      <c r="U1215">
        <v>1</v>
      </c>
      <c r="V1215" t="s">
        <v>42</v>
      </c>
      <c r="W1215" t="s">
        <v>35</v>
      </c>
      <c r="X1215" s="2">
        <v>21</v>
      </c>
      <c r="Y1215">
        <v>4</v>
      </c>
      <c r="Z1215">
        <v>2</v>
      </c>
      <c r="AA1215">
        <v>80</v>
      </c>
      <c r="AB1215">
        <v>1</v>
      </c>
      <c r="AC1215" s="2">
        <v>3</v>
      </c>
      <c r="AD1215">
        <v>2</v>
      </c>
      <c r="AE1215">
        <v>3</v>
      </c>
      <c r="AF1215" s="2">
        <v>3</v>
      </c>
      <c r="AG1215">
        <v>2</v>
      </c>
      <c r="AH1215">
        <v>0</v>
      </c>
      <c r="AI1215">
        <v>2</v>
      </c>
      <c r="AJ1215" s="2" t="str">
        <f>IF(A1215 A1215 &lt;= 25, "18-25", IF(A1215 &lt;=35, "26-35", IF(A1215 &lt;=45, "36-45", IF(Table3[[#This Row],[Age]] &lt;=55, "46-55", "56+"))))</f>
        <v>18-25</v>
      </c>
      <c r="AK1215" t="str">
        <f t="shared" si="18"/>
        <v>Low</v>
      </c>
      <c r="AL1215" s="2" t="str">
        <f>IF(AF1215 &lt; 3, "0-2 Years", IF(AF1215 &lt;= 5, "3-5 Years", IF(AF1215 &lt;= 10, "6-10 Years",IF(Table3[[#This Row],[Years At Company]]&lt;=20, "11-20 Years","20+ Years"))))</f>
        <v>3-5 Years</v>
      </c>
    </row>
    <row r="1216" spans="1:38" x14ac:dyDescent="0.25">
      <c r="A1216" s="2">
        <v>44</v>
      </c>
      <c r="B1216" t="s">
        <v>43</v>
      </c>
      <c r="C1216" t="s">
        <v>36</v>
      </c>
      <c r="D1216" s="2">
        <v>921</v>
      </c>
      <c r="E1216" t="s">
        <v>45</v>
      </c>
      <c r="F1216" s="2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 s="2">
        <v>7879</v>
      </c>
      <c r="T1216">
        <v>14810</v>
      </c>
      <c r="U1216">
        <v>1</v>
      </c>
      <c r="V1216" t="s">
        <v>42</v>
      </c>
      <c r="W1216" t="s">
        <v>35</v>
      </c>
      <c r="X1216" s="2">
        <v>19</v>
      </c>
      <c r="Y1216">
        <v>3</v>
      </c>
      <c r="Z1216">
        <v>2</v>
      </c>
      <c r="AA1216">
        <v>80</v>
      </c>
      <c r="AB1216">
        <v>1</v>
      </c>
      <c r="AC1216" s="2">
        <v>9</v>
      </c>
      <c r="AD1216">
        <v>2</v>
      </c>
      <c r="AE1216">
        <v>3</v>
      </c>
      <c r="AF1216" s="2">
        <v>8</v>
      </c>
      <c r="AG1216">
        <v>7</v>
      </c>
      <c r="AH1216">
        <v>6</v>
      </c>
      <c r="AI1216">
        <v>7</v>
      </c>
      <c r="AJ1216" s="2" t="str">
        <f>IF(A1216 A1216 &lt;= 25, "18-25", IF(A1216 &lt;=35, "26-35", IF(A1216 &lt;=45, "36-45", IF(Table3[[#This Row],[Age]] &lt;=55, "46-55", "56+"))))</f>
        <v>36-45</v>
      </c>
      <c r="AK1216" t="str">
        <f t="shared" si="18"/>
        <v>Medium</v>
      </c>
      <c r="AL1216" s="2" t="str">
        <f>IF(AF1216 &lt; 3, "0-2 Years", IF(AF1216 &lt;= 5, "3-5 Years", IF(AF1216 &lt;= 10, "6-10 Years",IF(Table3[[#This Row],[Years At Company]]&lt;=20, "11-20 Years","20+ Years"))))</f>
        <v>6-10 Years</v>
      </c>
    </row>
    <row r="1217" spans="1:38" x14ac:dyDescent="0.25">
      <c r="A1217" s="2">
        <v>35</v>
      </c>
      <c r="B1217" t="s">
        <v>43</v>
      </c>
      <c r="C1217" t="s">
        <v>44</v>
      </c>
      <c r="D1217" s="2">
        <v>146</v>
      </c>
      <c r="E1217" t="s">
        <v>45</v>
      </c>
      <c r="F1217" s="2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 s="2">
        <v>4930</v>
      </c>
      <c r="T1217">
        <v>13970</v>
      </c>
      <c r="U1217">
        <v>0</v>
      </c>
      <c r="V1217" t="s">
        <v>42</v>
      </c>
      <c r="W1217" t="s">
        <v>35</v>
      </c>
      <c r="X1217" s="2">
        <v>14</v>
      </c>
      <c r="Y1217">
        <v>3</v>
      </c>
      <c r="Z1217">
        <v>3</v>
      </c>
      <c r="AA1217">
        <v>80</v>
      </c>
      <c r="AB1217">
        <v>0</v>
      </c>
      <c r="AC1217" s="2">
        <v>6</v>
      </c>
      <c r="AD1217">
        <v>2</v>
      </c>
      <c r="AE1217">
        <v>4</v>
      </c>
      <c r="AF1217" s="2">
        <v>5</v>
      </c>
      <c r="AG1217">
        <v>4</v>
      </c>
      <c r="AH1217">
        <v>1</v>
      </c>
      <c r="AI1217">
        <v>4</v>
      </c>
      <c r="AJ1217" s="2" t="str">
        <f>IF(A1217 A1217 &lt;= 25, "18-25", IF(A1217 &lt;=35, "26-35", IF(A1217 &lt;=45, "36-45", IF(Table3[[#This Row],[Age]] &lt;=55, "46-55", "56+"))))</f>
        <v>26-35</v>
      </c>
      <c r="AK1217" t="str">
        <f t="shared" si="18"/>
        <v>Low</v>
      </c>
      <c r="AL1217" s="2" t="str">
        <f>IF(AF1217 &lt; 3, "0-2 Years", IF(AF1217 &lt;= 5, "3-5 Years", IF(AF1217 &lt;= 10, "6-10 Years",IF(Table3[[#This Row],[Years At Company]]&lt;=20, "11-20 Years","20+ Years"))))</f>
        <v>3-5 Years</v>
      </c>
    </row>
    <row r="1218" spans="1:38" x14ac:dyDescent="0.25">
      <c r="A1218" s="2">
        <v>43</v>
      </c>
      <c r="B1218" t="s">
        <v>43</v>
      </c>
      <c r="C1218" t="s">
        <v>36</v>
      </c>
      <c r="D1218" s="2">
        <v>1179</v>
      </c>
      <c r="E1218" t="s">
        <v>37</v>
      </c>
      <c r="F1218" s="2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 s="2">
        <v>7847</v>
      </c>
      <c r="T1218">
        <v>6069</v>
      </c>
      <c r="U1218">
        <v>1</v>
      </c>
      <c r="V1218" t="s">
        <v>42</v>
      </c>
      <c r="W1218" t="s">
        <v>35</v>
      </c>
      <c r="X1218" s="2">
        <v>17</v>
      </c>
      <c r="Y1218">
        <v>3</v>
      </c>
      <c r="Z1218">
        <v>1</v>
      </c>
      <c r="AA1218">
        <v>80</v>
      </c>
      <c r="AB1218">
        <v>1</v>
      </c>
      <c r="AC1218" s="2">
        <v>10</v>
      </c>
      <c r="AD1218">
        <v>3</v>
      </c>
      <c r="AE1218">
        <v>3</v>
      </c>
      <c r="AF1218" s="2">
        <v>10</v>
      </c>
      <c r="AG1218">
        <v>9</v>
      </c>
      <c r="AH1218">
        <v>8</v>
      </c>
      <c r="AI1218">
        <v>8</v>
      </c>
      <c r="AJ1218" s="2" t="str">
        <f>IF(A1218 A1218 &lt;= 25, "18-25", IF(A1218 &lt;=35, "26-35", IF(A1218 &lt;=45, "36-45", IF(Table3[[#This Row],[Age]] &lt;=55, "46-55", "56+"))))</f>
        <v>36-45</v>
      </c>
      <c r="AK1218" t="str">
        <f t="shared" ref="AK1218:AK1281" si="19">IF(S1218 &lt; 5000, "Low",IF(S1218 &lt;=9999, "Medium", "High"))</f>
        <v>Medium</v>
      </c>
      <c r="AL1218" s="2" t="str">
        <f>IF(AF1218 &lt; 3, "0-2 Years", IF(AF1218 &lt;= 5, "3-5 Years", IF(AF1218 &lt;= 10, "6-10 Years",IF(Table3[[#This Row],[Years At Company]]&lt;=20, "11-20 Years","20+ Years"))))</f>
        <v>6-10 Years</v>
      </c>
    </row>
    <row r="1219" spans="1:38" x14ac:dyDescent="0.25">
      <c r="A1219" s="2">
        <v>24</v>
      </c>
      <c r="B1219" t="s">
        <v>43</v>
      </c>
      <c r="C1219" t="s">
        <v>36</v>
      </c>
      <c r="D1219" s="2">
        <v>581</v>
      </c>
      <c r="E1219" t="s">
        <v>45</v>
      </c>
      <c r="F1219" s="2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 s="2">
        <v>4401</v>
      </c>
      <c r="T1219">
        <v>17616</v>
      </c>
      <c r="U1219">
        <v>1</v>
      </c>
      <c r="V1219" t="s">
        <v>42</v>
      </c>
      <c r="W1219" t="s">
        <v>43</v>
      </c>
      <c r="X1219" s="2">
        <v>16</v>
      </c>
      <c r="Y1219">
        <v>3</v>
      </c>
      <c r="Z1219">
        <v>4</v>
      </c>
      <c r="AA1219">
        <v>80</v>
      </c>
      <c r="AB1219">
        <v>1</v>
      </c>
      <c r="AC1219" s="2">
        <v>5</v>
      </c>
      <c r="AD1219">
        <v>1</v>
      </c>
      <c r="AE1219">
        <v>3</v>
      </c>
      <c r="AF1219" s="2">
        <v>5</v>
      </c>
      <c r="AG1219">
        <v>3</v>
      </c>
      <c r="AH1219">
        <v>0</v>
      </c>
      <c r="AI1219">
        <v>4</v>
      </c>
      <c r="AJ1219" s="2" t="str">
        <f>IF(A1219 A1219 &lt;= 25, "18-25", IF(A1219 &lt;=35, "26-35", IF(A1219 &lt;=45, "36-45", IF(Table3[[#This Row],[Age]] &lt;=55, "46-55", "56+"))))</f>
        <v>18-25</v>
      </c>
      <c r="AK1219" t="str">
        <f t="shared" si="19"/>
        <v>Low</v>
      </c>
      <c r="AL1219" s="2" t="str">
        <f>IF(AF1219 &lt; 3, "0-2 Years", IF(AF1219 &lt;= 5, "3-5 Years", IF(AF1219 &lt;= 10, "6-10 Years",IF(Table3[[#This Row],[Years At Company]]&lt;=20, "11-20 Years","20+ Years"))))</f>
        <v>3-5 Years</v>
      </c>
    </row>
    <row r="1220" spans="1:38" x14ac:dyDescent="0.25">
      <c r="A1220" s="2">
        <v>41</v>
      </c>
      <c r="B1220" t="s">
        <v>43</v>
      </c>
      <c r="C1220" t="s">
        <v>36</v>
      </c>
      <c r="D1220" s="2">
        <v>918</v>
      </c>
      <c r="E1220" t="s">
        <v>37</v>
      </c>
      <c r="F1220" s="2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 s="2">
        <v>9241</v>
      </c>
      <c r="T1220">
        <v>15869</v>
      </c>
      <c r="U1220">
        <v>1</v>
      </c>
      <c r="V1220" t="s">
        <v>42</v>
      </c>
      <c r="W1220" t="s">
        <v>43</v>
      </c>
      <c r="X1220" s="2">
        <v>12</v>
      </c>
      <c r="Y1220">
        <v>3</v>
      </c>
      <c r="Z1220">
        <v>2</v>
      </c>
      <c r="AA1220">
        <v>80</v>
      </c>
      <c r="AB1220">
        <v>0</v>
      </c>
      <c r="AC1220" s="2">
        <v>10</v>
      </c>
      <c r="AD1220">
        <v>3</v>
      </c>
      <c r="AE1220">
        <v>3</v>
      </c>
      <c r="AF1220" s="2">
        <v>10</v>
      </c>
      <c r="AG1220">
        <v>8</v>
      </c>
      <c r="AH1220">
        <v>8</v>
      </c>
      <c r="AI1220">
        <v>7</v>
      </c>
      <c r="AJ1220" s="2" t="str">
        <f>IF(A1220 A1220 &lt;= 25, "18-25", IF(A1220 &lt;=35, "26-35", IF(A1220 &lt;=45, "36-45", IF(Table3[[#This Row],[Age]] &lt;=55, "46-55", "56+"))))</f>
        <v>36-45</v>
      </c>
      <c r="AK1220" t="str">
        <f t="shared" si="19"/>
        <v>Medium</v>
      </c>
      <c r="AL1220" s="2" t="str">
        <f>IF(AF1220 &lt; 3, "0-2 Years", IF(AF1220 &lt;= 5, "3-5 Years", IF(AF1220 &lt;= 10, "6-10 Years",IF(Table3[[#This Row],[Years At Company]]&lt;=20, "11-20 Years","20+ Years"))))</f>
        <v>6-10 Years</v>
      </c>
    </row>
    <row r="1221" spans="1:38" x14ac:dyDescent="0.25">
      <c r="A1221" s="2">
        <v>29</v>
      </c>
      <c r="B1221" t="s">
        <v>43</v>
      </c>
      <c r="C1221" t="s">
        <v>36</v>
      </c>
      <c r="D1221" s="2">
        <v>1082</v>
      </c>
      <c r="E1221" t="s">
        <v>45</v>
      </c>
      <c r="F1221" s="2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 s="2">
        <v>2974</v>
      </c>
      <c r="T1221">
        <v>25412</v>
      </c>
      <c r="U1221">
        <v>9</v>
      </c>
      <c r="V1221" t="s">
        <v>42</v>
      </c>
      <c r="W1221" t="s">
        <v>43</v>
      </c>
      <c r="X1221" s="2">
        <v>17</v>
      </c>
      <c r="Y1221">
        <v>3</v>
      </c>
      <c r="Z1221">
        <v>3</v>
      </c>
      <c r="AA1221">
        <v>80</v>
      </c>
      <c r="AB1221">
        <v>1</v>
      </c>
      <c r="AC1221" s="2">
        <v>9</v>
      </c>
      <c r="AD1221">
        <v>2</v>
      </c>
      <c r="AE1221">
        <v>3</v>
      </c>
      <c r="AF1221" s="2">
        <v>5</v>
      </c>
      <c r="AG1221">
        <v>3</v>
      </c>
      <c r="AH1221">
        <v>1</v>
      </c>
      <c r="AI1221">
        <v>2</v>
      </c>
      <c r="AJ1221" s="2" t="str">
        <f>IF(A1221 A1221 &lt;= 25, "18-25", IF(A1221 &lt;=35, "26-35", IF(A1221 &lt;=45, "36-45", IF(Table3[[#This Row],[Age]] &lt;=55, "46-55", "56+"))))</f>
        <v>26-35</v>
      </c>
      <c r="AK1221" t="str">
        <f t="shared" si="19"/>
        <v>Low</v>
      </c>
      <c r="AL1221" s="2" t="str">
        <f>IF(AF1221 &lt; 3, "0-2 Years", IF(AF1221 &lt;= 5, "3-5 Years", IF(AF1221 &lt;= 10, "6-10 Years",IF(Table3[[#This Row],[Years At Company]]&lt;=20, "11-20 Years","20+ Years"))))</f>
        <v>3-5 Years</v>
      </c>
    </row>
    <row r="1222" spans="1:38" x14ac:dyDescent="0.25">
      <c r="A1222" s="2">
        <v>36</v>
      </c>
      <c r="B1222" t="s">
        <v>43</v>
      </c>
      <c r="C1222" t="s">
        <v>36</v>
      </c>
      <c r="D1222" s="2">
        <v>530</v>
      </c>
      <c r="E1222" t="s">
        <v>37</v>
      </c>
      <c r="F1222" s="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 s="2">
        <v>4502</v>
      </c>
      <c r="T1222">
        <v>7439</v>
      </c>
      <c r="U1222">
        <v>3</v>
      </c>
      <c r="V1222" t="s">
        <v>42</v>
      </c>
      <c r="W1222" t="s">
        <v>43</v>
      </c>
      <c r="X1222" s="2">
        <v>15</v>
      </c>
      <c r="Y1222">
        <v>3</v>
      </c>
      <c r="Z1222">
        <v>3</v>
      </c>
      <c r="AA1222">
        <v>80</v>
      </c>
      <c r="AB1222">
        <v>0</v>
      </c>
      <c r="AC1222" s="2">
        <v>17</v>
      </c>
      <c r="AD1222">
        <v>2</v>
      </c>
      <c r="AE1222">
        <v>2</v>
      </c>
      <c r="AF1222" s="2">
        <v>13</v>
      </c>
      <c r="AG1222">
        <v>7</v>
      </c>
      <c r="AH1222">
        <v>6</v>
      </c>
      <c r="AI1222">
        <v>7</v>
      </c>
      <c r="AJ1222" s="2" t="str">
        <f>IF(A1222 A1222 &lt;= 25, "18-25", IF(A1222 &lt;=35, "26-35", IF(A1222 &lt;=45, "36-45", IF(Table3[[#This Row],[Age]] &lt;=55, "46-55", "56+"))))</f>
        <v>36-45</v>
      </c>
      <c r="AK1222" t="str">
        <f t="shared" si="19"/>
        <v>Low</v>
      </c>
      <c r="AL1222" s="2" t="str">
        <f>IF(AF1222 &lt; 3, "0-2 Years", IF(AF1222 &lt;= 5, "3-5 Years", IF(AF1222 &lt;= 10, "6-10 Years",IF(Table3[[#This Row],[Years At Company]]&lt;=20, "11-20 Years","20+ Years"))))</f>
        <v>11-20 Years</v>
      </c>
    </row>
    <row r="1223" spans="1:38" x14ac:dyDescent="0.25">
      <c r="A1223" s="2">
        <v>45</v>
      </c>
      <c r="B1223" t="s">
        <v>43</v>
      </c>
      <c r="C1223" t="s">
        <v>55</v>
      </c>
      <c r="D1223" s="2">
        <v>1238</v>
      </c>
      <c r="E1223" t="s">
        <v>45</v>
      </c>
      <c r="F1223" s="2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 s="2">
        <v>10748</v>
      </c>
      <c r="T1223">
        <v>3395</v>
      </c>
      <c r="U1223">
        <v>3</v>
      </c>
      <c r="V1223" t="s">
        <v>42</v>
      </c>
      <c r="W1223" t="s">
        <v>43</v>
      </c>
      <c r="X1223" s="2">
        <v>23</v>
      </c>
      <c r="Y1223">
        <v>4</v>
      </c>
      <c r="Z1223">
        <v>4</v>
      </c>
      <c r="AA1223">
        <v>80</v>
      </c>
      <c r="AB1223">
        <v>1</v>
      </c>
      <c r="AC1223" s="2">
        <v>25</v>
      </c>
      <c r="AD1223">
        <v>3</v>
      </c>
      <c r="AE1223">
        <v>2</v>
      </c>
      <c r="AF1223" s="2">
        <v>23</v>
      </c>
      <c r="AG1223">
        <v>15</v>
      </c>
      <c r="AH1223">
        <v>14</v>
      </c>
      <c r="AI1223">
        <v>4</v>
      </c>
      <c r="AJ1223" s="2" t="str">
        <f>IF(A1223 A1223 &lt;= 25, "18-25", IF(A1223 &lt;=35, "26-35", IF(A1223 &lt;=45, "36-45", IF(Table3[[#This Row],[Age]] &lt;=55, "46-55", "56+"))))</f>
        <v>36-45</v>
      </c>
      <c r="AK1223" t="str">
        <f t="shared" si="19"/>
        <v>High</v>
      </c>
      <c r="AL1223" s="2" t="str">
        <f>IF(AF1223 &lt; 3, "0-2 Years", IF(AF1223 &lt;= 5, "3-5 Years", IF(AF1223 &lt;= 10, "6-10 Years",IF(Table3[[#This Row],[Years At Company]]&lt;=20, "11-20 Years","20+ Years"))))</f>
        <v>20+ Years</v>
      </c>
    </row>
    <row r="1224" spans="1:38" x14ac:dyDescent="0.25">
      <c r="A1224" s="2">
        <v>24</v>
      </c>
      <c r="B1224" t="s">
        <v>35</v>
      </c>
      <c r="C1224" t="s">
        <v>36</v>
      </c>
      <c r="D1224" s="2">
        <v>240</v>
      </c>
      <c r="E1224" t="s">
        <v>61</v>
      </c>
      <c r="F1224" s="2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 s="2">
        <v>1555</v>
      </c>
      <c r="T1224">
        <v>11585</v>
      </c>
      <c r="U1224">
        <v>1</v>
      </c>
      <c r="V1224" t="s">
        <v>42</v>
      </c>
      <c r="W1224" t="s">
        <v>43</v>
      </c>
      <c r="X1224" s="2">
        <v>11</v>
      </c>
      <c r="Y1224">
        <v>3</v>
      </c>
      <c r="Z1224">
        <v>3</v>
      </c>
      <c r="AA1224">
        <v>80</v>
      </c>
      <c r="AB1224">
        <v>1</v>
      </c>
      <c r="AC1224" s="2">
        <v>1</v>
      </c>
      <c r="AD1224">
        <v>2</v>
      </c>
      <c r="AE1224">
        <v>3</v>
      </c>
      <c r="AF1224" s="2">
        <v>1</v>
      </c>
      <c r="AG1224">
        <v>0</v>
      </c>
      <c r="AH1224">
        <v>0</v>
      </c>
      <c r="AI1224">
        <v>0</v>
      </c>
      <c r="AJ1224" s="2" t="str">
        <f>IF(A1224 A1224 &lt;= 25, "18-25", IF(A1224 &lt;=35, "26-35", IF(A1224 &lt;=45, "36-45", IF(Table3[[#This Row],[Age]] &lt;=55, "46-55", "56+"))))</f>
        <v>18-25</v>
      </c>
      <c r="AK1224" t="str">
        <f t="shared" si="19"/>
        <v>Low</v>
      </c>
      <c r="AL1224" s="2" t="str">
        <f>IF(AF1224 &lt; 3, "0-2 Years", IF(AF1224 &lt;= 5, "3-5 Years", IF(AF1224 &lt;= 10, "6-10 Years",IF(Table3[[#This Row],[Years At Company]]&lt;=20, "11-20 Years","20+ Years"))))</f>
        <v>0-2 Years</v>
      </c>
    </row>
    <row r="1225" spans="1:38" x14ac:dyDescent="0.25">
      <c r="A1225" s="2">
        <v>47</v>
      </c>
      <c r="B1225" t="s">
        <v>35</v>
      </c>
      <c r="C1225" t="s">
        <v>44</v>
      </c>
      <c r="D1225" s="2">
        <v>1093</v>
      </c>
      <c r="E1225" t="s">
        <v>37</v>
      </c>
      <c r="F1225" s="2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 s="2">
        <v>12936</v>
      </c>
      <c r="T1225">
        <v>24164</v>
      </c>
      <c r="U1225">
        <v>7</v>
      </c>
      <c r="V1225" t="s">
        <v>42</v>
      </c>
      <c r="W1225" t="s">
        <v>43</v>
      </c>
      <c r="X1225" s="2">
        <v>11</v>
      </c>
      <c r="Y1225">
        <v>3</v>
      </c>
      <c r="Z1225">
        <v>3</v>
      </c>
      <c r="AA1225">
        <v>80</v>
      </c>
      <c r="AB1225">
        <v>0</v>
      </c>
      <c r="AC1225" s="2">
        <v>25</v>
      </c>
      <c r="AD1225">
        <v>3</v>
      </c>
      <c r="AE1225">
        <v>1</v>
      </c>
      <c r="AF1225" s="2">
        <v>23</v>
      </c>
      <c r="AG1225">
        <v>5</v>
      </c>
      <c r="AH1225">
        <v>14</v>
      </c>
      <c r="AI1225">
        <v>10</v>
      </c>
      <c r="AJ1225" s="2" t="str">
        <f>IF(A1225 A1225 &lt;= 25, "18-25", IF(A1225 &lt;=35, "26-35", IF(A1225 &lt;=45, "36-45", IF(Table3[[#This Row],[Age]] &lt;=55, "46-55", "56+"))))</f>
        <v>46-55</v>
      </c>
      <c r="AK1225" t="str">
        <f t="shared" si="19"/>
        <v>High</v>
      </c>
      <c r="AL1225" s="2" t="str">
        <f>IF(AF1225 &lt; 3, "0-2 Years", IF(AF1225 &lt;= 5, "3-5 Years", IF(AF1225 &lt;= 10, "6-10 Years",IF(Table3[[#This Row],[Years At Company]]&lt;=20, "11-20 Years","20+ Years"))))</f>
        <v>20+ Years</v>
      </c>
    </row>
    <row r="1226" spans="1:38" x14ac:dyDescent="0.25">
      <c r="A1226" s="2">
        <v>26</v>
      </c>
      <c r="B1226" t="s">
        <v>43</v>
      </c>
      <c r="C1226" t="s">
        <v>36</v>
      </c>
      <c r="D1226" s="2">
        <v>390</v>
      </c>
      <c r="E1226" t="s">
        <v>45</v>
      </c>
      <c r="F1226" s="2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 s="2">
        <v>2305</v>
      </c>
      <c r="T1226">
        <v>6217</v>
      </c>
      <c r="U1226">
        <v>1</v>
      </c>
      <c r="V1226" t="s">
        <v>42</v>
      </c>
      <c r="W1226" t="s">
        <v>43</v>
      </c>
      <c r="X1226" s="2">
        <v>15</v>
      </c>
      <c r="Y1226">
        <v>3</v>
      </c>
      <c r="Z1226">
        <v>3</v>
      </c>
      <c r="AA1226">
        <v>80</v>
      </c>
      <c r="AB1226">
        <v>3</v>
      </c>
      <c r="AC1226" s="2">
        <v>3</v>
      </c>
      <c r="AD1226">
        <v>3</v>
      </c>
      <c r="AE1226">
        <v>4</v>
      </c>
      <c r="AF1226" s="2">
        <v>3</v>
      </c>
      <c r="AG1226">
        <v>2</v>
      </c>
      <c r="AH1226">
        <v>0</v>
      </c>
      <c r="AI1226">
        <v>2</v>
      </c>
      <c r="AJ1226" s="2" t="str">
        <f>IF(A1226 A1226 &lt;= 25, "18-25", IF(A1226 &lt;=35, "26-35", IF(A1226 &lt;=45, "36-45", IF(Table3[[#This Row],[Age]] &lt;=55, "46-55", "56+"))))</f>
        <v>26-35</v>
      </c>
      <c r="AK1226" t="str">
        <f t="shared" si="19"/>
        <v>Low</v>
      </c>
      <c r="AL1226" s="2" t="str">
        <f>IF(AF1226 &lt; 3, "0-2 Years", IF(AF1226 &lt;= 5, "3-5 Years", IF(AF1226 &lt;= 10, "6-10 Years",IF(Table3[[#This Row],[Years At Company]]&lt;=20, "11-20 Years","20+ Years"))))</f>
        <v>3-5 Years</v>
      </c>
    </row>
    <row r="1227" spans="1:38" x14ac:dyDescent="0.25">
      <c r="A1227" s="2">
        <v>45</v>
      </c>
      <c r="B1227" t="s">
        <v>43</v>
      </c>
      <c r="C1227" t="s">
        <v>36</v>
      </c>
      <c r="D1227" s="2">
        <v>1005</v>
      </c>
      <c r="E1227" t="s">
        <v>45</v>
      </c>
      <c r="F1227" s="2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 s="2">
        <v>16704</v>
      </c>
      <c r="T1227">
        <v>17119</v>
      </c>
      <c r="U1227">
        <v>1</v>
      </c>
      <c r="V1227" t="s">
        <v>42</v>
      </c>
      <c r="W1227" t="s">
        <v>43</v>
      </c>
      <c r="X1227" s="2">
        <v>11</v>
      </c>
      <c r="Y1227">
        <v>3</v>
      </c>
      <c r="Z1227">
        <v>3</v>
      </c>
      <c r="AA1227">
        <v>80</v>
      </c>
      <c r="AB1227">
        <v>0</v>
      </c>
      <c r="AC1227" s="2">
        <v>21</v>
      </c>
      <c r="AD1227">
        <v>2</v>
      </c>
      <c r="AE1227">
        <v>3</v>
      </c>
      <c r="AF1227" s="2">
        <v>21</v>
      </c>
      <c r="AG1227">
        <v>6</v>
      </c>
      <c r="AH1227">
        <v>8</v>
      </c>
      <c r="AI1227">
        <v>6</v>
      </c>
      <c r="AJ1227" s="2" t="str">
        <f>IF(A1227 A1227 &lt;= 25, "18-25", IF(A1227 &lt;=35, "26-35", IF(A1227 &lt;=45, "36-45", IF(Table3[[#This Row],[Age]] &lt;=55, "46-55", "56+"))))</f>
        <v>36-45</v>
      </c>
      <c r="AK1227" t="str">
        <f t="shared" si="19"/>
        <v>High</v>
      </c>
      <c r="AL1227" s="2" t="str">
        <f>IF(AF1227 &lt; 3, "0-2 Years", IF(AF1227 &lt;= 5, "3-5 Years", IF(AF1227 &lt;= 10, "6-10 Years",IF(Table3[[#This Row],[Years At Company]]&lt;=20, "11-20 Years","20+ Years"))))</f>
        <v>20+ Years</v>
      </c>
    </row>
    <row r="1228" spans="1:38" x14ac:dyDescent="0.25">
      <c r="A1228" s="2">
        <v>32</v>
      </c>
      <c r="B1228" t="s">
        <v>43</v>
      </c>
      <c r="C1228" t="s">
        <v>44</v>
      </c>
      <c r="D1228" s="2">
        <v>585</v>
      </c>
      <c r="E1228" t="s">
        <v>45</v>
      </c>
      <c r="F1228" s="2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 s="2">
        <v>3433</v>
      </c>
      <c r="T1228">
        <v>17360</v>
      </c>
      <c r="U1228">
        <v>6</v>
      </c>
      <c r="V1228" t="s">
        <v>42</v>
      </c>
      <c r="W1228" t="s">
        <v>43</v>
      </c>
      <c r="X1228" s="2">
        <v>13</v>
      </c>
      <c r="Y1228">
        <v>3</v>
      </c>
      <c r="Z1228">
        <v>1</v>
      </c>
      <c r="AA1228">
        <v>80</v>
      </c>
      <c r="AB1228">
        <v>1</v>
      </c>
      <c r="AC1228" s="2">
        <v>10</v>
      </c>
      <c r="AD1228">
        <v>3</v>
      </c>
      <c r="AE1228">
        <v>2</v>
      </c>
      <c r="AF1228" s="2">
        <v>5</v>
      </c>
      <c r="AG1228">
        <v>2</v>
      </c>
      <c r="AH1228">
        <v>1</v>
      </c>
      <c r="AI1228">
        <v>3</v>
      </c>
      <c r="AJ1228" s="2" t="str">
        <f>IF(A1228 A1228 &lt;= 25, "18-25", IF(A1228 &lt;=35, "26-35", IF(A1228 &lt;=45, "36-45", IF(Table3[[#This Row],[Age]] &lt;=55, "46-55", "56+"))))</f>
        <v>26-35</v>
      </c>
      <c r="AK1228" t="str">
        <f t="shared" si="19"/>
        <v>Low</v>
      </c>
      <c r="AL1228" s="2" t="str">
        <f>IF(AF1228 &lt; 3, "0-2 Years", IF(AF1228 &lt;= 5, "3-5 Years", IF(AF1228 &lt;= 10, "6-10 Years",IF(Table3[[#This Row],[Years At Company]]&lt;=20, "11-20 Years","20+ Years"))))</f>
        <v>3-5 Years</v>
      </c>
    </row>
    <row r="1229" spans="1:38" x14ac:dyDescent="0.25">
      <c r="A1229" s="2">
        <v>31</v>
      </c>
      <c r="B1229" t="s">
        <v>43</v>
      </c>
      <c r="C1229" t="s">
        <v>36</v>
      </c>
      <c r="D1229" s="2">
        <v>741</v>
      </c>
      <c r="E1229" t="s">
        <v>45</v>
      </c>
      <c r="F1229" s="2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 s="2">
        <v>3477</v>
      </c>
      <c r="T1229">
        <v>18103</v>
      </c>
      <c r="U1229">
        <v>1</v>
      </c>
      <c r="V1229" t="s">
        <v>42</v>
      </c>
      <c r="W1229" t="s">
        <v>43</v>
      </c>
      <c r="X1229" s="2">
        <v>14</v>
      </c>
      <c r="Y1229">
        <v>3</v>
      </c>
      <c r="Z1229">
        <v>4</v>
      </c>
      <c r="AA1229">
        <v>80</v>
      </c>
      <c r="AB1229">
        <v>1</v>
      </c>
      <c r="AC1229" s="2">
        <v>6</v>
      </c>
      <c r="AD1229">
        <v>2</v>
      </c>
      <c r="AE1229">
        <v>4</v>
      </c>
      <c r="AF1229" s="2">
        <v>5</v>
      </c>
      <c r="AG1229">
        <v>2</v>
      </c>
      <c r="AH1229">
        <v>0</v>
      </c>
      <c r="AI1229">
        <v>3</v>
      </c>
      <c r="AJ1229" s="2" t="str">
        <f>IF(A1229 A1229 &lt;= 25, "18-25", IF(A1229 &lt;=35, "26-35", IF(A1229 &lt;=45, "36-45", IF(Table3[[#This Row],[Age]] &lt;=55, "46-55", "56+"))))</f>
        <v>26-35</v>
      </c>
      <c r="AK1229" t="str">
        <f t="shared" si="19"/>
        <v>Low</v>
      </c>
      <c r="AL1229" s="2" t="str">
        <f>IF(AF1229 &lt; 3, "0-2 Years", IF(AF1229 &lt;= 5, "3-5 Years", IF(AF1229 &lt;= 10, "6-10 Years",IF(Table3[[#This Row],[Years At Company]]&lt;=20, "11-20 Years","20+ Years"))))</f>
        <v>3-5 Years</v>
      </c>
    </row>
    <row r="1230" spans="1:38" x14ac:dyDescent="0.25">
      <c r="A1230" s="2">
        <v>41</v>
      </c>
      <c r="B1230" t="s">
        <v>43</v>
      </c>
      <c r="C1230" t="s">
        <v>55</v>
      </c>
      <c r="D1230" s="2">
        <v>552</v>
      </c>
      <c r="E1230" t="s">
        <v>61</v>
      </c>
      <c r="F1230" s="2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 s="2">
        <v>6430</v>
      </c>
      <c r="T1230">
        <v>20794</v>
      </c>
      <c r="U1230">
        <v>6</v>
      </c>
      <c r="V1230" t="s">
        <v>42</v>
      </c>
      <c r="W1230" t="s">
        <v>43</v>
      </c>
      <c r="X1230" s="2">
        <v>19</v>
      </c>
      <c r="Y1230">
        <v>3</v>
      </c>
      <c r="Z1230">
        <v>2</v>
      </c>
      <c r="AA1230">
        <v>80</v>
      </c>
      <c r="AB1230">
        <v>1</v>
      </c>
      <c r="AC1230" s="2">
        <v>10</v>
      </c>
      <c r="AD1230">
        <v>4</v>
      </c>
      <c r="AE1230">
        <v>3</v>
      </c>
      <c r="AF1230" s="2">
        <v>3</v>
      </c>
      <c r="AG1230">
        <v>2</v>
      </c>
      <c r="AH1230">
        <v>1</v>
      </c>
      <c r="AI1230">
        <v>2</v>
      </c>
      <c r="AJ1230" s="2" t="str">
        <f>IF(A1230 A1230 &lt;= 25, "18-25", IF(A1230 &lt;=35, "26-35", IF(A1230 &lt;=45, "36-45", IF(Table3[[#This Row],[Age]] &lt;=55, "46-55", "56+"))))</f>
        <v>36-45</v>
      </c>
      <c r="AK1230" t="str">
        <f t="shared" si="19"/>
        <v>Medium</v>
      </c>
      <c r="AL1230" s="2" t="str">
        <f>IF(AF1230 &lt; 3, "0-2 Years", IF(AF1230 &lt;= 5, "3-5 Years", IF(AF1230 &lt;= 10, "6-10 Years",IF(Table3[[#This Row],[Years At Company]]&lt;=20, "11-20 Years","20+ Years"))))</f>
        <v>3-5 Years</v>
      </c>
    </row>
    <row r="1231" spans="1:38" x14ac:dyDescent="0.25">
      <c r="A1231" s="2">
        <v>40</v>
      </c>
      <c r="B1231" t="s">
        <v>43</v>
      </c>
      <c r="C1231" t="s">
        <v>36</v>
      </c>
      <c r="D1231" s="2">
        <v>369</v>
      </c>
      <c r="E1231" t="s">
        <v>45</v>
      </c>
      <c r="F1231" s="2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 s="2">
        <v>6516</v>
      </c>
      <c r="T1231">
        <v>5041</v>
      </c>
      <c r="U1231">
        <v>2</v>
      </c>
      <c r="V1231" t="s">
        <v>42</v>
      </c>
      <c r="W1231" t="s">
        <v>35</v>
      </c>
      <c r="X1231" s="2">
        <v>16</v>
      </c>
      <c r="Y1231">
        <v>3</v>
      </c>
      <c r="Z1231">
        <v>2</v>
      </c>
      <c r="AA1231">
        <v>80</v>
      </c>
      <c r="AB1231">
        <v>1</v>
      </c>
      <c r="AC1231" s="2">
        <v>18</v>
      </c>
      <c r="AD1231">
        <v>3</v>
      </c>
      <c r="AE1231">
        <v>3</v>
      </c>
      <c r="AF1231" s="2">
        <v>1</v>
      </c>
      <c r="AG1231">
        <v>0</v>
      </c>
      <c r="AH1231">
        <v>0</v>
      </c>
      <c r="AI1231">
        <v>0</v>
      </c>
      <c r="AJ1231" s="2" t="str">
        <f>IF(A1231 A1231 &lt;= 25, "18-25", IF(A1231 &lt;=35, "26-35", IF(A1231 &lt;=45, "36-45", IF(Table3[[#This Row],[Age]] &lt;=55, "46-55", "56+"))))</f>
        <v>36-45</v>
      </c>
      <c r="AK1231" t="str">
        <f t="shared" si="19"/>
        <v>Medium</v>
      </c>
      <c r="AL1231" s="2" t="str">
        <f>IF(AF1231 &lt; 3, "0-2 Years", IF(AF1231 &lt;= 5, "3-5 Years", IF(AF1231 &lt;= 10, "6-10 Years",IF(Table3[[#This Row],[Years At Company]]&lt;=20, "11-20 Years","20+ Years"))))</f>
        <v>0-2 Years</v>
      </c>
    </row>
    <row r="1232" spans="1:38" x14ac:dyDescent="0.25">
      <c r="A1232" s="2">
        <v>24</v>
      </c>
      <c r="B1232" t="s">
        <v>43</v>
      </c>
      <c r="C1232" t="s">
        <v>36</v>
      </c>
      <c r="D1232" s="2">
        <v>506</v>
      </c>
      <c r="E1232" t="s">
        <v>45</v>
      </c>
      <c r="F1232" s="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 s="2">
        <v>3907</v>
      </c>
      <c r="T1232">
        <v>3622</v>
      </c>
      <c r="U1232">
        <v>1</v>
      </c>
      <c r="V1232" t="s">
        <v>42</v>
      </c>
      <c r="W1232" t="s">
        <v>43</v>
      </c>
      <c r="X1232" s="2">
        <v>13</v>
      </c>
      <c r="Y1232">
        <v>3</v>
      </c>
      <c r="Z1232">
        <v>2</v>
      </c>
      <c r="AA1232">
        <v>80</v>
      </c>
      <c r="AB1232">
        <v>3</v>
      </c>
      <c r="AC1232" s="2">
        <v>6</v>
      </c>
      <c r="AD1232">
        <v>2</v>
      </c>
      <c r="AE1232">
        <v>4</v>
      </c>
      <c r="AF1232" s="2">
        <v>6</v>
      </c>
      <c r="AG1232">
        <v>2</v>
      </c>
      <c r="AH1232">
        <v>1</v>
      </c>
      <c r="AI1232">
        <v>2</v>
      </c>
      <c r="AJ1232" s="2" t="str">
        <f>IF(A1232 A1232 &lt;= 25, "18-25", IF(A1232 &lt;=35, "26-35", IF(A1232 &lt;=45, "36-45", IF(Table3[[#This Row],[Age]] &lt;=55, "46-55", "56+"))))</f>
        <v>18-25</v>
      </c>
      <c r="AK1232" t="str">
        <f t="shared" si="19"/>
        <v>Low</v>
      </c>
      <c r="AL1232" s="2" t="str">
        <f>IF(AF1232 &lt; 3, "0-2 Years", IF(AF1232 &lt;= 5, "3-5 Years", IF(AF1232 &lt;= 10, "6-10 Years",IF(Table3[[#This Row],[Years At Company]]&lt;=20, "11-20 Years","20+ Years"))))</f>
        <v>6-10 Years</v>
      </c>
    </row>
    <row r="1233" spans="1:38" x14ac:dyDescent="0.25">
      <c r="A1233" s="2">
        <v>46</v>
      </c>
      <c r="B1233" t="s">
        <v>43</v>
      </c>
      <c r="C1233" t="s">
        <v>36</v>
      </c>
      <c r="D1233" s="2">
        <v>717</v>
      </c>
      <c r="E1233" t="s">
        <v>45</v>
      </c>
      <c r="F1233" s="2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 s="2">
        <v>5562</v>
      </c>
      <c r="T1233">
        <v>9697</v>
      </c>
      <c r="U1233">
        <v>6</v>
      </c>
      <c r="V1233" t="s">
        <v>42</v>
      </c>
      <c r="W1233" t="s">
        <v>43</v>
      </c>
      <c r="X1233" s="2">
        <v>14</v>
      </c>
      <c r="Y1233">
        <v>3</v>
      </c>
      <c r="Z1233">
        <v>4</v>
      </c>
      <c r="AA1233">
        <v>80</v>
      </c>
      <c r="AB1233">
        <v>0</v>
      </c>
      <c r="AC1233" s="2">
        <v>19</v>
      </c>
      <c r="AD1233">
        <v>3</v>
      </c>
      <c r="AE1233">
        <v>3</v>
      </c>
      <c r="AF1233" s="2">
        <v>10</v>
      </c>
      <c r="AG1233">
        <v>7</v>
      </c>
      <c r="AH1233">
        <v>0</v>
      </c>
      <c r="AI1233">
        <v>9</v>
      </c>
      <c r="AJ1233" s="2" t="str">
        <f>IF(A1233 A1233 &lt;= 25, "18-25", IF(A1233 &lt;=35, "26-35", IF(A1233 &lt;=45, "36-45", IF(Table3[[#This Row],[Age]] &lt;=55, "46-55", "56+"))))</f>
        <v>46-55</v>
      </c>
      <c r="AK1233" t="str">
        <f t="shared" si="19"/>
        <v>Medium</v>
      </c>
      <c r="AL1233" s="2" t="str">
        <f>IF(AF1233 &lt; 3, "0-2 Years", IF(AF1233 &lt;= 5, "3-5 Years", IF(AF1233 &lt;= 10, "6-10 Years",IF(Table3[[#This Row],[Years At Company]]&lt;=20, "11-20 Years","20+ Years"))))</f>
        <v>6-10 Years</v>
      </c>
    </row>
    <row r="1234" spans="1:38" x14ac:dyDescent="0.25">
      <c r="A1234" s="2">
        <v>35</v>
      </c>
      <c r="B1234" t="s">
        <v>43</v>
      </c>
      <c r="C1234" t="s">
        <v>36</v>
      </c>
      <c r="D1234" s="2">
        <v>1370</v>
      </c>
      <c r="E1234" t="s">
        <v>45</v>
      </c>
      <c r="F1234" s="2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 s="2">
        <v>6883</v>
      </c>
      <c r="T1234">
        <v>5151</v>
      </c>
      <c r="U1234">
        <v>2</v>
      </c>
      <c r="V1234" t="s">
        <v>42</v>
      </c>
      <c r="W1234" t="s">
        <v>43</v>
      </c>
      <c r="X1234" s="2">
        <v>16</v>
      </c>
      <c r="Y1234">
        <v>3</v>
      </c>
      <c r="Z1234">
        <v>2</v>
      </c>
      <c r="AA1234">
        <v>80</v>
      </c>
      <c r="AB1234">
        <v>1</v>
      </c>
      <c r="AC1234" s="2">
        <v>17</v>
      </c>
      <c r="AD1234">
        <v>3</v>
      </c>
      <c r="AE1234">
        <v>3</v>
      </c>
      <c r="AF1234" s="2">
        <v>7</v>
      </c>
      <c r="AG1234">
        <v>7</v>
      </c>
      <c r="AH1234">
        <v>0</v>
      </c>
      <c r="AI1234">
        <v>7</v>
      </c>
      <c r="AJ1234" s="2" t="str">
        <f>IF(A1234 A1234 &lt;= 25, "18-25", IF(A1234 &lt;=35, "26-35", IF(A1234 &lt;=45, "36-45", IF(Table3[[#This Row],[Age]] &lt;=55, "46-55", "56+"))))</f>
        <v>26-35</v>
      </c>
      <c r="AK1234" t="str">
        <f t="shared" si="19"/>
        <v>Medium</v>
      </c>
      <c r="AL1234" s="2" t="str">
        <f>IF(AF1234 &lt; 3, "0-2 Years", IF(AF1234 &lt;= 5, "3-5 Years", IF(AF1234 &lt;= 10, "6-10 Years",IF(Table3[[#This Row],[Years At Company]]&lt;=20, "11-20 Years","20+ Years"))))</f>
        <v>6-10 Years</v>
      </c>
    </row>
    <row r="1235" spans="1:38" x14ac:dyDescent="0.25">
      <c r="A1235" s="2">
        <v>30</v>
      </c>
      <c r="B1235" t="s">
        <v>43</v>
      </c>
      <c r="C1235" t="s">
        <v>36</v>
      </c>
      <c r="D1235" s="2">
        <v>793</v>
      </c>
      <c r="E1235" t="s">
        <v>45</v>
      </c>
      <c r="F1235" s="2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 s="2">
        <v>2862</v>
      </c>
      <c r="T1235">
        <v>3811</v>
      </c>
      <c r="U1235">
        <v>1</v>
      </c>
      <c r="V1235" t="s">
        <v>42</v>
      </c>
      <c r="W1235" t="s">
        <v>43</v>
      </c>
      <c r="X1235" s="2">
        <v>12</v>
      </c>
      <c r="Y1235">
        <v>3</v>
      </c>
      <c r="Z1235">
        <v>2</v>
      </c>
      <c r="AA1235">
        <v>80</v>
      </c>
      <c r="AB1235">
        <v>1</v>
      </c>
      <c r="AC1235" s="2">
        <v>10</v>
      </c>
      <c r="AD1235">
        <v>2</v>
      </c>
      <c r="AE1235">
        <v>2</v>
      </c>
      <c r="AF1235" s="2">
        <v>10</v>
      </c>
      <c r="AG1235">
        <v>0</v>
      </c>
      <c r="AH1235">
        <v>0</v>
      </c>
      <c r="AI1235">
        <v>8</v>
      </c>
      <c r="AJ1235" s="2" t="str">
        <f>IF(A1235 A1235 &lt;= 25, "18-25", IF(A1235 &lt;=35, "26-35", IF(A1235 &lt;=45, "36-45", IF(Table3[[#This Row],[Age]] &lt;=55, "46-55", "56+"))))</f>
        <v>26-35</v>
      </c>
      <c r="AK1235" t="str">
        <f t="shared" si="19"/>
        <v>Low</v>
      </c>
      <c r="AL1235" s="2" t="str">
        <f>IF(AF1235 &lt; 3, "0-2 Years", IF(AF1235 &lt;= 5, "3-5 Years", IF(AF1235 &lt;= 10, "6-10 Years",IF(Table3[[#This Row],[Years At Company]]&lt;=20, "11-20 Years","20+ Years"))))</f>
        <v>6-10 Years</v>
      </c>
    </row>
    <row r="1236" spans="1:38" x14ac:dyDescent="0.25">
      <c r="A1236" s="2">
        <v>47</v>
      </c>
      <c r="B1236" t="s">
        <v>43</v>
      </c>
      <c r="C1236" t="s">
        <v>55</v>
      </c>
      <c r="D1236" s="2">
        <v>543</v>
      </c>
      <c r="E1236" t="s">
        <v>37</v>
      </c>
      <c r="F1236" s="2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 s="2">
        <v>4978</v>
      </c>
      <c r="T1236">
        <v>3536</v>
      </c>
      <c r="U1236">
        <v>7</v>
      </c>
      <c r="V1236" t="s">
        <v>42</v>
      </c>
      <c r="W1236" t="s">
        <v>43</v>
      </c>
      <c r="X1236" s="2">
        <v>11</v>
      </c>
      <c r="Y1236">
        <v>3</v>
      </c>
      <c r="Z1236">
        <v>4</v>
      </c>
      <c r="AA1236">
        <v>80</v>
      </c>
      <c r="AB1236">
        <v>1</v>
      </c>
      <c r="AC1236" s="2">
        <v>4</v>
      </c>
      <c r="AD1236">
        <v>3</v>
      </c>
      <c r="AE1236">
        <v>1</v>
      </c>
      <c r="AF1236" s="2">
        <v>1</v>
      </c>
      <c r="AG1236">
        <v>0</v>
      </c>
      <c r="AH1236">
        <v>0</v>
      </c>
      <c r="AI1236">
        <v>0</v>
      </c>
      <c r="AJ1236" s="2" t="str">
        <f>IF(A1236 A1236 &lt;= 25, "18-25", IF(A1236 &lt;=35, "26-35", IF(A1236 &lt;=45, "36-45", IF(Table3[[#This Row],[Age]] &lt;=55, "46-55", "56+"))))</f>
        <v>46-55</v>
      </c>
      <c r="AK1236" t="str">
        <f t="shared" si="19"/>
        <v>Low</v>
      </c>
      <c r="AL1236" s="2" t="str">
        <f>IF(AF1236 &lt; 3, "0-2 Years", IF(AF1236 &lt;= 5, "3-5 Years", IF(AF1236 &lt;= 10, "6-10 Years",IF(Table3[[#This Row],[Years At Company]]&lt;=20, "11-20 Years","20+ Years"))))</f>
        <v>0-2 Years</v>
      </c>
    </row>
    <row r="1237" spans="1:38" x14ac:dyDescent="0.25">
      <c r="A1237" s="2">
        <v>46</v>
      </c>
      <c r="B1237" t="s">
        <v>43</v>
      </c>
      <c r="C1237" t="s">
        <v>36</v>
      </c>
      <c r="D1237" s="2">
        <v>1277</v>
      </c>
      <c r="E1237" t="s">
        <v>37</v>
      </c>
      <c r="F1237" s="2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 s="2">
        <v>10368</v>
      </c>
      <c r="T1237">
        <v>5596</v>
      </c>
      <c r="U1237">
        <v>4</v>
      </c>
      <c r="V1237" t="s">
        <v>42</v>
      </c>
      <c r="W1237" t="s">
        <v>35</v>
      </c>
      <c r="X1237" s="2">
        <v>12</v>
      </c>
      <c r="Y1237">
        <v>3</v>
      </c>
      <c r="Z1237">
        <v>2</v>
      </c>
      <c r="AA1237">
        <v>80</v>
      </c>
      <c r="AB1237">
        <v>1</v>
      </c>
      <c r="AC1237" s="2">
        <v>13</v>
      </c>
      <c r="AD1237">
        <v>5</v>
      </c>
      <c r="AE1237">
        <v>2</v>
      </c>
      <c r="AF1237" s="2">
        <v>10</v>
      </c>
      <c r="AG1237">
        <v>6</v>
      </c>
      <c r="AH1237">
        <v>0</v>
      </c>
      <c r="AI1237">
        <v>3</v>
      </c>
      <c r="AJ1237" s="2" t="str">
        <f>IF(A1237 A1237 &lt;= 25, "18-25", IF(A1237 &lt;=35, "26-35", IF(A1237 &lt;=45, "36-45", IF(Table3[[#This Row],[Age]] &lt;=55, "46-55", "56+"))))</f>
        <v>46-55</v>
      </c>
      <c r="AK1237" t="str">
        <f t="shared" si="19"/>
        <v>High</v>
      </c>
      <c r="AL1237" s="2" t="str">
        <f>IF(AF1237 &lt; 3, "0-2 Years", IF(AF1237 &lt;= 5, "3-5 Years", IF(AF1237 &lt;= 10, "6-10 Years",IF(Table3[[#This Row],[Years At Company]]&lt;=20, "11-20 Years","20+ Years"))))</f>
        <v>6-10 Years</v>
      </c>
    </row>
    <row r="1238" spans="1:38" x14ac:dyDescent="0.25">
      <c r="A1238" s="2">
        <v>36</v>
      </c>
      <c r="B1238" t="s">
        <v>35</v>
      </c>
      <c r="C1238" t="s">
        <v>36</v>
      </c>
      <c r="D1238" s="2">
        <v>1456</v>
      </c>
      <c r="E1238" t="s">
        <v>37</v>
      </c>
      <c r="F1238" s="2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 s="2">
        <v>6134</v>
      </c>
      <c r="T1238">
        <v>8658</v>
      </c>
      <c r="U1238">
        <v>5</v>
      </c>
      <c r="V1238" t="s">
        <v>42</v>
      </c>
      <c r="W1238" t="s">
        <v>35</v>
      </c>
      <c r="X1238" s="2">
        <v>13</v>
      </c>
      <c r="Y1238">
        <v>3</v>
      </c>
      <c r="Z1238">
        <v>2</v>
      </c>
      <c r="AA1238">
        <v>80</v>
      </c>
      <c r="AB1238">
        <v>3</v>
      </c>
      <c r="AC1238" s="2">
        <v>16</v>
      </c>
      <c r="AD1238">
        <v>3</v>
      </c>
      <c r="AE1238">
        <v>3</v>
      </c>
      <c r="AF1238" s="2">
        <v>2</v>
      </c>
      <c r="AG1238">
        <v>2</v>
      </c>
      <c r="AH1238">
        <v>2</v>
      </c>
      <c r="AI1238">
        <v>2</v>
      </c>
      <c r="AJ1238" s="2" t="str">
        <f>IF(A1238 A1238 &lt;= 25, "18-25", IF(A1238 &lt;=35, "26-35", IF(A1238 &lt;=45, "36-45", IF(Table3[[#This Row],[Age]] &lt;=55, "46-55", "56+"))))</f>
        <v>36-45</v>
      </c>
      <c r="AK1238" t="str">
        <f t="shared" si="19"/>
        <v>Medium</v>
      </c>
      <c r="AL1238" s="2" t="str">
        <f>IF(AF1238 &lt; 3, "0-2 Years", IF(AF1238 &lt;= 5, "3-5 Years", IF(AF1238 &lt;= 10, "6-10 Years",IF(Table3[[#This Row],[Years At Company]]&lt;=20, "11-20 Years","20+ Years"))))</f>
        <v>0-2 Years</v>
      </c>
    </row>
    <row r="1239" spans="1:38" x14ac:dyDescent="0.25">
      <c r="A1239" s="2">
        <v>32</v>
      </c>
      <c r="B1239" t="s">
        <v>35</v>
      </c>
      <c r="C1239" t="s">
        <v>36</v>
      </c>
      <c r="D1239" s="2">
        <v>964</v>
      </c>
      <c r="E1239" t="s">
        <v>37</v>
      </c>
      <c r="F1239" s="2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 s="2">
        <v>6735</v>
      </c>
      <c r="T1239">
        <v>12147</v>
      </c>
      <c r="U1239">
        <v>6</v>
      </c>
      <c r="V1239" t="s">
        <v>42</v>
      </c>
      <c r="W1239" t="s">
        <v>43</v>
      </c>
      <c r="X1239" s="2">
        <v>15</v>
      </c>
      <c r="Y1239">
        <v>3</v>
      </c>
      <c r="Z1239">
        <v>2</v>
      </c>
      <c r="AA1239">
        <v>80</v>
      </c>
      <c r="AB1239">
        <v>0</v>
      </c>
      <c r="AC1239" s="2">
        <v>10</v>
      </c>
      <c r="AD1239">
        <v>2</v>
      </c>
      <c r="AE1239">
        <v>3</v>
      </c>
      <c r="AF1239" s="2">
        <v>0</v>
      </c>
      <c r="AG1239">
        <v>0</v>
      </c>
      <c r="AH1239">
        <v>0</v>
      </c>
      <c r="AI1239">
        <v>0</v>
      </c>
      <c r="AJ1239" s="2" t="str">
        <f>IF(A1239 A1239 &lt;= 25, "18-25", IF(A1239 &lt;=35, "26-35", IF(A1239 &lt;=45, "36-45", IF(Table3[[#This Row],[Age]] &lt;=55, "46-55", "56+"))))</f>
        <v>26-35</v>
      </c>
      <c r="AK1239" t="str">
        <f t="shared" si="19"/>
        <v>Medium</v>
      </c>
      <c r="AL1239" s="2" t="str">
        <f>IF(AF1239 &lt; 3, "0-2 Years", IF(AF1239 &lt;= 5, "3-5 Years", IF(AF1239 &lt;= 10, "6-10 Years",IF(Table3[[#This Row],[Years At Company]]&lt;=20, "11-20 Years","20+ Years"))))</f>
        <v>0-2 Years</v>
      </c>
    </row>
    <row r="1240" spans="1:38" x14ac:dyDescent="0.25">
      <c r="A1240" s="2">
        <v>23</v>
      </c>
      <c r="B1240" t="s">
        <v>43</v>
      </c>
      <c r="C1240" t="s">
        <v>36</v>
      </c>
      <c r="D1240" s="2">
        <v>160</v>
      </c>
      <c r="E1240" t="s">
        <v>45</v>
      </c>
      <c r="F1240" s="2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 s="2">
        <v>3295</v>
      </c>
      <c r="T1240">
        <v>12862</v>
      </c>
      <c r="U1240">
        <v>1</v>
      </c>
      <c r="V1240" t="s">
        <v>42</v>
      </c>
      <c r="W1240" t="s">
        <v>43</v>
      </c>
      <c r="X1240" s="2">
        <v>13</v>
      </c>
      <c r="Y1240">
        <v>3</v>
      </c>
      <c r="Z1240">
        <v>3</v>
      </c>
      <c r="AA1240">
        <v>80</v>
      </c>
      <c r="AB1240">
        <v>0</v>
      </c>
      <c r="AC1240" s="2">
        <v>3</v>
      </c>
      <c r="AD1240">
        <v>3</v>
      </c>
      <c r="AE1240">
        <v>1</v>
      </c>
      <c r="AF1240" s="2">
        <v>3</v>
      </c>
      <c r="AG1240">
        <v>2</v>
      </c>
      <c r="AH1240">
        <v>1</v>
      </c>
      <c r="AI1240">
        <v>2</v>
      </c>
      <c r="AJ1240" s="2" t="str">
        <f>IF(A1240 A1240 &lt;= 25, "18-25", IF(A1240 &lt;=35, "26-35", IF(A1240 &lt;=45, "36-45", IF(Table3[[#This Row],[Age]] &lt;=55, "46-55", "56+"))))</f>
        <v>18-25</v>
      </c>
      <c r="AK1240" t="str">
        <f t="shared" si="19"/>
        <v>Low</v>
      </c>
      <c r="AL1240" s="2" t="str">
        <f>IF(AF1240 &lt; 3, "0-2 Years", IF(AF1240 &lt;= 5, "3-5 Years", IF(AF1240 &lt;= 10, "6-10 Years",IF(Table3[[#This Row],[Years At Company]]&lt;=20, "11-20 Years","20+ Years"))))</f>
        <v>3-5 Years</v>
      </c>
    </row>
    <row r="1241" spans="1:38" x14ac:dyDescent="0.25">
      <c r="A1241" s="2">
        <v>31</v>
      </c>
      <c r="B1241" t="s">
        <v>43</v>
      </c>
      <c r="C1241" t="s">
        <v>44</v>
      </c>
      <c r="D1241" s="2">
        <v>163</v>
      </c>
      <c r="E1241" t="s">
        <v>45</v>
      </c>
      <c r="F1241" s="2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 s="2">
        <v>5238</v>
      </c>
      <c r="T1241">
        <v>6670</v>
      </c>
      <c r="U1241">
        <v>2</v>
      </c>
      <c r="V1241" t="s">
        <v>42</v>
      </c>
      <c r="W1241" t="s">
        <v>43</v>
      </c>
      <c r="X1241" s="2">
        <v>20</v>
      </c>
      <c r="Y1241">
        <v>4</v>
      </c>
      <c r="Z1241">
        <v>4</v>
      </c>
      <c r="AA1241">
        <v>80</v>
      </c>
      <c r="AB1241">
        <v>0</v>
      </c>
      <c r="AC1241" s="2">
        <v>9</v>
      </c>
      <c r="AD1241">
        <v>3</v>
      </c>
      <c r="AE1241">
        <v>2</v>
      </c>
      <c r="AF1241" s="2">
        <v>5</v>
      </c>
      <c r="AG1241">
        <v>4</v>
      </c>
      <c r="AH1241">
        <v>1</v>
      </c>
      <c r="AI1241">
        <v>4</v>
      </c>
      <c r="AJ1241" s="2" t="str">
        <f>IF(A1241 A1241 &lt;= 25, "18-25", IF(A1241 &lt;=35, "26-35", IF(A1241 &lt;=45, "36-45", IF(Table3[[#This Row],[Age]] &lt;=55, "46-55", "56+"))))</f>
        <v>26-35</v>
      </c>
      <c r="AK1241" t="str">
        <f t="shared" si="19"/>
        <v>Medium</v>
      </c>
      <c r="AL1241" s="2" t="str">
        <f>IF(AF1241 &lt; 3, "0-2 Years", IF(AF1241 &lt;= 5, "3-5 Years", IF(AF1241 &lt;= 10, "6-10 Years",IF(Table3[[#This Row],[Years At Company]]&lt;=20, "11-20 Years","20+ Years"))))</f>
        <v>3-5 Years</v>
      </c>
    </row>
    <row r="1242" spans="1:38" x14ac:dyDescent="0.25">
      <c r="A1242" s="2">
        <v>39</v>
      </c>
      <c r="B1242" t="s">
        <v>43</v>
      </c>
      <c r="C1242" t="s">
        <v>55</v>
      </c>
      <c r="D1242" s="2">
        <v>792</v>
      </c>
      <c r="E1242" t="s">
        <v>45</v>
      </c>
      <c r="F1242" s="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 s="2">
        <v>6472</v>
      </c>
      <c r="T1242">
        <v>8989</v>
      </c>
      <c r="U1242">
        <v>1</v>
      </c>
      <c r="V1242" t="s">
        <v>42</v>
      </c>
      <c r="W1242" t="s">
        <v>35</v>
      </c>
      <c r="X1242" s="2">
        <v>15</v>
      </c>
      <c r="Y1242">
        <v>3</v>
      </c>
      <c r="Z1242">
        <v>4</v>
      </c>
      <c r="AA1242">
        <v>80</v>
      </c>
      <c r="AB1242">
        <v>1</v>
      </c>
      <c r="AC1242" s="2">
        <v>9</v>
      </c>
      <c r="AD1242">
        <v>2</v>
      </c>
      <c r="AE1242">
        <v>3</v>
      </c>
      <c r="AF1242" s="2">
        <v>9</v>
      </c>
      <c r="AG1242">
        <v>8</v>
      </c>
      <c r="AH1242">
        <v>5</v>
      </c>
      <c r="AI1242">
        <v>8</v>
      </c>
      <c r="AJ1242" s="2" t="str">
        <f>IF(A1242 A1242 &lt;= 25, "18-25", IF(A1242 &lt;=35, "26-35", IF(A1242 &lt;=45, "36-45", IF(Table3[[#This Row],[Age]] &lt;=55, "46-55", "56+"))))</f>
        <v>36-45</v>
      </c>
      <c r="AK1242" t="str">
        <f t="shared" si="19"/>
        <v>Medium</v>
      </c>
      <c r="AL1242" s="2" t="str">
        <f>IF(AF1242 &lt; 3, "0-2 Years", IF(AF1242 &lt;= 5, "3-5 Years", IF(AF1242 &lt;= 10, "6-10 Years",IF(Table3[[#This Row],[Years At Company]]&lt;=20, "11-20 Years","20+ Years"))))</f>
        <v>6-10 Years</v>
      </c>
    </row>
    <row r="1243" spans="1:38" x14ac:dyDescent="0.25">
      <c r="A1243" s="2">
        <v>32</v>
      </c>
      <c r="B1243" t="s">
        <v>43</v>
      </c>
      <c r="C1243" t="s">
        <v>36</v>
      </c>
      <c r="D1243" s="2">
        <v>371</v>
      </c>
      <c r="E1243" t="s">
        <v>37</v>
      </c>
      <c r="F1243" s="2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 s="2">
        <v>9610</v>
      </c>
      <c r="T1243">
        <v>3840</v>
      </c>
      <c r="U1243">
        <v>3</v>
      </c>
      <c r="V1243" t="s">
        <v>42</v>
      </c>
      <c r="W1243" t="s">
        <v>43</v>
      </c>
      <c r="X1243" s="2">
        <v>13</v>
      </c>
      <c r="Y1243">
        <v>3</v>
      </c>
      <c r="Z1243">
        <v>3</v>
      </c>
      <c r="AA1243">
        <v>80</v>
      </c>
      <c r="AB1243">
        <v>1</v>
      </c>
      <c r="AC1243" s="2">
        <v>10</v>
      </c>
      <c r="AD1243">
        <v>2</v>
      </c>
      <c r="AE1243">
        <v>1</v>
      </c>
      <c r="AF1243" s="2">
        <v>4</v>
      </c>
      <c r="AG1243">
        <v>3</v>
      </c>
      <c r="AH1243">
        <v>0</v>
      </c>
      <c r="AI1243">
        <v>2</v>
      </c>
      <c r="AJ1243" s="2" t="str">
        <f>IF(A1243 A1243 &lt;= 25, "18-25", IF(A1243 &lt;=35, "26-35", IF(A1243 &lt;=45, "36-45", IF(Table3[[#This Row],[Age]] &lt;=55, "46-55", "56+"))))</f>
        <v>26-35</v>
      </c>
      <c r="AK1243" t="str">
        <f t="shared" si="19"/>
        <v>Medium</v>
      </c>
      <c r="AL1243" s="2" t="str">
        <f>IF(AF1243 &lt; 3, "0-2 Years", IF(AF1243 &lt;= 5, "3-5 Years", IF(AF1243 &lt;= 10, "6-10 Years",IF(Table3[[#This Row],[Years At Company]]&lt;=20, "11-20 Years","20+ Years"))))</f>
        <v>3-5 Years</v>
      </c>
    </row>
    <row r="1244" spans="1:38" x14ac:dyDescent="0.25">
      <c r="A1244" s="2">
        <v>40</v>
      </c>
      <c r="B1244" t="s">
        <v>43</v>
      </c>
      <c r="C1244" t="s">
        <v>36</v>
      </c>
      <c r="D1244" s="2">
        <v>611</v>
      </c>
      <c r="E1244" t="s">
        <v>37</v>
      </c>
      <c r="F1244" s="2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 s="2">
        <v>19833</v>
      </c>
      <c r="T1244">
        <v>4349</v>
      </c>
      <c r="U1244">
        <v>1</v>
      </c>
      <c r="V1244" t="s">
        <v>42</v>
      </c>
      <c r="W1244" t="s">
        <v>43</v>
      </c>
      <c r="X1244" s="2">
        <v>14</v>
      </c>
      <c r="Y1244">
        <v>3</v>
      </c>
      <c r="Z1244">
        <v>2</v>
      </c>
      <c r="AA1244">
        <v>80</v>
      </c>
      <c r="AB1244">
        <v>0</v>
      </c>
      <c r="AC1244" s="2">
        <v>21</v>
      </c>
      <c r="AD1244">
        <v>3</v>
      </c>
      <c r="AE1244">
        <v>2</v>
      </c>
      <c r="AF1244" s="2">
        <v>21</v>
      </c>
      <c r="AG1244">
        <v>8</v>
      </c>
      <c r="AH1244">
        <v>12</v>
      </c>
      <c r="AI1244">
        <v>8</v>
      </c>
      <c r="AJ1244" s="2" t="str">
        <f>IF(A1244 A1244 &lt;= 25, "18-25", IF(A1244 &lt;=35, "26-35", IF(A1244 &lt;=45, "36-45", IF(Table3[[#This Row],[Age]] &lt;=55, "46-55", "56+"))))</f>
        <v>36-45</v>
      </c>
      <c r="AK1244" t="str">
        <f t="shared" si="19"/>
        <v>High</v>
      </c>
      <c r="AL1244" s="2" t="str">
        <f>IF(AF1244 &lt; 3, "0-2 Years", IF(AF1244 &lt;= 5, "3-5 Years", IF(AF1244 &lt;= 10, "6-10 Years",IF(Table3[[#This Row],[Years At Company]]&lt;=20, "11-20 Years","20+ Years"))))</f>
        <v>20+ Years</v>
      </c>
    </row>
    <row r="1245" spans="1:38" x14ac:dyDescent="0.25">
      <c r="A1245" s="2">
        <v>45</v>
      </c>
      <c r="B1245" t="s">
        <v>43</v>
      </c>
      <c r="C1245" t="s">
        <v>36</v>
      </c>
      <c r="D1245" s="2">
        <v>176</v>
      </c>
      <c r="E1245" t="s">
        <v>61</v>
      </c>
      <c r="F1245" s="2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 s="2">
        <v>9756</v>
      </c>
      <c r="T1245">
        <v>6595</v>
      </c>
      <c r="U1245">
        <v>4</v>
      </c>
      <c r="V1245" t="s">
        <v>42</v>
      </c>
      <c r="W1245" t="s">
        <v>43</v>
      </c>
      <c r="X1245" s="2">
        <v>21</v>
      </c>
      <c r="Y1245">
        <v>4</v>
      </c>
      <c r="Z1245">
        <v>3</v>
      </c>
      <c r="AA1245">
        <v>80</v>
      </c>
      <c r="AB1245">
        <v>2</v>
      </c>
      <c r="AC1245" s="2">
        <v>9</v>
      </c>
      <c r="AD1245">
        <v>2</v>
      </c>
      <c r="AE1245">
        <v>4</v>
      </c>
      <c r="AF1245" s="2">
        <v>5</v>
      </c>
      <c r="AG1245">
        <v>0</v>
      </c>
      <c r="AH1245">
        <v>0</v>
      </c>
      <c r="AI1245">
        <v>3</v>
      </c>
      <c r="AJ1245" s="2" t="str">
        <f>IF(A1245 A1245 &lt;= 25, "18-25", IF(A1245 &lt;=35, "26-35", IF(A1245 &lt;=45, "36-45", IF(Table3[[#This Row],[Age]] &lt;=55, "46-55", "56+"))))</f>
        <v>36-45</v>
      </c>
      <c r="AK1245" t="str">
        <f t="shared" si="19"/>
        <v>Medium</v>
      </c>
      <c r="AL1245" s="2" t="str">
        <f>IF(AF1245 &lt; 3, "0-2 Years", IF(AF1245 &lt;= 5, "3-5 Years", IF(AF1245 &lt;= 10, "6-10 Years",IF(Table3[[#This Row],[Years At Company]]&lt;=20, "11-20 Years","20+ Years"))))</f>
        <v>3-5 Years</v>
      </c>
    </row>
    <row r="1246" spans="1:38" x14ac:dyDescent="0.25">
      <c r="A1246" s="2">
        <v>30</v>
      </c>
      <c r="B1246" t="s">
        <v>43</v>
      </c>
      <c r="C1246" t="s">
        <v>44</v>
      </c>
      <c r="D1246" s="2">
        <v>1312</v>
      </c>
      <c r="E1246" t="s">
        <v>45</v>
      </c>
      <c r="F1246" s="2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 s="2">
        <v>4968</v>
      </c>
      <c r="T1246">
        <v>26427</v>
      </c>
      <c r="U1246">
        <v>0</v>
      </c>
      <c r="V1246" t="s">
        <v>42</v>
      </c>
      <c r="W1246" t="s">
        <v>43</v>
      </c>
      <c r="X1246" s="2">
        <v>16</v>
      </c>
      <c r="Y1246">
        <v>3</v>
      </c>
      <c r="Z1246">
        <v>4</v>
      </c>
      <c r="AA1246">
        <v>80</v>
      </c>
      <c r="AB1246">
        <v>0</v>
      </c>
      <c r="AC1246" s="2">
        <v>10</v>
      </c>
      <c r="AD1246">
        <v>2</v>
      </c>
      <c r="AE1246">
        <v>3</v>
      </c>
      <c r="AF1246" s="2">
        <v>9</v>
      </c>
      <c r="AG1246">
        <v>7</v>
      </c>
      <c r="AH1246">
        <v>0</v>
      </c>
      <c r="AI1246">
        <v>7</v>
      </c>
      <c r="AJ1246" s="2" t="str">
        <f>IF(A1246 A1246 &lt;= 25, "18-25", IF(A1246 &lt;=35, "26-35", IF(A1246 &lt;=45, "36-45", IF(Table3[[#This Row],[Age]] &lt;=55, "46-55", "56+"))))</f>
        <v>26-35</v>
      </c>
      <c r="AK1246" t="str">
        <f t="shared" si="19"/>
        <v>Low</v>
      </c>
      <c r="AL1246" s="2" t="str">
        <f>IF(AF1246 &lt; 3, "0-2 Years", IF(AF1246 &lt;= 5, "3-5 Years", IF(AF1246 &lt;= 10, "6-10 Years",IF(Table3[[#This Row],[Years At Company]]&lt;=20, "11-20 Years","20+ Years"))))</f>
        <v>6-10 Years</v>
      </c>
    </row>
    <row r="1247" spans="1:38" x14ac:dyDescent="0.25">
      <c r="A1247" s="2">
        <v>24</v>
      </c>
      <c r="B1247" t="s">
        <v>43</v>
      </c>
      <c r="C1247" t="s">
        <v>44</v>
      </c>
      <c r="D1247" s="2">
        <v>897</v>
      </c>
      <c r="E1247" t="s">
        <v>61</v>
      </c>
      <c r="F1247" s="2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 s="2">
        <v>2145</v>
      </c>
      <c r="T1247">
        <v>2097</v>
      </c>
      <c r="U1247">
        <v>0</v>
      </c>
      <c r="V1247" t="s">
        <v>42</v>
      </c>
      <c r="W1247" t="s">
        <v>43</v>
      </c>
      <c r="X1247" s="2">
        <v>14</v>
      </c>
      <c r="Y1247">
        <v>3</v>
      </c>
      <c r="Z1247">
        <v>4</v>
      </c>
      <c r="AA1247">
        <v>80</v>
      </c>
      <c r="AB1247">
        <v>1</v>
      </c>
      <c r="AC1247" s="2">
        <v>3</v>
      </c>
      <c r="AD1247">
        <v>2</v>
      </c>
      <c r="AE1247">
        <v>3</v>
      </c>
      <c r="AF1247" s="2">
        <v>2</v>
      </c>
      <c r="AG1247">
        <v>2</v>
      </c>
      <c r="AH1247">
        <v>2</v>
      </c>
      <c r="AI1247">
        <v>1</v>
      </c>
      <c r="AJ1247" s="2" t="str">
        <f>IF(A1247 A1247 &lt;= 25, "18-25", IF(A1247 &lt;=35, "26-35", IF(A1247 &lt;=45, "36-45", IF(Table3[[#This Row],[Age]] &lt;=55, "46-55", "56+"))))</f>
        <v>18-25</v>
      </c>
      <c r="AK1247" t="str">
        <f t="shared" si="19"/>
        <v>Low</v>
      </c>
      <c r="AL1247" s="2" t="str">
        <f>IF(AF1247 &lt; 3, "0-2 Years", IF(AF1247 &lt;= 5, "3-5 Years", IF(AF1247 &lt;= 10, "6-10 Years",IF(Table3[[#This Row],[Years At Company]]&lt;=20, "11-20 Years","20+ Years"))))</f>
        <v>0-2 Years</v>
      </c>
    </row>
    <row r="1248" spans="1:38" x14ac:dyDescent="0.25">
      <c r="A1248" s="2">
        <v>30</v>
      </c>
      <c r="B1248" t="s">
        <v>35</v>
      </c>
      <c r="C1248" t="s">
        <v>44</v>
      </c>
      <c r="D1248" s="2">
        <v>600</v>
      </c>
      <c r="E1248" t="s">
        <v>61</v>
      </c>
      <c r="F1248" s="2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 s="2">
        <v>2180</v>
      </c>
      <c r="T1248">
        <v>9732</v>
      </c>
      <c r="U1248">
        <v>6</v>
      </c>
      <c r="V1248" t="s">
        <v>42</v>
      </c>
      <c r="W1248" t="s">
        <v>43</v>
      </c>
      <c r="X1248" s="2">
        <v>11</v>
      </c>
      <c r="Y1248">
        <v>3</v>
      </c>
      <c r="Z1248">
        <v>3</v>
      </c>
      <c r="AA1248">
        <v>80</v>
      </c>
      <c r="AB1248">
        <v>1</v>
      </c>
      <c r="AC1248" s="2">
        <v>6</v>
      </c>
      <c r="AD1248">
        <v>0</v>
      </c>
      <c r="AE1248">
        <v>2</v>
      </c>
      <c r="AF1248" s="2">
        <v>4</v>
      </c>
      <c r="AG1248">
        <v>2</v>
      </c>
      <c r="AH1248">
        <v>1</v>
      </c>
      <c r="AI1248">
        <v>2</v>
      </c>
      <c r="AJ1248" s="2" t="str">
        <f>IF(A1248 A1248 &lt;= 25, "18-25", IF(A1248 &lt;=35, "26-35", IF(A1248 &lt;=45, "36-45", IF(Table3[[#This Row],[Age]] &lt;=55, "46-55", "56+"))))</f>
        <v>26-35</v>
      </c>
      <c r="AK1248" t="str">
        <f t="shared" si="19"/>
        <v>Low</v>
      </c>
      <c r="AL1248" s="2" t="str">
        <f>IF(AF1248 &lt; 3, "0-2 Years", IF(AF1248 &lt;= 5, "3-5 Years", IF(AF1248 &lt;= 10, "6-10 Years",IF(Table3[[#This Row],[Years At Company]]&lt;=20, "11-20 Years","20+ Years"))))</f>
        <v>3-5 Years</v>
      </c>
    </row>
    <row r="1249" spans="1:38" x14ac:dyDescent="0.25">
      <c r="A1249" s="2">
        <v>31</v>
      </c>
      <c r="B1249" t="s">
        <v>43</v>
      </c>
      <c r="C1249" t="s">
        <v>36</v>
      </c>
      <c r="D1249" s="2">
        <v>1003</v>
      </c>
      <c r="E1249" t="s">
        <v>37</v>
      </c>
      <c r="F1249" s="2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 s="2">
        <v>8346</v>
      </c>
      <c r="T1249">
        <v>20943</v>
      </c>
      <c r="U1249">
        <v>1</v>
      </c>
      <c r="V1249" t="s">
        <v>42</v>
      </c>
      <c r="W1249" t="s">
        <v>43</v>
      </c>
      <c r="X1249" s="2">
        <v>19</v>
      </c>
      <c r="Y1249">
        <v>3</v>
      </c>
      <c r="Z1249">
        <v>3</v>
      </c>
      <c r="AA1249">
        <v>80</v>
      </c>
      <c r="AB1249">
        <v>1</v>
      </c>
      <c r="AC1249" s="2">
        <v>6</v>
      </c>
      <c r="AD1249">
        <v>3</v>
      </c>
      <c r="AE1249">
        <v>3</v>
      </c>
      <c r="AF1249" s="2">
        <v>5</v>
      </c>
      <c r="AG1249">
        <v>2</v>
      </c>
      <c r="AH1249">
        <v>0</v>
      </c>
      <c r="AI1249">
        <v>2</v>
      </c>
      <c r="AJ1249" s="2" t="str">
        <f>IF(A1249 A1249 &lt;= 25, "18-25", IF(A1249 &lt;=35, "26-35", IF(A1249 &lt;=45, "36-45", IF(Table3[[#This Row],[Age]] &lt;=55, "46-55", "56+"))))</f>
        <v>26-35</v>
      </c>
      <c r="AK1249" t="str">
        <f t="shared" si="19"/>
        <v>Medium</v>
      </c>
      <c r="AL1249" s="2" t="str">
        <f>IF(AF1249 &lt; 3, "0-2 Years", IF(AF1249 &lt;= 5, "3-5 Years", IF(AF1249 &lt;= 10, "6-10 Years",IF(Table3[[#This Row],[Years At Company]]&lt;=20, "11-20 Years","20+ Years"))))</f>
        <v>3-5 Years</v>
      </c>
    </row>
    <row r="1250" spans="1:38" x14ac:dyDescent="0.25">
      <c r="A1250" s="2">
        <v>27</v>
      </c>
      <c r="B1250" t="s">
        <v>43</v>
      </c>
      <c r="C1250" t="s">
        <v>36</v>
      </c>
      <c r="D1250" s="2">
        <v>1054</v>
      </c>
      <c r="E1250" t="s">
        <v>45</v>
      </c>
      <c r="F1250" s="2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 s="2">
        <v>3445</v>
      </c>
      <c r="T1250">
        <v>6152</v>
      </c>
      <c r="U1250">
        <v>1</v>
      </c>
      <c r="V1250" t="s">
        <v>42</v>
      </c>
      <c r="W1250" t="s">
        <v>43</v>
      </c>
      <c r="X1250" s="2">
        <v>11</v>
      </c>
      <c r="Y1250">
        <v>3</v>
      </c>
      <c r="Z1250">
        <v>3</v>
      </c>
      <c r="AA1250">
        <v>80</v>
      </c>
      <c r="AB1250">
        <v>0</v>
      </c>
      <c r="AC1250" s="2">
        <v>6</v>
      </c>
      <c r="AD1250">
        <v>5</v>
      </c>
      <c r="AE1250">
        <v>2</v>
      </c>
      <c r="AF1250" s="2">
        <v>6</v>
      </c>
      <c r="AG1250">
        <v>2</v>
      </c>
      <c r="AH1250">
        <v>1</v>
      </c>
      <c r="AI1250">
        <v>4</v>
      </c>
      <c r="AJ1250" s="2" t="str">
        <f>IF(A1250 A1250 &lt;= 25, "18-25", IF(A1250 &lt;=35, "26-35", IF(A1250 &lt;=45, "36-45", IF(Table3[[#This Row],[Age]] &lt;=55, "46-55", "56+"))))</f>
        <v>26-35</v>
      </c>
      <c r="AK1250" t="str">
        <f t="shared" si="19"/>
        <v>Low</v>
      </c>
      <c r="AL1250" s="2" t="str">
        <f>IF(AF1250 &lt; 3, "0-2 Years", IF(AF1250 &lt;= 5, "3-5 Years", IF(AF1250 &lt;= 10, "6-10 Years",IF(Table3[[#This Row],[Years At Company]]&lt;=20, "11-20 Years","20+ Years"))))</f>
        <v>6-10 Years</v>
      </c>
    </row>
    <row r="1251" spans="1:38" x14ac:dyDescent="0.25">
      <c r="A1251" s="2">
        <v>29</v>
      </c>
      <c r="B1251" t="s">
        <v>35</v>
      </c>
      <c r="C1251" t="s">
        <v>36</v>
      </c>
      <c r="D1251" s="2">
        <v>428</v>
      </c>
      <c r="E1251" t="s">
        <v>37</v>
      </c>
      <c r="F1251" s="2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 s="2">
        <v>2760</v>
      </c>
      <c r="T1251">
        <v>14630</v>
      </c>
      <c r="U1251">
        <v>1</v>
      </c>
      <c r="V1251" t="s">
        <v>42</v>
      </c>
      <c r="W1251" t="s">
        <v>43</v>
      </c>
      <c r="X1251" s="2">
        <v>13</v>
      </c>
      <c r="Y1251">
        <v>3</v>
      </c>
      <c r="Z1251">
        <v>3</v>
      </c>
      <c r="AA1251">
        <v>80</v>
      </c>
      <c r="AB1251">
        <v>0</v>
      </c>
      <c r="AC1251" s="2">
        <v>2</v>
      </c>
      <c r="AD1251">
        <v>3</v>
      </c>
      <c r="AE1251">
        <v>3</v>
      </c>
      <c r="AF1251" s="2">
        <v>2</v>
      </c>
      <c r="AG1251">
        <v>2</v>
      </c>
      <c r="AH1251">
        <v>2</v>
      </c>
      <c r="AI1251">
        <v>2</v>
      </c>
      <c r="AJ1251" s="2" t="str">
        <f>IF(A1251 A1251 &lt;= 25, "18-25", IF(A1251 &lt;=35, "26-35", IF(A1251 &lt;=45, "36-45", IF(Table3[[#This Row],[Age]] &lt;=55, "46-55", "56+"))))</f>
        <v>26-35</v>
      </c>
      <c r="AK1251" t="str">
        <f t="shared" si="19"/>
        <v>Low</v>
      </c>
      <c r="AL1251" s="2" t="str">
        <f>IF(AF1251 &lt; 3, "0-2 Years", IF(AF1251 &lt;= 5, "3-5 Years", IF(AF1251 &lt;= 10, "6-10 Years",IF(Table3[[#This Row],[Years At Company]]&lt;=20, "11-20 Years","20+ Years"))))</f>
        <v>0-2 Years</v>
      </c>
    </row>
    <row r="1252" spans="1:38" x14ac:dyDescent="0.25">
      <c r="A1252" s="2">
        <v>29</v>
      </c>
      <c r="B1252" t="s">
        <v>43</v>
      </c>
      <c r="C1252" t="s">
        <v>44</v>
      </c>
      <c r="D1252" s="2">
        <v>461</v>
      </c>
      <c r="E1252" t="s">
        <v>45</v>
      </c>
      <c r="F1252" s="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 s="2">
        <v>6294</v>
      </c>
      <c r="T1252">
        <v>23060</v>
      </c>
      <c r="U1252">
        <v>8</v>
      </c>
      <c r="V1252" t="s">
        <v>42</v>
      </c>
      <c r="W1252" t="s">
        <v>35</v>
      </c>
      <c r="X1252" s="2">
        <v>12</v>
      </c>
      <c r="Y1252">
        <v>3</v>
      </c>
      <c r="Z1252">
        <v>4</v>
      </c>
      <c r="AA1252">
        <v>80</v>
      </c>
      <c r="AB1252">
        <v>0</v>
      </c>
      <c r="AC1252" s="2">
        <v>10</v>
      </c>
      <c r="AD1252">
        <v>5</v>
      </c>
      <c r="AE1252">
        <v>4</v>
      </c>
      <c r="AF1252" s="2">
        <v>3</v>
      </c>
      <c r="AG1252">
        <v>2</v>
      </c>
      <c r="AH1252">
        <v>0</v>
      </c>
      <c r="AI1252">
        <v>2</v>
      </c>
      <c r="AJ1252" s="2" t="str">
        <f>IF(A1252 A1252 &lt;= 25, "18-25", IF(A1252 &lt;=35, "26-35", IF(A1252 &lt;=45, "36-45", IF(Table3[[#This Row],[Age]] &lt;=55, "46-55", "56+"))))</f>
        <v>26-35</v>
      </c>
      <c r="AK1252" t="str">
        <f t="shared" si="19"/>
        <v>Medium</v>
      </c>
      <c r="AL1252" s="2" t="str">
        <f>IF(AF1252 &lt; 3, "0-2 Years", IF(AF1252 &lt;= 5, "3-5 Years", IF(AF1252 &lt;= 10, "6-10 Years",IF(Table3[[#This Row],[Years At Company]]&lt;=20, "11-20 Years","20+ Years"))))</f>
        <v>3-5 Years</v>
      </c>
    </row>
    <row r="1253" spans="1:38" x14ac:dyDescent="0.25">
      <c r="A1253" s="2">
        <v>30</v>
      </c>
      <c r="B1253" t="s">
        <v>43</v>
      </c>
      <c r="C1253" t="s">
        <v>36</v>
      </c>
      <c r="D1253" s="2">
        <v>979</v>
      </c>
      <c r="E1253" t="s">
        <v>37</v>
      </c>
      <c r="F1253" s="2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 s="2">
        <v>7140</v>
      </c>
      <c r="T1253">
        <v>3088</v>
      </c>
      <c r="U1253">
        <v>2</v>
      </c>
      <c r="V1253" t="s">
        <v>42</v>
      </c>
      <c r="W1253" t="s">
        <v>43</v>
      </c>
      <c r="X1253" s="2">
        <v>11</v>
      </c>
      <c r="Y1253">
        <v>3</v>
      </c>
      <c r="Z1253">
        <v>1</v>
      </c>
      <c r="AA1253">
        <v>80</v>
      </c>
      <c r="AB1253">
        <v>1</v>
      </c>
      <c r="AC1253" s="2">
        <v>12</v>
      </c>
      <c r="AD1253">
        <v>2</v>
      </c>
      <c r="AE1253">
        <v>3</v>
      </c>
      <c r="AF1253" s="2">
        <v>7</v>
      </c>
      <c r="AG1253">
        <v>7</v>
      </c>
      <c r="AH1253">
        <v>1</v>
      </c>
      <c r="AI1253">
        <v>7</v>
      </c>
      <c r="AJ1253" s="2" t="str">
        <f>IF(A1253 A1253 &lt;= 25, "18-25", IF(A1253 &lt;=35, "26-35", IF(A1253 &lt;=45, "36-45", IF(Table3[[#This Row],[Age]] &lt;=55, "46-55", "56+"))))</f>
        <v>26-35</v>
      </c>
      <c r="AK1253" t="str">
        <f t="shared" si="19"/>
        <v>Medium</v>
      </c>
      <c r="AL1253" s="2" t="str">
        <f>IF(AF1253 &lt; 3, "0-2 Years", IF(AF1253 &lt;= 5, "3-5 Years", IF(AF1253 &lt;= 10, "6-10 Years",IF(Table3[[#This Row],[Years At Company]]&lt;=20, "11-20 Years","20+ Years"))))</f>
        <v>6-10 Years</v>
      </c>
    </row>
    <row r="1254" spans="1:38" x14ac:dyDescent="0.25">
      <c r="A1254" s="2">
        <v>34</v>
      </c>
      <c r="B1254" t="s">
        <v>43</v>
      </c>
      <c r="C1254" t="s">
        <v>36</v>
      </c>
      <c r="D1254" s="2">
        <v>181</v>
      </c>
      <c r="E1254" t="s">
        <v>45</v>
      </c>
      <c r="F1254" s="2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 s="2">
        <v>2932</v>
      </c>
      <c r="T1254">
        <v>5586</v>
      </c>
      <c r="U1254">
        <v>0</v>
      </c>
      <c r="V1254" t="s">
        <v>42</v>
      </c>
      <c r="W1254" t="s">
        <v>35</v>
      </c>
      <c r="X1254" s="2">
        <v>14</v>
      </c>
      <c r="Y1254">
        <v>3</v>
      </c>
      <c r="Z1254">
        <v>1</v>
      </c>
      <c r="AA1254">
        <v>80</v>
      </c>
      <c r="AB1254">
        <v>3</v>
      </c>
      <c r="AC1254" s="2">
        <v>6</v>
      </c>
      <c r="AD1254">
        <v>3</v>
      </c>
      <c r="AE1254">
        <v>3</v>
      </c>
      <c r="AF1254" s="2">
        <v>5</v>
      </c>
      <c r="AG1254">
        <v>0</v>
      </c>
      <c r="AH1254">
        <v>1</v>
      </c>
      <c r="AI1254">
        <v>2</v>
      </c>
      <c r="AJ1254" s="2" t="str">
        <f>IF(A1254 A1254 &lt;= 25, "18-25", IF(A1254 &lt;=35, "26-35", IF(A1254 &lt;=45, "36-45", IF(Table3[[#This Row],[Age]] &lt;=55, "46-55", "56+"))))</f>
        <v>26-35</v>
      </c>
      <c r="AK1254" t="str">
        <f t="shared" si="19"/>
        <v>Low</v>
      </c>
      <c r="AL1254" s="2" t="str">
        <f>IF(AF1254 &lt; 3, "0-2 Years", IF(AF1254 &lt;= 5, "3-5 Years", IF(AF1254 &lt;= 10, "6-10 Years",IF(Table3[[#This Row],[Years At Company]]&lt;=20, "11-20 Years","20+ Years"))))</f>
        <v>3-5 Years</v>
      </c>
    </row>
    <row r="1255" spans="1:38" x14ac:dyDescent="0.25">
      <c r="A1255" s="2">
        <v>33</v>
      </c>
      <c r="B1255" t="s">
        <v>43</v>
      </c>
      <c r="C1255" t="s">
        <v>55</v>
      </c>
      <c r="D1255" s="2">
        <v>1283</v>
      </c>
      <c r="E1255" t="s">
        <v>37</v>
      </c>
      <c r="F1255" s="2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 s="2">
        <v>5147</v>
      </c>
      <c r="T1255">
        <v>10697</v>
      </c>
      <c r="U1255">
        <v>8</v>
      </c>
      <c r="V1255" t="s">
        <v>42</v>
      </c>
      <c r="W1255" t="s">
        <v>43</v>
      </c>
      <c r="X1255" s="2">
        <v>15</v>
      </c>
      <c r="Y1255">
        <v>3</v>
      </c>
      <c r="Z1255">
        <v>4</v>
      </c>
      <c r="AA1255">
        <v>80</v>
      </c>
      <c r="AB1255">
        <v>0</v>
      </c>
      <c r="AC1255" s="2">
        <v>13</v>
      </c>
      <c r="AD1255">
        <v>2</v>
      </c>
      <c r="AE1255">
        <v>2</v>
      </c>
      <c r="AF1255" s="2">
        <v>11</v>
      </c>
      <c r="AG1255">
        <v>7</v>
      </c>
      <c r="AH1255">
        <v>1</v>
      </c>
      <c r="AI1255">
        <v>7</v>
      </c>
      <c r="AJ1255" s="2" t="str">
        <f>IF(A1255 A1255 &lt;= 25, "18-25", IF(A1255 &lt;=35, "26-35", IF(A1255 &lt;=45, "36-45", IF(Table3[[#This Row],[Age]] &lt;=55, "46-55", "56+"))))</f>
        <v>26-35</v>
      </c>
      <c r="AK1255" t="str">
        <f t="shared" si="19"/>
        <v>Medium</v>
      </c>
      <c r="AL1255" s="2" t="str">
        <f>IF(AF1255 &lt; 3, "0-2 Years", IF(AF1255 &lt;= 5, "3-5 Years", IF(AF1255 &lt;= 10, "6-10 Years",IF(Table3[[#This Row],[Years At Company]]&lt;=20, "11-20 Years","20+ Years"))))</f>
        <v>11-20 Years</v>
      </c>
    </row>
    <row r="1256" spans="1:38" x14ac:dyDescent="0.25">
      <c r="A1256" s="2">
        <v>49</v>
      </c>
      <c r="B1256" t="s">
        <v>43</v>
      </c>
      <c r="C1256" t="s">
        <v>36</v>
      </c>
      <c r="D1256" s="2">
        <v>1313</v>
      </c>
      <c r="E1256" t="s">
        <v>37</v>
      </c>
      <c r="F1256" s="2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 s="2">
        <v>4507</v>
      </c>
      <c r="T1256">
        <v>8191</v>
      </c>
      <c r="U1256">
        <v>3</v>
      </c>
      <c r="V1256" t="s">
        <v>42</v>
      </c>
      <c r="W1256" t="s">
        <v>43</v>
      </c>
      <c r="X1256" s="2">
        <v>12</v>
      </c>
      <c r="Y1256">
        <v>3</v>
      </c>
      <c r="Z1256">
        <v>3</v>
      </c>
      <c r="AA1256">
        <v>80</v>
      </c>
      <c r="AB1256">
        <v>0</v>
      </c>
      <c r="AC1256" s="2">
        <v>8</v>
      </c>
      <c r="AD1256">
        <v>1</v>
      </c>
      <c r="AE1256">
        <v>4</v>
      </c>
      <c r="AF1256" s="2">
        <v>5</v>
      </c>
      <c r="AG1256">
        <v>1</v>
      </c>
      <c r="AH1256">
        <v>0</v>
      </c>
      <c r="AI1256">
        <v>4</v>
      </c>
      <c r="AJ1256" s="2" t="str">
        <f>IF(A1256 A1256 &lt;= 25, "18-25", IF(A1256 &lt;=35, "26-35", IF(A1256 &lt;=45, "36-45", IF(Table3[[#This Row],[Age]] &lt;=55, "46-55", "56+"))))</f>
        <v>46-55</v>
      </c>
      <c r="AK1256" t="str">
        <f t="shared" si="19"/>
        <v>Low</v>
      </c>
      <c r="AL1256" s="2" t="str">
        <f>IF(AF1256 &lt; 3, "0-2 Years", IF(AF1256 &lt;= 5, "3-5 Years", IF(AF1256 &lt;= 10, "6-10 Years",IF(Table3[[#This Row],[Years At Company]]&lt;=20, "11-20 Years","20+ Years"))))</f>
        <v>3-5 Years</v>
      </c>
    </row>
    <row r="1257" spans="1:38" x14ac:dyDescent="0.25">
      <c r="A1257" s="2">
        <v>33</v>
      </c>
      <c r="B1257" t="s">
        <v>35</v>
      </c>
      <c r="C1257" t="s">
        <v>36</v>
      </c>
      <c r="D1257" s="2">
        <v>211</v>
      </c>
      <c r="E1257" t="s">
        <v>37</v>
      </c>
      <c r="F1257" s="2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 s="2">
        <v>8564</v>
      </c>
      <c r="T1257">
        <v>10092</v>
      </c>
      <c r="U1257">
        <v>2</v>
      </c>
      <c r="V1257" t="s">
        <v>42</v>
      </c>
      <c r="W1257" t="s">
        <v>35</v>
      </c>
      <c r="X1257" s="2">
        <v>20</v>
      </c>
      <c r="Y1257">
        <v>4</v>
      </c>
      <c r="Z1257">
        <v>3</v>
      </c>
      <c r="AA1257">
        <v>80</v>
      </c>
      <c r="AB1257">
        <v>0</v>
      </c>
      <c r="AC1257" s="2">
        <v>11</v>
      </c>
      <c r="AD1257">
        <v>2</v>
      </c>
      <c r="AE1257">
        <v>2</v>
      </c>
      <c r="AF1257" s="2">
        <v>0</v>
      </c>
      <c r="AG1257">
        <v>0</v>
      </c>
      <c r="AH1257">
        <v>0</v>
      </c>
      <c r="AI1257">
        <v>0</v>
      </c>
      <c r="AJ1257" s="2" t="str">
        <f>IF(A1257 A1257 &lt;= 25, "18-25", IF(A1257 &lt;=35, "26-35", IF(A1257 &lt;=45, "36-45", IF(Table3[[#This Row],[Age]] &lt;=55, "46-55", "56+"))))</f>
        <v>26-35</v>
      </c>
      <c r="AK1257" t="str">
        <f t="shared" si="19"/>
        <v>Medium</v>
      </c>
      <c r="AL1257" s="2" t="str">
        <f>IF(AF1257 &lt; 3, "0-2 Years", IF(AF1257 &lt;= 5, "3-5 Years", IF(AF1257 &lt;= 10, "6-10 Years",IF(Table3[[#This Row],[Years At Company]]&lt;=20, "11-20 Years","20+ Years"))))</f>
        <v>0-2 Years</v>
      </c>
    </row>
    <row r="1258" spans="1:38" x14ac:dyDescent="0.25">
      <c r="A1258" s="2">
        <v>38</v>
      </c>
      <c r="B1258" t="s">
        <v>43</v>
      </c>
      <c r="C1258" t="s">
        <v>44</v>
      </c>
      <c r="D1258" s="2">
        <v>594</v>
      </c>
      <c r="E1258" t="s">
        <v>45</v>
      </c>
      <c r="F1258" s="2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 s="2">
        <v>2468</v>
      </c>
      <c r="T1258">
        <v>15963</v>
      </c>
      <c r="U1258">
        <v>4</v>
      </c>
      <c r="V1258" t="s">
        <v>42</v>
      </c>
      <c r="W1258" t="s">
        <v>43</v>
      </c>
      <c r="X1258" s="2">
        <v>14</v>
      </c>
      <c r="Y1258">
        <v>3</v>
      </c>
      <c r="Z1258">
        <v>2</v>
      </c>
      <c r="AA1258">
        <v>80</v>
      </c>
      <c r="AB1258">
        <v>1</v>
      </c>
      <c r="AC1258" s="2">
        <v>9</v>
      </c>
      <c r="AD1258">
        <v>4</v>
      </c>
      <c r="AE1258">
        <v>2</v>
      </c>
      <c r="AF1258" s="2">
        <v>6</v>
      </c>
      <c r="AG1258">
        <v>1</v>
      </c>
      <c r="AH1258">
        <v>0</v>
      </c>
      <c r="AI1258">
        <v>5</v>
      </c>
      <c r="AJ1258" s="2" t="str">
        <f>IF(A1258 A1258 &lt;= 25, "18-25", IF(A1258 &lt;=35, "26-35", IF(A1258 &lt;=45, "36-45", IF(Table3[[#This Row],[Age]] &lt;=55, "46-55", "56+"))))</f>
        <v>36-45</v>
      </c>
      <c r="AK1258" t="str">
        <f t="shared" si="19"/>
        <v>Low</v>
      </c>
      <c r="AL1258" s="2" t="str">
        <f>IF(AF1258 &lt; 3, "0-2 Years", IF(AF1258 &lt;= 5, "3-5 Years", IF(AF1258 &lt;= 10, "6-10 Years",IF(Table3[[#This Row],[Years At Company]]&lt;=20, "11-20 Years","20+ Years"))))</f>
        <v>6-10 Years</v>
      </c>
    </row>
    <row r="1259" spans="1:38" x14ac:dyDescent="0.25">
      <c r="A1259" s="2">
        <v>31</v>
      </c>
      <c r="B1259" t="s">
        <v>35</v>
      </c>
      <c r="C1259" t="s">
        <v>36</v>
      </c>
      <c r="D1259" s="2">
        <v>1079</v>
      </c>
      <c r="E1259" t="s">
        <v>37</v>
      </c>
      <c r="F1259" s="2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 s="2">
        <v>8161</v>
      </c>
      <c r="T1259">
        <v>19002</v>
      </c>
      <c r="U1259">
        <v>2</v>
      </c>
      <c r="V1259" t="s">
        <v>42</v>
      </c>
      <c r="W1259" t="s">
        <v>43</v>
      </c>
      <c r="X1259" s="2">
        <v>13</v>
      </c>
      <c r="Y1259">
        <v>3</v>
      </c>
      <c r="Z1259">
        <v>1</v>
      </c>
      <c r="AA1259">
        <v>80</v>
      </c>
      <c r="AB1259">
        <v>3</v>
      </c>
      <c r="AC1259" s="2">
        <v>10</v>
      </c>
      <c r="AD1259">
        <v>2</v>
      </c>
      <c r="AE1259">
        <v>3</v>
      </c>
      <c r="AF1259" s="2">
        <v>1</v>
      </c>
      <c r="AG1259">
        <v>0</v>
      </c>
      <c r="AH1259">
        <v>0</v>
      </c>
      <c r="AI1259">
        <v>0</v>
      </c>
      <c r="AJ1259" s="2" t="str">
        <f>IF(A1259 A1259 &lt;= 25, "18-25", IF(A1259 &lt;=35, "26-35", IF(A1259 &lt;=45, "36-45", IF(Table3[[#This Row],[Age]] &lt;=55, "46-55", "56+"))))</f>
        <v>26-35</v>
      </c>
      <c r="AK1259" t="str">
        <f t="shared" si="19"/>
        <v>Medium</v>
      </c>
      <c r="AL1259" s="2" t="str">
        <f>IF(AF1259 &lt; 3, "0-2 Years", IF(AF1259 &lt;= 5, "3-5 Years", IF(AF1259 &lt;= 10, "6-10 Years",IF(Table3[[#This Row],[Years At Company]]&lt;=20, "11-20 Years","20+ Years"))))</f>
        <v>0-2 Years</v>
      </c>
    </row>
    <row r="1260" spans="1:38" x14ac:dyDescent="0.25">
      <c r="A1260" s="2">
        <v>29</v>
      </c>
      <c r="B1260" t="s">
        <v>43</v>
      </c>
      <c r="C1260" t="s">
        <v>36</v>
      </c>
      <c r="D1260" s="2">
        <v>590</v>
      </c>
      <c r="E1260" t="s">
        <v>45</v>
      </c>
      <c r="F1260" s="2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 s="2">
        <v>2109</v>
      </c>
      <c r="T1260">
        <v>10007</v>
      </c>
      <c r="U1260">
        <v>1</v>
      </c>
      <c r="V1260" t="s">
        <v>42</v>
      </c>
      <c r="W1260" t="s">
        <v>43</v>
      </c>
      <c r="X1260" s="2">
        <v>13</v>
      </c>
      <c r="Y1260">
        <v>3</v>
      </c>
      <c r="Z1260">
        <v>3</v>
      </c>
      <c r="AA1260">
        <v>80</v>
      </c>
      <c r="AB1260">
        <v>1</v>
      </c>
      <c r="AC1260" s="2">
        <v>1</v>
      </c>
      <c r="AD1260">
        <v>2</v>
      </c>
      <c r="AE1260">
        <v>3</v>
      </c>
      <c r="AF1260" s="2">
        <v>1</v>
      </c>
      <c r="AG1260">
        <v>0</v>
      </c>
      <c r="AH1260">
        <v>0</v>
      </c>
      <c r="AI1260">
        <v>0</v>
      </c>
      <c r="AJ1260" s="2" t="str">
        <f>IF(A1260 A1260 &lt;= 25, "18-25", IF(A1260 &lt;=35, "26-35", IF(A1260 &lt;=45, "36-45", IF(Table3[[#This Row],[Age]] &lt;=55, "46-55", "56+"))))</f>
        <v>26-35</v>
      </c>
      <c r="AK1260" t="str">
        <f t="shared" si="19"/>
        <v>Low</v>
      </c>
      <c r="AL1260" s="2" t="str">
        <f>IF(AF1260 &lt; 3, "0-2 Years", IF(AF1260 &lt;= 5, "3-5 Years", IF(AF1260 &lt;= 10, "6-10 Years",IF(Table3[[#This Row],[Years At Company]]&lt;=20, "11-20 Years","20+ Years"))))</f>
        <v>0-2 Years</v>
      </c>
    </row>
    <row r="1261" spans="1:38" x14ac:dyDescent="0.25">
      <c r="A1261" s="2">
        <v>30</v>
      </c>
      <c r="B1261" t="s">
        <v>43</v>
      </c>
      <c r="C1261" t="s">
        <v>36</v>
      </c>
      <c r="D1261" s="2">
        <v>305</v>
      </c>
      <c r="E1261" t="s">
        <v>45</v>
      </c>
      <c r="F1261" s="2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 s="2">
        <v>5294</v>
      </c>
      <c r="T1261">
        <v>9128</v>
      </c>
      <c r="U1261">
        <v>3</v>
      </c>
      <c r="V1261" t="s">
        <v>42</v>
      </c>
      <c r="W1261" t="s">
        <v>43</v>
      </c>
      <c r="X1261" s="2">
        <v>16</v>
      </c>
      <c r="Y1261">
        <v>3</v>
      </c>
      <c r="Z1261">
        <v>3</v>
      </c>
      <c r="AA1261">
        <v>80</v>
      </c>
      <c r="AB1261">
        <v>1</v>
      </c>
      <c r="AC1261" s="2">
        <v>10</v>
      </c>
      <c r="AD1261">
        <v>3</v>
      </c>
      <c r="AE1261">
        <v>3</v>
      </c>
      <c r="AF1261" s="2">
        <v>7</v>
      </c>
      <c r="AG1261">
        <v>0</v>
      </c>
      <c r="AH1261">
        <v>1</v>
      </c>
      <c r="AI1261">
        <v>7</v>
      </c>
      <c r="AJ1261" s="2" t="str">
        <f>IF(A1261 A1261 &lt;= 25, "18-25", IF(A1261 &lt;=35, "26-35", IF(A1261 &lt;=45, "36-45", IF(Table3[[#This Row],[Age]] &lt;=55, "46-55", "56+"))))</f>
        <v>26-35</v>
      </c>
      <c r="AK1261" t="str">
        <f t="shared" si="19"/>
        <v>Medium</v>
      </c>
      <c r="AL1261" s="2" t="str">
        <f>IF(AF1261 &lt; 3, "0-2 Years", IF(AF1261 &lt;= 5, "3-5 Years", IF(AF1261 &lt;= 10, "6-10 Years",IF(Table3[[#This Row],[Years At Company]]&lt;=20, "11-20 Years","20+ Years"))))</f>
        <v>6-10 Years</v>
      </c>
    </row>
    <row r="1262" spans="1:38" x14ac:dyDescent="0.25">
      <c r="A1262" s="2">
        <v>32</v>
      </c>
      <c r="B1262" t="s">
        <v>43</v>
      </c>
      <c r="C1262" t="s">
        <v>55</v>
      </c>
      <c r="D1262" s="2">
        <v>953</v>
      </c>
      <c r="E1262" t="s">
        <v>45</v>
      </c>
      <c r="F1262" s="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 s="2">
        <v>2718</v>
      </c>
      <c r="T1262">
        <v>17674</v>
      </c>
      <c r="U1262">
        <v>2</v>
      </c>
      <c r="V1262" t="s">
        <v>42</v>
      </c>
      <c r="W1262" t="s">
        <v>43</v>
      </c>
      <c r="X1262" s="2">
        <v>14</v>
      </c>
      <c r="Y1262">
        <v>3</v>
      </c>
      <c r="Z1262">
        <v>2</v>
      </c>
      <c r="AA1262">
        <v>80</v>
      </c>
      <c r="AB1262">
        <v>0</v>
      </c>
      <c r="AC1262" s="2">
        <v>12</v>
      </c>
      <c r="AD1262">
        <v>3</v>
      </c>
      <c r="AE1262">
        <v>3</v>
      </c>
      <c r="AF1262" s="2">
        <v>7</v>
      </c>
      <c r="AG1262">
        <v>7</v>
      </c>
      <c r="AH1262">
        <v>0</v>
      </c>
      <c r="AI1262">
        <v>7</v>
      </c>
      <c r="AJ1262" s="2" t="str">
        <f>IF(A1262 A1262 &lt;= 25, "18-25", IF(A1262 &lt;=35, "26-35", IF(A1262 &lt;=45, "36-45", IF(Table3[[#This Row],[Age]] &lt;=55, "46-55", "56+"))))</f>
        <v>26-35</v>
      </c>
      <c r="AK1262" t="str">
        <f t="shared" si="19"/>
        <v>Low</v>
      </c>
      <c r="AL1262" s="2" t="str">
        <f>IF(AF1262 &lt; 3, "0-2 Years", IF(AF1262 &lt;= 5, "3-5 Years", IF(AF1262 &lt;= 10, "6-10 Years",IF(Table3[[#This Row],[Years At Company]]&lt;=20, "11-20 Years","20+ Years"))))</f>
        <v>6-10 Years</v>
      </c>
    </row>
    <row r="1263" spans="1:38" x14ac:dyDescent="0.25">
      <c r="A1263" s="2">
        <v>38</v>
      </c>
      <c r="B1263" t="s">
        <v>43</v>
      </c>
      <c r="C1263" t="s">
        <v>36</v>
      </c>
      <c r="D1263" s="2">
        <v>833</v>
      </c>
      <c r="E1263" t="s">
        <v>45</v>
      </c>
      <c r="F1263" s="2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 s="2">
        <v>5811</v>
      </c>
      <c r="T1263">
        <v>24539</v>
      </c>
      <c r="U1263">
        <v>3</v>
      </c>
      <c r="V1263" t="s">
        <v>42</v>
      </c>
      <c r="W1263" t="s">
        <v>35</v>
      </c>
      <c r="X1263" s="2">
        <v>16</v>
      </c>
      <c r="Y1263">
        <v>3</v>
      </c>
      <c r="Z1263">
        <v>3</v>
      </c>
      <c r="AA1263">
        <v>80</v>
      </c>
      <c r="AB1263">
        <v>1</v>
      </c>
      <c r="AC1263" s="2">
        <v>15</v>
      </c>
      <c r="AD1263">
        <v>2</v>
      </c>
      <c r="AE1263">
        <v>3</v>
      </c>
      <c r="AF1263" s="2">
        <v>1</v>
      </c>
      <c r="AG1263">
        <v>0</v>
      </c>
      <c r="AH1263">
        <v>1</v>
      </c>
      <c r="AI1263">
        <v>0</v>
      </c>
      <c r="AJ1263" s="2" t="str">
        <f>IF(A1263 A1263 &lt;= 25, "18-25", IF(A1263 &lt;=35, "26-35", IF(A1263 &lt;=45, "36-45", IF(Table3[[#This Row],[Age]] &lt;=55, "46-55", "56+"))))</f>
        <v>36-45</v>
      </c>
      <c r="AK1263" t="str">
        <f t="shared" si="19"/>
        <v>Medium</v>
      </c>
      <c r="AL1263" s="2" t="str">
        <f>IF(AF1263 &lt; 3, "0-2 Years", IF(AF1263 &lt;= 5, "3-5 Years", IF(AF1263 &lt;= 10, "6-10 Years",IF(Table3[[#This Row],[Years At Company]]&lt;=20, "11-20 Years","20+ Years"))))</f>
        <v>0-2 Years</v>
      </c>
    </row>
    <row r="1264" spans="1:38" x14ac:dyDescent="0.25">
      <c r="A1264" s="2">
        <v>43</v>
      </c>
      <c r="B1264" t="s">
        <v>35</v>
      </c>
      <c r="C1264" t="s">
        <v>44</v>
      </c>
      <c r="D1264" s="2">
        <v>807</v>
      </c>
      <c r="E1264" t="s">
        <v>45</v>
      </c>
      <c r="F1264" s="2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 s="2">
        <v>2437</v>
      </c>
      <c r="T1264">
        <v>15587</v>
      </c>
      <c r="U1264">
        <v>9</v>
      </c>
      <c r="V1264" t="s">
        <v>42</v>
      </c>
      <c r="W1264" t="s">
        <v>35</v>
      </c>
      <c r="X1264" s="2">
        <v>16</v>
      </c>
      <c r="Y1264">
        <v>3</v>
      </c>
      <c r="Z1264">
        <v>4</v>
      </c>
      <c r="AA1264">
        <v>80</v>
      </c>
      <c r="AB1264">
        <v>1</v>
      </c>
      <c r="AC1264" s="2">
        <v>6</v>
      </c>
      <c r="AD1264">
        <v>4</v>
      </c>
      <c r="AE1264">
        <v>3</v>
      </c>
      <c r="AF1264" s="2">
        <v>1</v>
      </c>
      <c r="AG1264">
        <v>0</v>
      </c>
      <c r="AH1264">
        <v>0</v>
      </c>
      <c r="AI1264">
        <v>0</v>
      </c>
      <c r="AJ1264" s="2" t="str">
        <f>IF(A1264 A1264 &lt;= 25, "18-25", IF(A1264 &lt;=35, "26-35", IF(A1264 &lt;=45, "36-45", IF(Table3[[#This Row],[Age]] &lt;=55, "46-55", "56+"))))</f>
        <v>36-45</v>
      </c>
      <c r="AK1264" t="str">
        <f t="shared" si="19"/>
        <v>Low</v>
      </c>
      <c r="AL1264" s="2" t="str">
        <f>IF(AF1264 &lt; 3, "0-2 Years", IF(AF1264 &lt;= 5, "3-5 Years", IF(AF1264 &lt;= 10, "6-10 Years",IF(Table3[[#This Row],[Years At Company]]&lt;=20, "11-20 Years","20+ Years"))))</f>
        <v>0-2 Years</v>
      </c>
    </row>
    <row r="1265" spans="1:38" x14ac:dyDescent="0.25">
      <c r="A1265" s="2">
        <v>42</v>
      </c>
      <c r="B1265" t="s">
        <v>43</v>
      </c>
      <c r="C1265" t="s">
        <v>36</v>
      </c>
      <c r="D1265" s="2">
        <v>855</v>
      </c>
      <c r="E1265" t="s">
        <v>45</v>
      </c>
      <c r="F1265" s="2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 s="2">
        <v>2766</v>
      </c>
      <c r="T1265">
        <v>8952</v>
      </c>
      <c r="U1265">
        <v>8</v>
      </c>
      <c r="V1265" t="s">
        <v>42</v>
      </c>
      <c r="W1265" t="s">
        <v>43</v>
      </c>
      <c r="X1265" s="2">
        <v>22</v>
      </c>
      <c r="Y1265">
        <v>4</v>
      </c>
      <c r="Z1265">
        <v>2</v>
      </c>
      <c r="AA1265">
        <v>80</v>
      </c>
      <c r="AB1265">
        <v>3</v>
      </c>
      <c r="AC1265" s="2">
        <v>7</v>
      </c>
      <c r="AD1265">
        <v>6</v>
      </c>
      <c r="AE1265">
        <v>2</v>
      </c>
      <c r="AF1265" s="2">
        <v>5</v>
      </c>
      <c r="AG1265">
        <v>3</v>
      </c>
      <c r="AH1265">
        <v>0</v>
      </c>
      <c r="AI1265">
        <v>4</v>
      </c>
      <c r="AJ1265" s="2" t="str">
        <f>IF(A1265 A1265 &lt;= 25, "18-25", IF(A1265 &lt;=35, "26-35", IF(A1265 &lt;=45, "36-45", IF(Table3[[#This Row],[Age]] &lt;=55, "46-55", "56+"))))</f>
        <v>36-45</v>
      </c>
      <c r="AK1265" t="str">
        <f t="shared" si="19"/>
        <v>Low</v>
      </c>
      <c r="AL1265" s="2" t="str">
        <f>IF(AF1265 &lt; 3, "0-2 Years", IF(AF1265 &lt;= 5, "3-5 Years", IF(AF1265 &lt;= 10, "6-10 Years",IF(Table3[[#This Row],[Years At Company]]&lt;=20, "11-20 Years","20+ Years"))))</f>
        <v>3-5 Years</v>
      </c>
    </row>
    <row r="1266" spans="1:38" x14ac:dyDescent="0.25">
      <c r="A1266" s="2">
        <v>55</v>
      </c>
      <c r="B1266" t="s">
        <v>43</v>
      </c>
      <c r="C1266" t="s">
        <v>36</v>
      </c>
      <c r="D1266" s="2">
        <v>478</v>
      </c>
      <c r="E1266" t="s">
        <v>45</v>
      </c>
      <c r="F1266" s="2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 s="2">
        <v>19038</v>
      </c>
      <c r="T1266">
        <v>19805</v>
      </c>
      <c r="U1266">
        <v>8</v>
      </c>
      <c r="V1266" t="s">
        <v>42</v>
      </c>
      <c r="W1266" t="s">
        <v>43</v>
      </c>
      <c r="X1266" s="2">
        <v>12</v>
      </c>
      <c r="Y1266">
        <v>3</v>
      </c>
      <c r="Z1266">
        <v>2</v>
      </c>
      <c r="AA1266">
        <v>80</v>
      </c>
      <c r="AB1266">
        <v>3</v>
      </c>
      <c r="AC1266" s="2">
        <v>34</v>
      </c>
      <c r="AD1266">
        <v>2</v>
      </c>
      <c r="AE1266">
        <v>3</v>
      </c>
      <c r="AF1266" s="2">
        <v>1</v>
      </c>
      <c r="AG1266">
        <v>0</v>
      </c>
      <c r="AH1266">
        <v>0</v>
      </c>
      <c r="AI1266">
        <v>0</v>
      </c>
      <c r="AJ1266" s="2" t="str">
        <f>IF(A1266 A1266 &lt;= 25, "18-25", IF(A1266 &lt;=35, "26-35", IF(A1266 &lt;=45, "36-45", IF(Table3[[#This Row],[Age]] &lt;=55, "46-55", "56+"))))</f>
        <v>46-55</v>
      </c>
      <c r="AK1266" t="str">
        <f t="shared" si="19"/>
        <v>High</v>
      </c>
      <c r="AL1266" s="2" t="str">
        <f>IF(AF1266 &lt; 3, "0-2 Years", IF(AF1266 &lt;= 5, "3-5 Years", IF(AF1266 &lt;= 10, "6-10 Years",IF(Table3[[#This Row],[Years At Company]]&lt;=20, "11-20 Years","20+ Years"))))</f>
        <v>0-2 Years</v>
      </c>
    </row>
    <row r="1267" spans="1:38" x14ac:dyDescent="0.25">
      <c r="A1267" s="2">
        <v>33</v>
      </c>
      <c r="B1267" t="s">
        <v>43</v>
      </c>
      <c r="C1267" t="s">
        <v>55</v>
      </c>
      <c r="D1267" s="2">
        <v>775</v>
      </c>
      <c r="E1267" t="s">
        <v>45</v>
      </c>
      <c r="F1267" s="2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 s="2">
        <v>3055</v>
      </c>
      <c r="T1267">
        <v>6194</v>
      </c>
      <c r="U1267">
        <v>5</v>
      </c>
      <c r="V1267" t="s">
        <v>42</v>
      </c>
      <c r="W1267" t="s">
        <v>43</v>
      </c>
      <c r="X1267" s="2">
        <v>15</v>
      </c>
      <c r="Y1267">
        <v>3</v>
      </c>
      <c r="Z1267">
        <v>4</v>
      </c>
      <c r="AA1267">
        <v>80</v>
      </c>
      <c r="AB1267">
        <v>2</v>
      </c>
      <c r="AC1267" s="2">
        <v>11</v>
      </c>
      <c r="AD1267">
        <v>2</v>
      </c>
      <c r="AE1267">
        <v>2</v>
      </c>
      <c r="AF1267" s="2">
        <v>9</v>
      </c>
      <c r="AG1267">
        <v>8</v>
      </c>
      <c r="AH1267">
        <v>1</v>
      </c>
      <c r="AI1267">
        <v>7</v>
      </c>
      <c r="AJ1267" s="2" t="str">
        <f>IF(A1267 A1267 &lt;= 25, "18-25", IF(A1267 &lt;=35, "26-35", IF(A1267 &lt;=45, "36-45", IF(Table3[[#This Row],[Age]] &lt;=55, "46-55", "56+"))))</f>
        <v>26-35</v>
      </c>
      <c r="AK1267" t="str">
        <f t="shared" si="19"/>
        <v>Low</v>
      </c>
      <c r="AL1267" s="2" t="str">
        <f>IF(AF1267 &lt; 3, "0-2 Years", IF(AF1267 &lt;= 5, "3-5 Years", IF(AF1267 &lt;= 10, "6-10 Years",IF(Table3[[#This Row],[Years At Company]]&lt;=20, "11-20 Years","20+ Years"))))</f>
        <v>6-10 Years</v>
      </c>
    </row>
    <row r="1268" spans="1:38" x14ac:dyDescent="0.25">
      <c r="A1268" s="2">
        <v>41</v>
      </c>
      <c r="B1268" t="s">
        <v>43</v>
      </c>
      <c r="C1268" t="s">
        <v>36</v>
      </c>
      <c r="D1268" s="2">
        <v>548</v>
      </c>
      <c r="E1268" t="s">
        <v>45</v>
      </c>
      <c r="F1268" s="2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 s="2">
        <v>2289</v>
      </c>
      <c r="T1268">
        <v>20520</v>
      </c>
      <c r="U1268">
        <v>1</v>
      </c>
      <c r="V1268" t="s">
        <v>42</v>
      </c>
      <c r="W1268" t="s">
        <v>43</v>
      </c>
      <c r="X1268" s="2">
        <v>20</v>
      </c>
      <c r="Y1268">
        <v>4</v>
      </c>
      <c r="Z1268">
        <v>2</v>
      </c>
      <c r="AA1268">
        <v>80</v>
      </c>
      <c r="AB1268">
        <v>2</v>
      </c>
      <c r="AC1268" s="2">
        <v>5</v>
      </c>
      <c r="AD1268">
        <v>2</v>
      </c>
      <c r="AE1268">
        <v>3</v>
      </c>
      <c r="AF1268" s="2">
        <v>5</v>
      </c>
      <c r="AG1268">
        <v>3</v>
      </c>
      <c r="AH1268">
        <v>0</v>
      </c>
      <c r="AI1268">
        <v>4</v>
      </c>
      <c r="AJ1268" s="2" t="str">
        <f>IF(A1268 A1268 &lt;= 25, "18-25", IF(A1268 &lt;=35, "26-35", IF(A1268 &lt;=45, "36-45", IF(Table3[[#This Row],[Age]] &lt;=55, "46-55", "56+"))))</f>
        <v>36-45</v>
      </c>
      <c r="AK1268" t="str">
        <f t="shared" si="19"/>
        <v>Low</v>
      </c>
      <c r="AL1268" s="2" t="str">
        <f>IF(AF1268 &lt; 3, "0-2 Years", IF(AF1268 &lt;= 5, "3-5 Years", IF(AF1268 &lt;= 10, "6-10 Years",IF(Table3[[#This Row],[Years At Company]]&lt;=20, "11-20 Years","20+ Years"))))</f>
        <v>3-5 Years</v>
      </c>
    </row>
    <row r="1269" spans="1:38" x14ac:dyDescent="0.25">
      <c r="A1269" s="2">
        <v>34</v>
      </c>
      <c r="B1269" t="s">
        <v>43</v>
      </c>
      <c r="C1269" t="s">
        <v>55</v>
      </c>
      <c r="D1269" s="2">
        <v>1375</v>
      </c>
      <c r="E1269" t="s">
        <v>37</v>
      </c>
      <c r="F1269" s="2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 s="2">
        <v>4001</v>
      </c>
      <c r="T1269">
        <v>12313</v>
      </c>
      <c r="U1269">
        <v>1</v>
      </c>
      <c r="V1269" t="s">
        <v>42</v>
      </c>
      <c r="W1269" t="s">
        <v>35</v>
      </c>
      <c r="X1269" s="2">
        <v>14</v>
      </c>
      <c r="Y1269">
        <v>3</v>
      </c>
      <c r="Z1269">
        <v>3</v>
      </c>
      <c r="AA1269">
        <v>80</v>
      </c>
      <c r="AB1269">
        <v>1</v>
      </c>
      <c r="AC1269" s="2">
        <v>15</v>
      </c>
      <c r="AD1269">
        <v>3</v>
      </c>
      <c r="AE1269">
        <v>3</v>
      </c>
      <c r="AF1269" s="2">
        <v>15</v>
      </c>
      <c r="AG1269">
        <v>14</v>
      </c>
      <c r="AH1269">
        <v>0</v>
      </c>
      <c r="AI1269">
        <v>7</v>
      </c>
      <c r="AJ1269" s="2" t="str">
        <f>IF(A1269 A1269 &lt;= 25, "18-25", IF(A1269 &lt;=35, "26-35", IF(A1269 &lt;=45, "36-45", IF(Table3[[#This Row],[Age]] &lt;=55, "46-55", "56+"))))</f>
        <v>26-35</v>
      </c>
      <c r="AK1269" t="str">
        <f t="shared" si="19"/>
        <v>Low</v>
      </c>
      <c r="AL1269" s="2" t="str">
        <f>IF(AF1269 &lt; 3, "0-2 Years", IF(AF1269 &lt;= 5, "3-5 Years", IF(AF1269 &lt;= 10, "6-10 Years",IF(Table3[[#This Row],[Years At Company]]&lt;=20, "11-20 Years","20+ Years"))))</f>
        <v>11-20 Years</v>
      </c>
    </row>
    <row r="1270" spans="1:38" x14ac:dyDescent="0.25">
      <c r="A1270" s="2">
        <v>53</v>
      </c>
      <c r="B1270" t="s">
        <v>43</v>
      </c>
      <c r="C1270" t="s">
        <v>55</v>
      </c>
      <c r="D1270" s="2">
        <v>661</v>
      </c>
      <c r="E1270" t="s">
        <v>45</v>
      </c>
      <c r="F1270" s="2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 s="2">
        <v>12965</v>
      </c>
      <c r="T1270">
        <v>22308</v>
      </c>
      <c r="U1270">
        <v>4</v>
      </c>
      <c r="V1270" t="s">
        <v>42</v>
      </c>
      <c r="W1270" t="s">
        <v>35</v>
      </c>
      <c r="X1270" s="2">
        <v>20</v>
      </c>
      <c r="Y1270">
        <v>4</v>
      </c>
      <c r="Z1270">
        <v>4</v>
      </c>
      <c r="AA1270">
        <v>80</v>
      </c>
      <c r="AB1270">
        <v>3</v>
      </c>
      <c r="AC1270" s="2">
        <v>27</v>
      </c>
      <c r="AD1270">
        <v>2</v>
      </c>
      <c r="AE1270">
        <v>2</v>
      </c>
      <c r="AF1270" s="2">
        <v>3</v>
      </c>
      <c r="AG1270">
        <v>2</v>
      </c>
      <c r="AH1270">
        <v>0</v>
      </c>
      <c r="AI1270">
        <v>2</v>
      </c>
      <c r="AJ1270" s="2" t="str">
        <f>IF(A1270 A1270 &lt;= 25, "18-25", IF(A1270 &lt;=35, "26-35", IF(A1270 &lt;=45, "36-45", IF(Table3[[#This Row],[Age]] &lt;=55, "46-55", "56+"))))</f>
        <v>46-55</v>
      </c>
      <c r="AK1270" t="str">
        <f t="shared" si="19"/>
        <v>High</v>
      </c>
      <c r="AL1270" s="2" t="str">
        <f>IF(AF1270 &lt; 3, "0-2 Years", IF(AF1270 &lt;= 5, "3-5 Years", IF(AF1270 &lt;= 10, "6-10 Years",IF(Table3[[#This Row],[Years At Company]]&lt;=20, "11-20 Years","20+ Years"))))</f>
        <v>3-5 Years</v>
      </c>
    </row>
    <row r="1271" spans="1:38" x14ac:dyDescent="0.25">
      <c r="A1271" s="2">
        <v>43</v>
      </c>
      <c r="B1271" t="s">
        <v>43</v>
      </c>
      <c r="C1271" t="s">
        <v>36</v>
      </c>
      <c r="D1271" s="2">
        <v>244</v>
      </c>
      <c r="E1271" t="s">
        <v>61</v>
      </c>
      <c r="F1271" s="2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 s="2">
        <v>3539</v>
      </c>
      <c r="T1271">
        <v>5033</v>
      </c>
      <c r="U1271">
        <v>0</v>
      </c>
      <c r="V1271" t="s">
        <v>42</v>
      </c>
      <c r="W1271" t="s">
        <v>43</v>
      </c>
      <c r="X1271" s="2">
        <v>13</v>
      </c>
      <c r="Y1271">
        <v>3</v>
      </c>
      <c r="Z1271">
        <v>2</v>
      </c>
      <c r="AA1271">
        <v>80</v>
      </c>
      <c r="AB1271">
        <v>0</v>
      </c>
      <c r="AC1271" s="2">
        <v>10</v>
      </c>
      <c r="AD1271">
        <v>5</v>
      </c>
      <c r="AE1271">
        <v>3</v>
      </c>
      <c r="AF1271" s="2">
        <v>9</v>
      </c>
      <c r="AG1271">
        <v>7</v>
      </c>
      <c r="AH1271">
        <v>1</v>
      </c>
      <c r="AI1271">
        <v>8</v>
      </c>
      <c r="AJ1271" s="2" t="str">
        <f>IF(A1271 A1271 &lt;= 25, "18-25", IF(A1271 &lt;=35, "26-35", IF(A1271 &lt;=45, "36-45", IF(Table3[[#This Row],[Age]] &lt;=55, "46-55", "56+"))))</f>
        <v>36-45</v>
      </c>
      <c r="AK1271" t="str">
        <f t="shared" si="19"/>
        <v>Low</v>
      </c>
      <c r="AL1271" s="2" t="str">
        <f>IF(AF1271 &lt; 3, "0-2 Years", IF(AF1271 &lt;= 5, "3-5 Years", IF(AF1271 &lt;= 10, "6-10 Years",IF(Table3[[#This Row],[Years At Company]]&lt;=20, "11-20 Years","20+ Years"))))</f>
        <v>6-10 Years</v>
      </c>
    </row>
    <row r="1272" spans="1:38" x14ac:dyDescent="0.25">
      <c r="A1272" s="2">
        <v>34</v>
      </c>
      <c r="B1272" t="s">
        <v>43</v>
      </c>
      <c r="C1272" t="s">
        <v>36</v>
      </c>
      <c r="D1272" s="2">
        <v>511</v>
      </c>
      <c r="E1272" t="s">
        <v>37</v>
      </c>
      <c r="F1272" s="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 s="2">
        <v>6029</v>
      </c>
      <c r="T1272">
        <v>25353</v>
      </c>
      <c r="U1272">
        <v>5</v>
      </c>
      <c r="V1272" t="s">
        <v>42</v>
      </c>
      <c r="W1272" t="s">
        <v>43</v>
      </c>
      <c r="X1272" s="2">
        <v>12</v>
      </c>
      <c r="Y1272">
        <v>3</v>
      </c>
      <c r="Z1272">
        <v>1</v>
      </c>
      <c r="AA1272">
        <v>80</v>
      </c>
      <c r="AB1272">
        <v>0</v>
      </c>
      <c r="AC1272" s="2">
        <v>6</v>
      </c>
      <c r="AD1272">
        <v>3</v>
      </c>
      <c r="AE1272">
        <v>3</v>
      </c>
      <c r="AF1272" s="2">
        <v>2</v>
      </c>
      <c r="AG1272">
        <v>2</v>
      </c>
      <c r="AH1272">
        <v>2</v>
      </c>
      <c r="AI1272">
        <v>2</v>
      </c>
      <c r="AJ1272" s="2" t="str">
        <f>IF(A1272 A1272 &lt;= 25, "18-25", IF(A1272 &lt;=35, "26-35", IF(A1272 &lt;=45, "36-45", IF(Table3[[#This Row],[Age]] &lt;=55, "46-55", "56+"))))</f>
        <v>26-35</v>
      </c>
      <c r="AK1272" t="str">
        <f t="shared" si="19"/>
        <v>Medium</v>
      </c>
      <c r="AL1272" s="2" t="str">
        <f>IF(AF1272 &lt; 3, "0-2 Years", IF(AF1272 &lt;= 5, "3-5 Years", IF(AF1272 &lt;= 10, "6-10 Years",IF(Table3[[#This Row],[Years At Company]]&lt;=20, "11-20 Years","20+ Years"))))</f>
        <v>0-2 Years</v>
      </c>
    </row>
    <row r="1273" spans="1:38" x14ac:dyDescent="0.25">
      <c r="A1273" s="2">
        <v>21</v>
      </c>
      <c r="B1273" t="s">
        <v>35</v>
      </c>
      <c r="C1273" t="s">
        <v>36</v>
      </c>
      <c r="D1273" s="2">
        <v>337</v>
      </c>
      <c r="E1273" t="s">
        <v>37</v>
      </c>
      <c r="F1273" s="2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 s="2">
        <v>2679</v>
      </c>
      <c r="T1273">
        <v>4567</v>
      </c>
      <c r="U1273">
        <v>1</v>
      </c>
      <c r="V1273" t="s">
        <v>42</v>
      </c>
      <c r="W1273" t="s">
        <v>43</v>
      </c>
      <c r="X1273" s="2">
        <v>13</v>
      </c>
      <c r="Y1273">
        <v>3</v>
      </c>
      <c r="Z1273">
        <v>2</v>
      </c>
      <c r="AA1273">
        <v>80</v>
      </c>
      <c r="AB1273">
        <v>0</v>
      </c>
      <c r="AC1273" s="2">
        <v>1</v>
      </c>
      <c r="AD1273">
        <v>3</v>
      </c>
      <c r="AE1273">
        <v>3</v>
      </c>
      <c r="AF1273" s="2">
        <v>1</v>
      </c>
      <c r="AG1273">
        <v>0</v>
      </c>
      <c r="AH1273">
        <v>1</v>
      </c>
      <c r="AI1273">
        <v>0</v>
      </c>
      <c r="AJ1273" s="2" t="str">
        <f>IF(A1273 A1273 &lt;= 25, "18-25", IF(A1273 &lt;=35, "26-35", IF(A1273 &lt;=45, "36-45", IF(Table3[[#This Row],[Age]] &lt;=55, "46-55", "56+"))))</f>
        <v>18-25</v>
      </c>
      <c r="AK1273" t="str">
        <f t="shared" si="19"/>
        <v>Low</v>
      </c>
      <c r="AL1273" s="2" t="str">
        <f>IF(AF1273 &lt; 3, "0-2 Years", IF(AF1273 &lt;= 5, "3-5 Years", IF(AF1273 &lt;= 10, "6-10 Years",IF(Table3[[#This Row],[Years At Company]]&lt;=20, "11-20 Years","20+ Years"))))</f>
        <v>0-2 Years</v>
      </c>
    </row>
    <row r="1274" spans="1:38" x14ac:dyDescent="0.25">
      <c r="A1274" s="2">
        <v>38</v>
      </c>
      <c r="B1274" t="s">
        <v>43</v>
      </c>
      <c r="C1274" t="s">
        <v>36</v>
      </c>
      <c r="D1274" s="2">
        <v>1153</v>
      </c>
      <c r="E1274" t="s">
        <v>45</v>
      </c>
      <c r="F1274" s="2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 s="2">
        <v>3702</v>
      </c>
      <c r="T1274">
        <v>16376</v>
      </c>
      <c r="U1274">
        <v>1</v>
      </c>
      <c r="V1274" t="s">
        <v>42</v>
      </c>
      <c r="W1274" t="s">
        <v>43</v>
      </c>
      <c r="X1274" s="2">
        <v>11</v>
      </c>
      <c r="Y1274">
        <v>3</v>
      </c>
      <c r="Z1274">
        <v>2</v>
      </c>
      <c r="AA1274">
        <v>80</v>
      </c>
      <c r="AB1274">
        <v>1</v>
      </c>
      <c r="AC1274" s="2">
        <v>5</v>
      </c>
      <c r="AD1274">
        <v>3</v>
      </c>
      <c r="AE1274">
        <v>3</v>
      </c>
      <c r="AF1274" s="2">
        <v>5</v>
      </c>
      <c r="AG1274">
        <v>4</v>
      </c>
      <c r="AH1274">
        <v>0</v>
      </c>
      <c r="AI1274">
        <v>4</v>
      </c>
      <c r="AJ1274" s="2" t="str">
        <f>IF(A1274 A1274 &lt;= 25, "18-25", IF(A1274 &lt;=35, "26-35", IF(A1274 &lt;=45, "36-45", IF(Table3[[#This Row],[Age]] &lt;=55, "46-55", "56+"))))</f>
        <v>36-45</v>
      </c>
      <c r="AK1274" t="str">
        <f t="shared" si="19"/>
        <v>Low</v>
      </c>
      <c r="AL1274" s="2" t="str">
        <f>IF(AF1274 &lt; 3, "0-2 Years", IF(AF1274 &lt;= 5, "3-5 Years", IF(AF1274 &lt;= 10, "6-10 Years",IF(Table3[[#This Row],[Years At Company]]&lt;=20, "11-20 Years","20+ Years"))))</f>
        <v>3-5 Years</v>
      </c>
    </row>
    <row r="1275" spans="1:38" x14ac:dyDescent="0.25">
      <c r="A1275" s="2">
        <v>22</v>
      </c>
      <c r="B1275" t="s">
        <v>35</v>
      </c>
      <c r="C1275" t="s">
        <v>36</v>
      </c>
      <c r="D1275" s="2">
        <v>1294</v>
      </c>
      <c r="E1275" t="s">
        <v>45</v>
      </c>
      <c r="F1275" s="2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 s="2">
        <v>2398</v>
      </c>
      <c r="T1275">
        <v>15999</v>
      </c>
      <c r="U1275">
        <v>1</v>
      </c>
      <c r="V1275" t="s">
        <v>42</v>
      </c>
      <c r="W1275" t="s">
        <v>35</v>
      </c>
      <c r="X1275" s="2">
        <v>17</v>
      </c>
      <c r="Y1275">
        <v>3</v>
      </c>
      <c r="Z1275">
        <v>3</v>
      </c>
      <c r="AA1275">
        <v>80</v>
      </c>
      <c r="AB1275">
        <v>0</v>
      </c>
      <c r="AC1275" s="2">
        <v>1</v>
      </c>
      <c r="AD1275">
        <v>6</v>
      </c>
      <c r="AE1275">
        <v>3</v>
      </c>
      <c r="AF1275" s="2">
        <v>1</v>
      </c>
      <c r="AG1275">
        <v>0</v>
      </c>
      <c r="AH1275">
        <v>0</v>
      </c>
      <c r="AI1275">
        <v>0</v>
      </c>
      <c r="AJ1275" s="2" t="str">
        <f>IF(A1275 A1275 &lt;= 25, "18-25", IF(A1275 &lt;=35, "26-35", IF(A1275 &lt;=45, "36-45", IF(Table3[[#This Row],[Age]] &lt;=55, "46-55", "56+"))))</f>
        <v>18-25</v>
      </c>
      <c r="AK1275" t="str">
        <f t="shared" si="19"/>
        <v>Low</v>
      </c>
      <c r="AL1275" s="2" t="str">
        <f>IF(AF1275 &lt; 3, "0-2 Years", IF(AF1275 &lt;= 5, "3-5 Years", IF(AF1275 &lt;= 10, "6-10 Years",IF(Table3[[#This Row],[Years At Company]]&lt;=20, "11-20 Years","20+ Years"))))</f>
        <v>0-2 Years</v>
      </c>
    </row>
    <row r="1276" spans="1:38" x14ac:dyDescent="0.25">
      <c r="A1276" s="2">
        <v>31</v>
      </c>
      <c r="B1276" t="s">
        <v>43</v>
      </c>
      <c r="C1276" t="s">
        <v>36</v>
      </c>
      <c r="D1276" s="2">
        <v>196</v>
      </c>
      <c r="E1276" t="s">
        <v>37</v>
      </c>
      <c r="F1276" s="2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 s="2">
        <v>5468</v>
      </c>
      <c r="T1276">
        <v>13402</v>
      </c>
      <c r="U1276">
        <v>1</v>
      </c>
      <c r="V1276" t="s">
        <v>42</v>
      </c>
      <c r="W1276" t="s">
        <v>43</v>
      </c>
      <c r="X1276" s="2">
        <v>14</v>
      </c>
      <c r="Y1276">
        <v>3</v>
      </c>
      <c r="Z1276">
        <v>1</v>
      </c>
      <c r="AA1276">
        <v>80</v>
      </c>
      <c r="AB1276">
        <v>2</v>
      </c>
      <c r="AC1276" s="2">
        <v>13</v>
      </c>
      <c r="AD1276">
        <v>3</v>
      </c>
      <c r="AE1276">
        <v>3</v>
      </c>
      <c r="AF1276" s="2">
        <v>12</v>
      </c>
      <c r="AG1276">
        <v>7</v>
      </c>
      <c r="AH1276">
        <v>5</v>
      </c>
      <c r="AI1276">
        <v>7</v>
      </c>
      <c r="AJ1276" s="2" t="str">
        <f>IF(A1276 A1276 &lt;= 25, "18-25", IF(A1276 &lt;=35, "26-35", IF(A1276 &lt;=45, "36-45", IF(Table3[[#This Row],[Age]] &lt;=55, "46-55", "56+"))))</f>
        <v>26-35</v>
      </c>
      <c r="AK1276" t="str">
        <f t="shared" si="19"/>
        <v>Medium</v>
      </c>
      <c r="AL1276" s="2" t="str">
        <f>IF(AF1276 &lt; 3, "0-2 Years", IF(AF1276 &lt;= 5, "3-5 Years", IF(AF1276 &lt;= 10, "6-10 Years",IF(Table3[[#This Row],[Years At Company]]&lt;=20, "11-20 Years","20+ Years"))))</f>
        <v>11-20 Years</v>
      </c>
    </row>
    <row r="1277" spans="1:38" x14ac:dyDescent="0.25">
      <c r="A1277" s="2">
        <v>51</v>
      </c>
      <c r="B1277" t="s">
        <v>43</v>
      </c>
      <c r="C1277" t="s">
        <v>36</v>
      </c>
      <c r="D1277" s="2">
        <v>942</v>
      </c>
      <c r="E1277" t="s">
        <v>45</v>
      </c>
      <c r="F1277" s="2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 s="2">
        <v>13116</v>
      </c>
      <c r="T1277">
        <v>22984</v>
      </c>
      <c r="U1277">
        <v>2</v>
      </c>
      <c r="V1277" t="s">
        <v>42</v>
      </c>
      <c r="W1277" t="s">
        <v>43</v>
      </c>
      <c r="X1277" s="2">
        <v>11</v>
      </c>
      <c r="Y1277">
        <v>3</v>
      </c>
      <c r="Z1277">
        <v>4</v>
      </c>
      <c r="AA1277">
        <v>80</v>
      </c>
      <c r="AB1277">
        <v>0</v>
      </c>
      <c r="AC1277" s="2">
        <v>15</v>
      </c>
      <c r="AD1277">
        <v>2</v>
      </c>
      <c r="AE1277">
        <v>3</v>
      </c>
      <c r="AF1277" s="2">
        <v>2</v>
      </c>
      <c r="AG1277">
        <v>2</v>
      </c>
      <c r="AH1277">
        <v>2</v>
      </c>
      <c r="AI1277">
        <v>2</v>
      </c>
      <c r="AJ1277" s="2" t="str">
        <f>IF(A1277 A1277 &lt;= 25, "18-25", IF(A1277 &lt;=35, "26-35", IF(A1277 &lt;=45, "36-45", IF(Table3[[#This Row],[Age]] &lt;=55, "46-55", "56+"))))</f>
        <v>46-55</v>
      </c>
      <c r="AK1277" t="str">
        <f t="shared" si="19"/>
        <v>High</v>
      </c>
      <c r="AL1277" s="2" t="str">
        <f>IF(AF1277 &lt; 3, "0-2 Years", IF(AF1277 &lt;= 5, "3-5 Years", IF(AF1277 &lt;= 10, "6-10 Years",IF(Table3[[#This Row],[Years At Company]]&lt;=20, "11-20 Years","20+ Years"))))</f>
        <v>0-2 Years</v>
      </c>
    </row>
    <row r="1278" spans="1:38" x14ac:dyDescent="0.25">
      <c r="A1278" s="2">
        <v>37</v>
      </c>
      <c r="B1278" t="s">
        <v>43</v>
      </c>
      <c r="C1278" t="s">
        <v>36</v>
      </c>
      <c r="D1278" s="2">
        <v>589</v>
      </c>
      <c r="E1278" t="s">
        <v>37</v>
      </c>
      <c r="F1278" s="2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 s="2">
        <v>4189</v>
      </c>
      <c r="T1278">
        <v>8800</v>
      </c>
      <c r="U1278">
        <v>1</v>
      </c>
      <c r="V1278" t="s">
        <v>42</v>
      </c>
      <c r="W1278" t="s">
        <v>43</v>
      </c>
      <c r="X1278" s="2">
        <v>14</v>
      </c>
      <c r="Y1278">
        <v>3</v>
      </c>
      <c r="Z1278">
        <v>1</v>
      </c>
      <c r="AA1278">
        <v>80</v>
      </c>
      <c r="AB1278">
        <v>2</v>
      </c>
      <c r="AC1278" s="2">
        <v>5</v>
      </c>
      <c r="AD1278">
        <v>2</v>
      </c>
      <c r="AE1278">
        <v>3</v>
      </c>
      <c r="AF1278" s="2">
        <v>5</v>
      </c>
      <c r="AG1278">
        <v>2</v>
      </c>
      <c r="AH1278">
        <v>0</v>
      </c>
      <c r="AI1278">
        <v>3</v>
      </c>
      <c r="AJ1278" s="2" t="str">
        <f>IF(A1278 A1278 &lt;= 25, "18-25", IF(A1278 &lt;=35, "26-35", IF(A1278 &lt;=45, "36-45", IF(Table3[[#This Row],[Age]] &lt;=55, "46-55", "56+"))))</f>
        <v>36-45</v>
      </c>
      <c r="AK1278" t="str">
        <f t="shared" si="19"/>
        <v>Low</v>
      </c>
      <c r="AL1278" s="2" t="str">
        <f>IF(AF1278 &lt; 3, "0-2 Years", IF(AF1278 &lt;= 5, "3-5 Years", IF(AF1278 &lt;= 10, "6-10 Years",IF(Table3[[#This Row],[Years At Company]]&lt;=20, "11-20 Years","20+ Years"))))</f>
        <v>3-5 Years</v>
      </c>
    </row>
    <row r="1279" spans="1:38" x14ac:dyDescent="0.25">
      <c r="A1279" s="2">
        <v>46</v>
      </c>
      <c r="B1279" t="s">
        <v>43</v>
      </c>
      <c r="C1279" t="s">
        <v>36</v>
      </c>
      <c r="D1279" s="2">
        <v>734</v>
      </c>
      <c r="E1279" t="s">
        <v>45</v>
      </c>
      <c r="F1279" s="2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 s="2">
        <v>19328</v>
      </c>
      <c r="T1279">
        <v>14218</v>
      </c>
      <c r="U1279">
        <v>7</v>
      </c>
      <c r="V1279" t="s">
        <v>42</v>
      </c>
      <c r="W1279" t="s">
        <v>35</v>
      </c>
      <c r="X1279" s="2">
        <v>17</v>
      </c>
      <c r="Y1279">
        <v>3</v>
      </c>
      <c r="Z1279">
        <v>3</v>
      </c>
      <c r="AA1279">
        <v>80</v>
      </c>
      <c r="AB1279">
        <v>1</v>
      </c>
      <c r="AC1279" s="2">
        <v>24</v>
      </c>
      <c r="AD1279">
        <v>3</v>
      </c>
      <c r="AE1279">
        <v>3</v>
      </c>
      <c r="AF1279" s="2">
        <v>2</v>
      </c>
      <c r="AG1279">
        <v>1</v>
      </c>
      <c r="AH1279">
        <v>2</v>
      </c>
      <c r="AI1279">
        <v>2</v>
      </c>
      <c r="AJ1279" s="2" t="str">
        <f>IF(A1279 A1279 &lt;= 25, "18-25", IF(A1279 &lt;=35, "26-35", IF(A1279 &lt;=45, "36-45", IF(Table3[[#This Row],[Age]] &lt;=55, "46-55", "56+"))))</f>
        <v>46-55</v>
      </c>
      <c r="AK1279" t="str">
        <f t="shared" si="19"/>
        <v>High</v>
      </c>
      <c r="AL1279" s="2" t="str">
        <f>IF(AF1279 &lt; 3, "0-2 Years", IF(AF1279 &lt;= 5, "3-5 Years", IF(AF1279 &lt;= 10, "6-10 Years",IF(Table3[[#This Row],[Years At Company]]&lt;=20, "11-20 Years","20+ Years"))))</f>
        <v>0-2 Years</v>
      </c>
    </row>
    <row r="1280" spans="1:38" x14ac:dyDescent="0.25">
      <c r="A1280" s="2">
        <v>36</v>
      </c>
      <c r="B1280" t="s">
        <v>43</v>
      </c>
      <c r="C1280" t="s">
        <v>36</v>
      </c>
      <c r="D1280" s="2">
        <v>1383</v>
      </c>
      <c r="E1280" t="s">
        <v>45</v>
      </c>
      <c r="F1280" s="2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 s="2">
        <v>8321</v>
      </c>
      <c r="T1280">
        <v>25949</v>
      </c>
      <c r="U1280">
        <v>7</v>
      </c>
      <c r="V1280" t="s">
        <v>42</v>
      </c>
      <c r="W1280" t="s">
        <v>35</v>
      </c>
      <c r="X1280" s="2">
        <v>13</v>
      </c>
      <c r="Y1280">
        <v>3</v>
      </c>
      <c r="Z1280">
        <v>4</v>
      </c>
      <c r="AA1280">
        <v>80</v>
      </c>
      <c r="AB1280">
        <v>1</v>
      </c>
      <c r="AC1280" s="2">
        <v>15</v>
      </c>
      <c r="AD1280">
        <v>1</v>
      </c>
      <c r="AE1280">
        <v>3</v>
      </c>
      <c r="AF1280" s="2">
        <v>12</v>
      </c>
      <c r="AG1280">
        <v>8</v>
      </c>
      <c r="AH1280">
        <v>5</v>
      </c>
      <c r="AI1280">
        <v>7</v>
      </c>
      <c r="AJ1280" s="2" t="str">
        <f>IF(A1280 A1280 &lt;= 25, "18-25", IF(A1280 &lt;=35, "26-35", IF(A1280 &lt;=45, "36-45", IF(Table3[[#This Row],[Age]] &lt;=55, "46-55", "56+"))))</f>
        <v>36-45</v>
      </c>
      <c r="AK1280" t="str">
        <f t="shared" si="19"/>
        <v>Medium</v>
      </c>
      <c r="AL1280" s="2" t="str">
        <f>IF(AF1280 &lt; 3, "0-2 Years", IF(AF1280 &lt;= 5, "3-5 Years", IF(AF1280 &lt;= 10, "6-10 Years",IF(Table3[[#This Row],[Years At Company]]&lt;=20, "11-20 Years","20+ Years"))))</f>
        <v>11-20 Years</v>
      </c>
    </row>
    <row r="1281" spans="1:38" x14ac:dyDescent="0.25">
      <c r="A1281" s="2">
        <v>44</v>
      </c>
      <c r="B1281" t="s">
        <v>35</v>
      </c>
      <c r="C1281" t="s">
        <v>44</v>
      </c>
      <c r="D1281" s="2">
        <v>429</v>
      </c>
      <c r="E1281" t="s">
        <v>45</v>
      </c>
      <c r="F1281" s="2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 s="2">
        <v>2342</v>
      </c>
      <c r="T1281">
        <v>11092</v>
      </c>
      <c r="U1281">
        <v>1</v>
      </c>
      <c r="V1281" t="s">
        <v>42</v>
      </c>
      <c r="W1281" t="s">
        <v>35</v>
      </c>
      <c r="X1281" s="2">
        <v>12</v>
      </c>
      <c r="Y1281">
        <v>3</v>
      </c>
      <c r="Z1281">
        <v>3</v>
      </c>
      <c r="AA1281">
        <v>80</v>
      </c>
      <c r="AB1281">
        <v>3</v>
      </c>
      <c r="AC1281" s="2">
        <v>6</v>
      </c>
      <c r="AD1281">
        <v>2</v>
      </c>
      <c r="AE1281">
        <v>2</v>
      </c>
      <c r="AF1281" s="2">
        <v>5</v>
      </c>
      <c r="AG1281">
        <v>3</v>
      </c>
      <c r="AH1281">
        <v>2</v>
      </c>
      <c r="AI1281">
        <v>3</v>
      </c>
      <c r="AJ1281" s="2" t="str">
        <f>IF(A1281 A1281 &lt;= 25, "18-25", IF(A1281 &lt;=35, "26-35", IF(A1281 &lt;=45, "36-45", IF(Table3[[#This Row],[Age]] &lt;=55, "46-55", "56+"))))</f>
        <v>36-45</v>
      </c>
      <c r="AK1281" t="str">
        <f t="shared" si="19"/>
        <v>Low</v>
      </c>
      <c r="AL1281" s="2" t="str">
        <f>IF(AF1281 &lt; 3, "0-2 Years", IF(AF1281 &lt;= 5, "3-5 Years", IF(AF1281 &lt;= 10, "6-10 Years",IF(Table3[[#This Row],[Years At Company]]&lt;=20, "11-20 Years","20+ Years"))))</f>
        <v>3-5 Years</v>
      </c>
    </row>
    <row r="1282" spans="1:38" x14ac:dyDescent="0.25">
      <c r="A1282" s="2">
        <v>37</v>
      </c>
      <c r="B1282" t="s">
        <v>43</v>
      </c>
      <c r="C1282" t="s">
        <v>36</v>
      </c>
      <c r="D1282" s="2">
        <v>1239</v>
      </c>
      <c r="E1282" t="s">
        <v>61</v>
      </c>
      <c r="F1282" s="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 s="2">
        <v>4071</v>
      </c>
      <c r="T1282">
        <v>12832</v>
      </c>
      <c r="U1282">
        <v>2</v>
      </c>
      <c r="V1282" t="s">
        <v>42</v>
      </c>
      <c r="W1282" t="s">
        <v>43</v>
      </c>
      <c r="X1282" s="2">
        <v>13</v>
      </c>
      <c r="Y1282">
        <v>3</v>
      </c>
      <c r="Z1282">
        <v>3</v>
      </c>
      <c r="AA1282">
        <v>80</v>
      </c>
      <c r="AB1282">
        <v>0</v>
      </c>
      <c r="AC1282" s="2">
        <v>19</v>
      </c>
      <c r="AD1282">
        <v>4</v>
      </c>
      <c r="AE1282">
        <v>2</v>
      </c>
      <c r="AF1282" s="2">
        <v>10</v>
      </c>
      <c r="AG1282">
        <v>0</v>
      </c>
      <c r="AH1282">
        <v>4</v>
      </c>
      <c r="AI1282">
        <v>7</v>
      </c>
      <c r="AJ1282" s="2" t="str">
        <f>IF(A1282 A1282 &lt;= 25, "18-25", IF(A1282 &lt;=35, "26-35", IF(A1282 &lt;=45, "36-45", IF(Table3[[#This Row],[Age]] &lt;=55, "46-55", "56+"))))</f>
        <v>36-45</v>
      </c>
      <c r="AK1282" t="str">
        <f t="shared" ref="AK1282:AK1345" si="20">IF(S1282 &lt; 5000, "Low",IF(S1282 &lt;=9999, "Medium", "High"))</f>
        <v>Low</v>
      </c>
      <c r="AL1282" s="2" t="str">
        <f>IF(AF1282 &lt; 3, "0-2 Years", IF(AF1282 &lt;= 5, "3-5 Years", IF(AF1282 &lt;= 10, "6-10 Years",IF(Table3[[#This Row],[Years At Company]]&lt;=20, "11-20 Years","20+ Years"))))</f>
        <v>6-10 Years</v>
      </c>
    </row>
    <row r="1283" spans="1:38" x14ac:dyDescent="0.25">
      <c r="A1283" s="2">
        <v>35</v>
      </c>
      <c r="B1283" t="s">
        <v>35</v>
      </c>
      <c r="C1283" t="s">
        <v>36</v>
      </c>
      <c r="D1283" s="2">
        <v>303</v>
      </c>
      <c r="E1283" t="s">
        <v>37</v>
      </c>
      <c r="F1283" s="2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 s="2">
        <v>5813</v>
      </c>
      <c r="T1283">
        <v>13492</v>
      </c>
      <c r="U1283">
        <v>1</v>
      </c>
      <c r="V1283" t="s">
        <v>42</v>
      </c>
      <c r="W1283" t="s">
        <v>35</v>
      </c>
      <c r="X1283" s="2">
        <v>18</v>
      </c>
      <c r="Y1283">
        <v>3</v>
      </c>
      <c r="Z1283">
        <v>4</v>
      </c>
      <c r="AA1283">
        <v>80</v>
      </c>
      <c r="AB1283">
        <v>0</v>
      </c>
      <c r="AC1283" s="2">
        <v>10</v>
      </c>
      <c r="AD1283">
        <v>2</v>
      </c>
      <c r="AE1283">
        <v>3</v>
      </c>
      <c r="AF1283" s="2">
        <v>10</v>
      </c>
      <c r="AG1283">
        <v>7</v>
      </c>
      <c r="AH1283">
        <v>7</v>
      </c>
      <c r="AI1283">
        <v>7</v>
      </c>
      <c r="AJ1283" s="2" t="str">
        <f>IF(A1283 A1283 &lt;= 25, "18-25", IF(A1283 &lt;=35, "26-35", IF(A1283 &lt;=45, "36-45", IF(Table3[[#This Row],[Age]] &lt;=55, "46-55", "56+"))))</f>
        <v>26-35</v>
      </c>
      <c r="AK1283" t="str">
        <f t="shared" si="20"/>
        <v>Medium</v>
      </c>
      <c r="AL1283" s="2" t="str">
        <f>IF(AF1283 &lt; 3, "0-2 Years", IF(AF1283 &lt;= 5, "3-5 Years", IF(AF1283 &lt;= 10, "6-10 Years",IF(Table3[[#This Row],[Years At Company]]&lt;=20, "11-20 Years","20+ Years"))))</f>
        <v>6-10 Years</v>
      </c>
    </row>
    <row r="1284" spans="1:38" x14ac:dyDescent="0.25">
      <c r="A1284" s="2">
        <v>33</v>
      </c>
      <c r="B1284" t="s">
        <v>43</v>
      </c>
      <c r="C1284" t="s">
        <v>36</v>
      </c>
      <c r="D1284" s="2">
        <v>867</v>
      </c>
      <c r="E1284" t="s">
        <v>45</v>
      </c>
      <c r="F1284" s="2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 s="2">
        <v>3143</v>
      </c>
      <c r="T1284">
        <v>6076</v>
      </c>
      <c r="U1284">
        <v>6</v>
      </c>
      <c r="V1284" t="s">
        <v>42</v>
      </c>
      <c r="W1284" t="s">
        <v>43</v>
      </c>
      <c r="X1284" s="2">
        <v>19</v>
      </c>
      <c r="Y1284">
        <v>3</v>
      </c>
      <c r="Z1284">
        <v>2</v>
      </c>
      <c r="AA1284">
        <v>80</v>
      </c>
      <c r="AB1284">
        <v>1</v>
      </c>
      <c r="AC1284" s="2">
        <v>14</v>
      </c>
      <c r="AD1284">
        <v>1</v>
      </c>
      <c r="AE1284">
        <v>3</v>
      </c>
      <c r="AF1284" s="2">
        <v>10</v>
      </c>
      <c r="AG1284">
        <v>8</v>
      </c>
      <c r="AH1284">
        <v>7</v>
      </c>
      <c r="AI1284">
        <v>6</v>
      </c>
      <c r="AJ1284" s="2" t="str">
        <f>IF(A1284 A1284 &lt;= 25, "18-25", IF(A1284 &lt;=35, "26-35", IF(A1284 &lt;=45, "36-45", IF(Table3[[#This Row],[Age]] &lt;=55, "46-55", "56+"))))</f>
        <v>26-35</v>
      </c>
      <c r="AK1284" t="str">
        <f t="shared" si="20"/>
        <v>Low</v>
      </c>
      <c r="AL1284" s="2" t="str">
        <f>IF(AF1284 &lt; 3, "0-2 Years", IF(AF1284 &lt;= 5, "3-5 Years", IF(AF1284 &lt;= 10, "6-10 Years",IF(Table3[[#This Row],[Years At Company]]&lt;=20, "11-20 Years","20+ Years"))))</f>
        <v>6-10 Years</v>
      </c>
    </row>
    <row r="1285" spans="1:38" x14ac:dyDescent="0.25">
      <c r="A1285" s="2">
        <v>28</v>
      </c>
      <c r="B1285" t="s">
        <v>43</v>
      </c>
      <c r="C1285" t="s">
        <v>36</v>
      </c>
      <c r="D1285" s="2">
        <v>1181</v>
      </c>
      <c r="E1285" t="s">
        <v>45</v>
      </c>
      <c r="F1285" s="2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 s="2">
        <v>2044</v>
      </c>
      <c r="T1285">
        <v>5531</v>
      </c>
      <c r="U1285">
        <v>1</v>
      </c>
      <c r="V1285" t="s">
        <v>42</v>
      </c>
      <c r="W1285" t="s">
        <v>43</v>
      </c>
      <c r="X1285" s="2">
        <v>11</v>
      </c>
      <c r="Y1285">
        <v>3</v>
      </c>
      <c r="Z1285">
        <v>3</v>
      </c>
      <c r="AA1285">
        <v>80</v>
      </c>
      <c r="AB1285">
        <v>1</v>
      </c>
      <c r="AC1285" s="2">
        <v>5</v>
      </c>
      <c r="AD1285">
        <v>6</v>
      </c>
      <c r="AE1285">
        <v>4</v>
      </c>
      <c r="AF1285" s="2">
        <v>5</v>
      </c>
      <c r="AG1285">
        <v>3</v>
      </c>
      <c r="AH1285">
        <v>0</v>
      </c>
      <c r="AI1285">
        <v>3</v>
      </c>
      <c r="AJ1285" s="2" t="str">
        <f>IF(A1285 A1285 &lt;= 25, "18-25", IF(A1285 &lt;=35, "26-35", IF(A1285 &lt;=45, "36-45", IF(Table3[[#This Row],[Age]] &lt;=55, "46-55", "56+"))))</f>
        <v>26-35</v>
      </c>
      <c r="AK1285" t="str">
        <f t="shared" si="20"/>
        <v>Low</v>
      </c>
      <c r="AL1285" s="2" t="str">
        <f>IF(AF1285 &lt; 3, "0-2 Years", IF(AF1285 &lt;= 5, "3-5 Years", IF(AF1285 &lt;= 10, "6-10 Years",IF(Table3[[#This Row],[Years At Company]]&lt;=20, "11-20 Years","20+ Years"))))</f>
        <v>3-5 Years</v>
      </c>
    </row>
    <row r="1286" spans="1:38" x14ac:dyDescent="0.25">
      <c r="A1286" s="2">
        <v>39</v>
      </c>
      <c r="B1286" t="s">
        <v>43</v>
      </c>
      <c r="C1286" t="s">
        <v>36</v>
      </c>
      <c r="D1286" s="2">
        <v>1253</v>
      </c>
      <c r="E1286" t="s">
        <v>45</v>
      </c>
      <c r="F1286" s="2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 s="2">
        <v>13464</v>
      </c>
      <c r="T1286">
        <v>7914</v>
      </c>
      <c r="U1286">
        <v>7</v>
      </c>
      <c r="V1286" t="s">
        <v>42</v>
      </c>
      <c r="W1286" t="s">
        <v>43</v>
      </c>
      <c r="X1286" s="2">
        <v>21</v>
      </c>
      <c r="Y1286">
        <v>4</v>
      </c>
      <c r="Z1286">
        <v>3</v>
      </c>
      <c r="AA1286">
        <v>80</v>
      </c>
      <c r="AB1286">
        <v>0</v>
      </c>
      <c r="AC1286" s="2">
        <v>9</v>
      </c>
      <c r="AD1286">
        <v>3</v>
      </c>
      <c r="AE1286">
        <v>3</v>
      </c>
      <c r="AF1286" s="2">
        <v>4</v>
      </c>
      <c r="AG1286">
        <v>3</v>
      </c>
      <c r="AH1286">
        <v>2</v>
      </c>
      <c r="AI1286">
        <v>2</v>
      </c>
      <c r="AJ1286" s="2" t="str">
        <f>IF(A1286 A1286 &lt;= 25, "18-25", IF(A1286 &lt;=35, "26-35", IF(A1286 &lt;=45, "36-45", IF(Table3[[#This Row],[Age]] &lt;=55, "46-55", "56+"))))</f>
        <v>36-45</v>
      </c>
      <c r="AK1286" t="str">
        <f t="shared" si="20"/>
        <v>High</v>
      </c>
      <c r="AL1286" s="2" t="str">
        <f>IF(AF1286 &lt; 3, "0-2 Years", IF(AF1286 &lt;= 5, "3-5 Years", IF(AF1286 &lt;= 10, "6-10 Years",IF(Table3[[#This Row],[Years At Company]]&lt;=20, "11-20 Years","20+ Years"))))</f>
        <v>3-5 Years</v>
      </c>
    </row>
    <row r="1287" spans="1:38" x14ac:dyDescent="0.25">
      <c r="A1287" s="2">
        <v>46</v>
      </c>
      <c r="B1287" t="s">
        <v>43</v>
      </c>
      <c r="C1287" t="s">
        <v>55</v>
      </c>
      <c r="D1287" s="2">
        <v>849</v>
      </c>
      <c r="E1287" t="s">
        <v>37</v>
      </c>
      <c r="F1287" s="2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 s="2">
        <v>7991</v>
      </c>
      <c r="T1287">
        <v>25166</v>
      </c>
      <c r="U1287">
        <v>8</v>
      </c>
      <c r="V1287" t="s">
        <v>42</v>
      </c>
      <c r="W1287" t="s">
        <v>43</v>
      </c>
      <c r="X1287" s="2">
        <v>15</v>
      </c>
      <c r="Y1287">
        <v>3</v>
      </c>
      <c r="Z1287">
        <v>3</v>
      </c>
      <c r="AA1287">
        <v>80</v>
      </c>
      <c r="AB1287">
        <v>0</v>
      </c>
      <c r="AC1287" s="2">
        <v>6</v>
      </c>
      <c r="AD1287">
        <v>3</v>
      </c>
      <c r="AE1287">
        <v>3</v>
      </c>
      <c r="AF1287" s="2">
        <v>2</v>
      </c>
      <c r="AG1287">
        <v>2</v>
      </c>
      <c r="AH1287">
        <v>2</v>
      </c>
      <c r="AI1287">
        <v>2</v>
      </c>
      <c r="AJ1287" s="2" t="str">
        <f>IF(A1287 A1287 &lt;= 25, "18-25", IF(A1287 &lt;=35, "26-35", IF(A1287 &lt;=45, "36-45", IF(Table3[[#This Row],[Age]] &lt;=55, "46-55", "56+"))))</f>
        <v>46-55</v>
      </c>
      <c r="AK1287" t="str">
        <f t="shared" si="20"/>
        <v>Medium</v>
      </c>
      <c r="AL1287" s="2" t="str">
        <f>IF(AF1287 &lt; 3, "0-2 Years", IF(AF1287 &lt;= 5, "3-5 Years", IF(AF1287 &lt;= 10, "6-10 Years",IF(Table3[[#This Row],[Years At Company]]&lt;=20, "11-20 Years","20+ Years"))))</f>
        <v>0-2 Years</v>
      </c>
    </row>
    <row r="1288" spans="1:38" x14ac:dyDescent="0.25">
      <c r="A1288" s="2">
        <v>40</v>
      </c>
      <c r="B1288" t="s">
        <v>43</v>
      </c>
      <c r="C1288" t="s">
        <v>36</v>
      </c>
      <c r="D1288" s="2">
        <v>616</v>
      </c>
      <c r="E1288" t="s">
        <v>45</v>
      </c>
      <c r="F1288" s="2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 s="2">
        <v>3377</v>
      </c>
      <c r="T1288">
        <v>25605</v>
      </c>
      <c r="U1288">
        <v>4</v>
      </c>
      <c r="V1288" t="s">
        <v>42</v>
      </c>
      <c r="W1288" t="s">
        <v>43</v>
      </c>
      <c r="X1288" s="2">
        <v>17</v>
      </c>
      <c r="Y1288">
        <v>3</v>
      </c>
      <c r="Z1288">
        <v>4</v>
      </c>
      <c r="AA1288">
        <v>80</v>
      </c>
      <c r="AB1288">
        <v>1</v>
      </c>
      <c r="AC1288" s="2">
        <v>7</v>
      </c>
      <c r="AD1288">
        <v>5</v>
      </c>
      <c r="AE1288">
        <v>2</v>
      </c>
      <c r="AF1288" s="2">
        <v>4</v>
      </c>
      <c r="AG1288">
        <v>3</v>
      </c>
      <c r="AH1288">
        <v>0</v>
      </c>
      <c r="AI1288">
        <v>2</v>
      </c>
      <c r="AJ1288" s="2" t="str">
        <f>IF(A1288 A1288 &lt;= 25, "18-25", IF(A1288 &lt;=35, "26-35", IF(A1288 &lt;=45, "36-45", IF(Table3[[#This Row],[Age]] &lt;=55, "46-55", "56+"))))</f>
        <v>36-45</v>
      </c>
      <c r="AK1288" t="str">
        <f t="shared" si="20"/>
        <v>Low</v>
      </c>
      <c r="AL1288" s="2" t="str">
        <f>IF(AF1288 &lt; 3, "0-2 Years", IF(AF1288 &lt;= 5, "3-5 Years", IF(AF1288 &lt;= 10, "6-10 Years",IF(Table3[[#This Row],[Years At Company]]&lt;=20, "11-20 Years","20+ Years"))))</f>
        <v>3-5 Years</v>
      </c>
    </row>
    <row r="1289" spans="1:38" x14ac:dyDescent="0.25">
      <c r="A1289" s="2">
        <v>42</v>
      </c>
      <c r="B1289" t="s">
        <v>43</v>
      </c>
      <c r="C1289" t="s">
        <v>36</v>
      </c>
      <c r="D1289" s="2">
        <v>1128</v>
      </c>
      <c r="E1289" t="s">
        <v>45</v>
      </c>
      <c r="F1289" s="2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 s="2">
        <v>5538</v>
      </c>
      <c r="T1289">
        <v>5696</v>
      </c>
      <c r="U1289">
        <v>5</v>
      </c>
      <c r="V1289" t="s">
        <v>42</v>
      </c>
      <c r="W1289" t="s">
        <v>43</v>
      </c>
      <c r="X1289" s="2">
        <v>18</v>
      </c>
      <c r="Y1289">
        <v>3</v>
      </c>
      <c r="Z1289">
        <v>3</v>
      </c>
      <c r="AA1289">
        <v>80</v>
      </c>
      <c r="AB1289">
        <v>2</v>
      </c>
      <c r="AC1289" s="2">
        <v>10</v>
      </c>
      <c r="AD1289">
        <v>2</v>
      </c>
      <c r="AE1289">
        <v>2</v>
      </c>
      <c r="AF1289" s="2">
        <v>0</v>
      </c>
      <c r="AG1289">
        <v>0</v>
      </c>
      <c r="AH1289">
        <v>0</v>
      </c>
      <c r="AI1289">
        <v>0</v>
      </c>
      <c r="AJ1289" s="2" t="str">
        <f>IF(A1289 A1289 &lt;= 25, "18-25", IF(A1289 &lt;=35, "26-35", IF(A1289 &lt;=45, "36-45", IF(Table3[[#This Row],[Age]] &lt;=55, "46-55", "56+"))))</f>
        <v>36-45</v>
      </c>
      <c r="AK1289" t="str">
        <f t="shared" si="20"/>
        <v>Medium</v>
      </c>
      <c r="AL1289" s="2" t="str">
        <f>IF(AF1289 &lt; 3, "0-2 Years", IF(AF1289 &lt;= 5, "3-5 Years", IF(AF1289 &lt;= 10, "6-10 Years",IF(Table3[[#This Row],[Years At Company]]&lt;=20, "11-20 Years","20+ Years"))))</f>
        <v>0-2 Years</v>
      </c>
    </row>
    <row r="1290" spans="1:38" x14ac:dyDescent="0.25">
      <c r="A1290" s="2">
        <v>35</v>
      </c>
      <c r="B1290" t="s">
        <v>43</v>
      </c>
      <c r="C1290" t="s">
        <v>55</v>
      </c>
      <c r="D1290" s="2">
        <v>1180</v>
      </c>
      <c r="E1290" t="s">
        <v>45</v>
      </c>
      <c r="F1290" s="2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 s="2">
        <v>5762</v>
      </c>
      <c r="T1290">
        <v>24442</v>
      </c>
      <c r="U1290">
        <v>2</v>
      </c>
      <c r="V1290" t="s">
        <v>42</v>
      </c>
      <c r="W1290" t="s">
        <v>43</v>
      </c>
      <c r="X1290" s="2">
        <v>14</v>
      </c>
      <c r="Y1290">
        <v>3</v>
      </c>
      <c r="Z1290">
        <v>3</v>
      </c>
      <c r="AA1290">
        <v>80</v>
      </c>
      <c r="AB1290">
        <v>1</v>
      </c>
      <c r="AC1290" s="2">
        <v>15</v>
      </c>
      <c r="AD1290">
        <v>6</v>
      </c>
      <c r="AE1290">
        <v>3</v>
      </c>
      <c r="AF1290" s="2">
        <v>7</v>
      </c>
      <c r="AG1290">
        <v>7</v>
      </c>
      <c r="AH1290">
        <v>1</v>
      </c>
      <c r="AI1290">
        <v>7</v>
      </c>
      <c r="AJ1290" s="2" t="str">
        <f>IF(A1290 A1290 &lt;= 25, "18-25", IF(A1290 &lt;=35, "26-35", IF(A1290 &lt;=45, "36-45", IF(Table3[[#This Row],[Age]] &lt;=55, "46-55", "56+"))))</f>
        <v>26-35</v>
      </c>
      <c r="AK1290" t="str">
        <f t="shared" si="20"/>
        <v>Medium</v>
      </c>
      <c r="AL1290" s="2" t="str">
        <f>IF(AF1290 &lt; 3, "0-2 Years", IF(AF1290 &lt;= 5, "3-5 Years", IF(AF1290 &lt;= 10, "6-10 Years",IF(Table3[[#This Row],[Years At Company]]&lt;=20, "11-20 Years","20+ Years"))))</f>
        <v>6-10 Years</v>
      </c>
    </row>
    <row r="1291" spans="1:38" x14ac:dyDescent="0.25">
      <c r="A1291" s="2">
        <v>38</v>
      </c>
      <c r="B1291" t="s">
        <v>43</v>
      </c>
      <c r="C1291" t="s">
        <v>55</v>
      </c>
      <c r="D1291" s="2">
        <v>1336</v>
      </c>
      <c r="E1291" t="s">
        <v>61</v>
      </c>
      <c r="F1291" s="2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 s="2">
        <v>2592</v>
      </c>
      <c r="T1291">
        <v>7129</v>
      </c>
      <c r="U1291">
        <v>5</v>
      </c>
      <c r="V1291" t="s">
        <v>42</v>
      </c>
      <c r="W1291" t="s">
        <v>43</v>
      </c>
      <c r="X1291" s="2">
        <v>13</v>
      </c>
      <c r="Y1291">
        <v>3</v>
      </c>
      <c r="Z1291">
        <v>4</v>
      </c>
      <c r="AA1291">
        <v>80</v>
      </c>
      <c r="AB1291">
        <v>3</v>
      </c>
      <c r="AC1291" s="2">
        <v>13</v>
      </c>
      <c r="AD1291">
        <v>3</v>
      </c>
      <c r="AE1291">
        <v>3</v>
      </c>
      <c r="AF1291" s="2">
        <v>11</v>
      </c>
      <c r="AG1291">
        <v>10</v>
      </c>
      <c r="AH1291">
        <v>3</v>
      </c>
      <c r="AI1291">
        <v>8</v>
      </c>
      <c r="AJ1291" s="2" t="str">
        <f>IF(A1291 A1291 &lt;= 25, "18-25", IF(A1291 &lt;=35, "26-35", IF(A1291 &lt;=45, "36-45", IF(Table3[[#This Row],[Age]] &lt;=55, "46-55", "56+"))))</f>
        <v>36-45</v>
      </c>
      <c r="AK1291" t="str">
        <f t="shared" si="20"/>
        <v>Low</v>
      </c>
      <c r="AL1291" s="2" t="str">
        <f>IF(AF1291 &lt; 3, "0-2 Years", IF(AF1291 &lt;= 5, "3-5 Years", IF(AF1291 &lt;= 10, "6-10 Years",IF(Table3[[#This Row],[Years At Company]]&lt;=20, "11-20 Years","20+ Years"))))</f>
        <v>11-20 Years</v>
      </c>
    </row>
    <row r="1292" spans="1:38" x14ac:dyDescent="0.25">
      <c r="A1292" s="2">
        <v>34</v>
      </c>
      <c r="B1292" t="s">
        <v>35</v>
      </c>
      <c r="C1292" t="s">
        <v>44</v>
      </c>
      <c r="D1292" s="2">
        <v>234</v>
      </c>
      <c r="E1292" t="s">
        <v>45</v>
      </c>
      <c r="F1292" s="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 s="2">
        <v>5346</v>
      </c>
      <c r="T1292">
        <v>6208</v>
      </c>
      <c r="U1292">
        <v>4</v>
      </c>
      <c r="V1292" t="s">
        <v>42</v>
      </c>
      <c r="W1292" t="s">
        <v>43</v>
      </c>
      <c r="X1292" s="2">
        <v>17</v>
      </c>
      <c r="Y1292">
        <v>3</v>
      </c>
      <c r="Z1292">
        <v>3</v>
      </c>
      <c r="AA1292">
        <v>80</v>
      </c>
      <c r="AB1292">
        <v>1</v>
      </c>
      <c r="AC1292" s="2">
        <v>11</v>
      </c>
      <c r="AD1292">
        <v>3</v>
      </c>
      <c r="AE1292">
        <v>2</v>
      </c>
      <c r="AF1292" s="2">
        <v>7</v>
      </c>
      <c r="AG1292">
        <v>1</v>
      </c>
      <c r="AH1292">
        <v>0</v>
      </c>
      <c r="AI1292">
        <v>7</v>
      </c>
      <c r="AJ1292" s="2" t="str">
        <f>IF(A1292 A1292 &lt;= 25, "18-25", IF(A1292 &lt;=35, "26-35", IF(A1292 &lt;=45, "36-45", IF(Table3[[#This Row],[Age]] &lt;=55, "46-55", "56+"))))</f>
        <v>26-35</v>
      </c>
      <c r="AK1292" t="str">
        <f t="shared" si="20"/>
        <v>Medium</v>
      </c>
      <c r="AL1292" s="2" t="str">
        <f>IF(AF1292 &lt; 3, "0-2 Years", IF(AF1292 &lt;= 5, "3-5 Years", IF(AF1292 &lt;= 10, "6-10 Years",IF(Table3[[#This Row],[Years At Company]]&lt;=20, "11-20 Years","20+ Years"))))</f>
        <v>6-10 Years</v>
      </c>
    </row>
    <row r="1293" spans="1:38" x14ac:dyDescent="0.25">
      <c r="A1293" s="2">
        <v>37</v>
      </c>
      <c r="B1293" t="s">
        <v>35</v>
      </c>
      <c r="C1293" t="s">
        <v>36</v>
      </c>
      <c r="D1293" s="2">
        <v>370</v>
      </c>
      <c r="E1293" t="s">
        <v>45</v>
      </c>
      <c r="F1293" s="2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 s="2">
        <v>4213</v>
      </c>
      <c r="T1293">
        <v>4992</v>
      </c>
      <c r="U1293">
        <v>1</v>
      </c>
      <c r="V1293" t="s">
        <v>42</v>
      </c>
      <c r="W1293" t="s">
        <v>43</v>
      </c>
      <c r="X1293" s="2">
        <v>15</v>
      </c>
      <c r="Y1293">
        <v>3</v>
      </c>
      <c r="Z1293">
        <v>2</v>
      </c>
      <c r="AA1293">
        <v>80</v>
      </c>
      <c r="AB1293">
        <v>0</v>
      </c>
      <c r="AC1293" s="2">
        <v>10</v>
      </c>
      <c r="AD1293">
        <v>4</v>
      </c>
      <c r="AE1293">
        <v>1</v>
      </c>
      <c r="AF1293" s="2">
        <v>10</v>
      </c>
      <c r="AG1293">
        <v>3</v>
      </c>
      <c r="AH1293">
        <v>0</v>
      </c>
      <c r="AI1293">
        <v>8</v>
      </c>
      <c r="AJ1293" s="2" t="str">
        <f>IF(A1293 A1293 &lt;= 25, "18-25", IF(A1293 &lt;=35, "26-35", IF(A1293 &lt;=45, "36-45", IF(Table3[[#This Row],[Age]] &lt;=55, "46-55", "56+"))))</f>
        <v>36-45</v>
      </c>
      <c r="AK1293" t="str">
        <f t="shared" si="20"/>
        <v>Low</v>
      </c>
      <c r="AL1293" s="2" t="str">
        <f>IF(AF1293 &lt; 3, "0-2 Years", IF(AF1293 &lt;= 5, "3-5 Years", IF(AF1293 &lt;= 10, "6-10 Years",IF(Table3[[#This Row],[Years At Company]]&lt;=20, "11-20 Years","20+ Years"))))</f>
        <v>6-10 Years</v>
      </c>
    </row>
    <row r="1294" spans="1:38" x14ac:dyDescent="0.25">
      <c r="A1294" s="2">
        <v>39</v>
      </c>
      <c r="B1294" t="s">
        <v>43</v>
      </c>
      <c r="C1294" t="s">
        <v>44</v>
      </c>
      <c r="D1294" s="2">
        <v>766</v>
      </c>
      <c r="E1294" t="s">
        <v>37</v>
      </c>
      <c r="F1294" s="2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 s="2">
        <v>4127</v>
      </c>
      <c r="T1294">
        <v>19188</v>
      </c>
      <c r="U1294">
        <v>2</v>
      </c>
      <c r="V1294" t="s">
        <v>42</v>
      </c>
      <c r="W1294" t="s">
        <v>43</v>
      </c>
      <c r="X1294" s="2">
        <v>18</v>
      </c>
      <c r="Y1294">
        <v>3</v>
      </c>
      <c r="Z1294">
        <v>4</v>
      </c>
      <c r="AA1294">
        <v>80</v>
      </c>
      <c r="AB1294">
        <v>1</v>
      </c>
      <c r="AC1294" s="2">
        <v>7</v>
      </c>
      <c r="AD1294">
        <v>6</v>
      </c>
      <c r="AE1294">
        <v>3</v>
      </c>
      <c r="AF1294" s="2">
        <v>2</v>
      </c>
      <c r="AG1294">
        <v>1</v>
      </c>
      <c r="AH1294">
        <v>2</v>
      </c>
      <c r="AI1294">
        <v>2</v>
      </c>
      <c r="AJ1294" s="2" t="str">
        <f>IF(A1294 A1294 &lt;= 25, "18-25", IF(A1294 &lt;=35, "26-35", IF(A1294 &lt;=45, "36-45", IF(Table3[[#This Row],[Age]] &lt;=55, "46-55", "56+"))))</f>
        <v>36-45</v>
      </c>
      <c r="AK1294" t="str">
        <f t="shared" si="20"/>
        <v>Low</v>
      </c>
      <c r="AL1294" s="2" t="str">
        <f>IF(AF1294 &lt; 3, "0-2 Years", IF(AF1294 &lt;= 5, "3-5 Years", IF(AF1294 &lt;= 10, "6-10 Years",IF(Table3[[#This Row],[Years At Company]]&lt;=20, "11-20 Years","20+ Years"))))</f>
        <v>0-2 Years</v>
      </c>
    </row>
    <row r="1295" spans="1:38" x14ac:dyDescent="0.25">
      <c r="A1295" s="2">
        <v>43</v>
      </c>
      <c r="B1295" t="s">
        <v>43</v>
      </c>
      <c r="C1295" t="s">
        <v>55</v>
      </c>
      <c r="D1295" s="2">
        <v>343</v>
      </c>
      <c r="E1295" t="s">
        <v>45</v>
      </c>
      <c r="F1295" s="2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 s="2">
        <v>2438</v>
      </c>
      <c r="T1295">
        <v>24978</v>
      </c>
      <c r="U1295">
        <v>4</v>
      </c>
      <c r="V1295" t="s">
        <v>42</v>
      </c>
      <c r="W1295" t="s">
        <v>43</v>
      </c>
      <c r="X1295" s="2">
        <v>13</v>
      </c>
      <c r="Y1295">
        <v>3</v>
      </c>
      <c r="Z1295">
        <v>3</v>
      </c>
      <c r="AA1295">
        <v>80</v>
      </c>
      <c r="AB1295">
        <v>0</v>
      </c>
      <c r="AC1295" s="2">
        <v>7</v>
      </c>
      <c r="AD1295">
        <v>2</v>
      </c>
      <c r="AE1295">
        <v>2</v>
      </c>
      <c r="AF1295" s="2">
        <v>3</v>
      </c>
      <c r="AG1295">
        <v>2</v>
      </c>
      <c r="AH1295">
        <v>1</v>
      </c>
      <c r="AI1295">
        <v>2</v>
      </c>
      <c r="AJ1295" s="2" t="str">
        <f>IF(A1295 A1295 &lt;= 25, "18-25", IF(A1295 &lt;=35, "26-35", IF(A1295 &lt;=45, "36-45", IF(Table3[[#This Row],[Age]] &lt;=55, "46-55", "56+"))))</f>
        <v>36-45</v>
      </c>
      <c r="AK1295" t="str">
        <f t="shared" si="20"/>
        <v>Low</v>
      </c>
      <c r="AL1295" s="2" t="str">
        <f>IF(AF1295 &lt; 3, "0-2 Years", IF(AF1295 &lt;= 5, "3-5 Years", IF(AF1295 &lt;= 10, "6-10 Years",IF(Table3[[#This Row],[Years At Company]]&lt;=20, "11-20 Years","20+ Years"))))</f>
        <v>3-5 Years</v>
      </c>
    </row>
    <row r="1296" spans="1:38" x14ac:dyDescent="0.25">
      <c r="A1296" s="2">
        <v>41</v>
      </c>
      <c r="B1296" t="s">
        <v>43</v>
      </c>
      <c r="C1296" t="s">
        <v>36</v>
      </c>
      <c r="D1296" s="2">
        <v>447</v>
      </c>
      <c r="E1296" t="s">
        <v>45</v>
      </c>
      <c r="F1296" s="2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 s="2">
        <v>6870</v>
      </c>
      <c r="T1296">
        <v>15530</v>
      </c>
      <c r="U1296">
        <v>3</v>
      </c>
      <c r="V1296" t="s">
        <v>42</v>
      </c>
      <c r="W1296" t="s">
        <v>43</v>
      </c>
      <c r="X1296" s="2">
        <v>12</v>
      </c>
      <c r="Y1296">
        <v>3</v>
      </c>
      <c r="Z1296">
        <v>1</v>
      </c>
      <c r="AA1296">
        <v>80</v>
      </c>
      <c r="AB1296">
        <v>0</v>
      </c>
      <c r="AC1296" s="2">
        <v>11</v>
      </c>
      <c r="AD1296">
        <v>3</v>
      </c>
      <c r="AE1296">
        <v>1</v>
      </c>
      <c r="AF1296" s="2">
        <v>3</v>
      </c>
      <c r="AG1296">
        <v>2</v>
      </c>
      <c r="AH1296">
        <v>1</v>
      </c>
      <c r="AI1296">
        <v>2</v>
      </c>
      <c r="AJ1296" s="2" t="str">
        <f>IF(A1296 A1296 &lt;= 25, "18-25", IF(A1296 &lt;=35, "26-35", IF(A1296 &lt;=45, "36-45", IF(Table3[[#This Row],[Age]] &lt;=55, "46-55", "56+"))))</f>
        <v>36-45</v>
      </c>
      <c r="AK1296" t="str">
        <f t="shared" si="20"/>
        <v>Medium</v>
      </c>
      <c r="AL1296" s="2" t="str">
        <f>IF(AF1296 &lt; 3, "0-2 Years", IF(AF1296 &lt;= 5, "3-5 Years", IF(AF1296 &lt;= 10, "6-10 Years",IF(Table3[[#This Row],[Years At Company]]&lt;=20, "11-20 Years","20+ Years"))))</f>
        <v>3-5 Years</v>
      </c>
    </row>
    <row r="1297" spans="1:38" x14ac:dyDescent="0.25">
      <c r="A1297" s="2">
        <v>41</v>
      </c>
      <c r="B1297" t="s">
        <v>43</v>
      </c>
      <c r="C1297" t="s">
        <v>36</v>
      </c>
      <c r="D1297" s="2">
        <v>796</v>
      </c>
      <c r="E1297" t="s">
        <v>37</v>
      </c>
      <c r="F1297" s="2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 s="2">
        <v>10447</v>
      </c>
      <c r="T1297">
        <v>26458</v>
      </c>
      <c r="U1297">
        <v>0</v>
      </c>
      <c r="V1297" t="s">
        <v>42</v>
      </c>
      <c r="W1297" t="s">
        <v>35</v>
      </c>
      <c r="X1297" s="2">
        <v>13</v>
      </c>
      <c r="Y1297">
        <v>3</v>
      </c>
      <c r="Z1297">
        <v>4</v>
      </c>
      <c r="AA1297">
        <v>80</v>
      </c>
      <c r="AB1297">
        <v>1</v>
      </c>
      <c r="AC1297" s="2">
        <v>23</v>
      </c>
      <c r="AD1297">
        <v>3</v>
      </c>
      <c r="AE1297">
        <v>4</v>
      </c>
      <c r="AF1297" s="2">
        <v>22</v>
      </c>
      <c r="AG1297">
        <v>14</v>
      </c>
      <c r="AH1297">
        <v>13</v>
      </c>
      <c r="AI1297">
        <v>5</v>
      </c>
      <c r="AJ1297" s="2" t="str">
        <f>IF(A1297 A1297 &lt;= 25, "18-25", IF(A1297 &lt;=35, "26-35", IF(A1297 &lt;=45, "36-45", IF(Table3[[#This Row],[Age]] &lt;=55, "46-55", "56+"))))</f>
        <v>36-45</v>
      </c>
      <c r="AK1297" t="str">
        <f t="shared" si="20"/>
        <v>High</v>
      </c>
      <c r="AL1297" s="2" t="str">
        <f>IF(AF1297 &lt; 3, "0-2 Years", IF(AF1297 &lt;= 5, "3-5 Years", IF(AF1297 &lt;= 10, "6-10 Years",IF(Table3[[#This Row],[Years At Company]]&lt;=20, "11-20 Years","20+ Years"))))</f>
        <v>20+ Years</v>
      </c>
    </row>
    <row r="1298" spans="1:38" x14ac:dyDescent="0.25">
      <c r="A1298" s="2">
        <v>30</v>
      </c>
      <c r="B1298" t="s">
        <v>43</v>
      </c>
      <c r="C1298" t="s">
        <v>36</v>
      </c>
      <c r="D1298" s="2">
        <v>1092</v>
      </c>
      <c r="E1298" t="s">
        <v>45</v>
      </c>
      <c r="F1298" s="2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 s="2">
        <v>9667</v>
      </c>
      <c r="T1298">
        <v>2739</v>
      </c>
      <c r="U1298">
        <v>9</v>
      </c>
      <c r="V1298" t="s">
        <v>42</v>
      </c>
      <c r="W1298" t="s">
        <v>43</v>
      </c>
      <c r="X1298" s="2">
        <v>14</v>
      </c>
      <c r="Y1298">
        <v>3</v>
      </c>
      <c r="Z1298">
        <v>2</v>
      </c>
      <c r="AA1298">
        <v>80</v>
      </c>
      <c r="AB1298">
        <v>0</v>
      </c>
      <c r="AC1298" s="2">
        <v>9</v>
      </c>
      <c r="AD1298">
        <v>3</v>
      </c>
      <c r="AE1298">
        <v>3</v>
      </c>
      <c r="AF1298" s="2">
        <v>7</v>
      </c>
      <c r="AG1298">
        <v>7</v>
      </c>
      <c r="AH1298">
        <v>0</v>
      </c>
      <c r="AI1298">
        <v>2</v>
      </c>
      <c r="AJ1298" s="2" t="str">
        <f>IF(A1298 A1298 &lt;= 25, "18-25", IF(A1298 &lt;=35, "26-35", IF(A1298 &lt;=45, "36-45", IF(Table3[[#This Row],[Age]] &lt;=55, "46-55", "56+"))))</f>
        <v>26-35</v>
      </c>
      <c r="AK1298" t="str">
        <f t="shared" si="20"/>
        <v>Medium</v>
      </c>
      <c r="AL1298" s="2" t="str">
        <f>IF(AF1298 &lt; 3, "0-2 Years", IF(AF1298 &lt;= 5, "3-5 Years", IF(AF1298 &lt;= 10, "6-10 Years",IF(Table3[[#This Row],[Years At Company]]&lt;=20, "11-20 Years","20+ Years"))))</f>
        <v>6-10 Years</v>
      </c>
    </row>
    <row r="1299" spans="1:38" x14ac:dyDescent="0.25">
      <c r="A1299" s="2">
        <v>26</v>
      </c>
      <c r="B1299" t="s">
        <v>35</v>
      </c>
      <c r="C1299" t="s">
        <v>36</v>
      </c>
      <c r="D1299" s="2">
        <v>920</v>
      </c>
      <c r="E1299" t="s">
        <v>61</v>
      </c>
      <c r="F1299" s="2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 s="2">
        <v>2148</v>
      </c>
      <c r="T1299">
        <v>6889</v>
      </c>
      <c r="U1299">
        <v>0</v>
      </c>
      <c r="V1299" t="s">
        <v>42</v>
      </c>
      <c r="W1299" t="s">
        <v>35</v>
      </c>
      <c r="X1299" s="2">
        <v>11</v>
      </c>
      <c r="Y1299">
        <v>3</v>
      </c>
      <c r="Z1299">
        <v>3</v>
      </c>
      <c r="AA1299">
        <v>80</v>
      </c>
      <c r="AB1299">
        <v>0</v>
      </c>
      <c r="AC1299" s="2">
        <v>6</v>
      </c>
      <c r="AD1299">
        <v>3</v>
      </c>
      <c r="AE1299">
        <v>3</v>
      </c>
      <c r="AF1299" s="2">
        <v>5</v>
      </c>
      <c r="AG1299">
        <v>1</v>
      </c>
      <c r="AH1299">
        <v>1</v>
      </c>
      <c r="AI1299">
        <v>4</v>
      </c>
      <c r="AJ1299" s="2" t="str">
        <f>IF(A1299 A1299 &lt;= 25, "18-25", IF(A1299 &lt;=35, "26-35", IF(A1299 &lt;=45, "36-45", IF(Table3[[#This Row],[Age]] &lt;=55, "46-55", "56+"))))</f>
        <v>26-35</v>
      </c>
      <c r="AK1299" t="str">
        <f t="shared" si="20"/>
        <v>Low</v>
      </c>
      <c r="AL1299" s="2" t="str">
        <f>IF(AF1299 &lt; 3, "0-2 Years", IF(AF1299 &lt;= 5, "3-5 Years", IF(AF1299 &lt;= 10, "6-10 Years",IF(Table3[[#This Row],[Years At Company]]&lt;=20, "11-20 Years","20+ Years"))))</f>
        <v>3-5 Years</v>
      </c>
    </row>
    <row r="1300" spans="1:38" x14ac:dyDescent="0.25">
      <c r="A1300" s="2">
        <v>46</v>
      </c>
      <c r="B1300" t="s">
        <v>35</v>
      </c>
      <c r="C1300" t="s">
        <v>36</v>
      </c>
      <c r="D1300" s="2">
        <v>261</v>
      </c>
      <c r="E1300" t="s">
        <v>45</v>
      </c>
      <c r="F1300" s="2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 s="2">
        <v>8926</v>
      </c>
      <c r="T1300">
        <v>10842</v>
      </c>
      <c r="U1300">
        <v>4</v>
      </c>
      <c r="V1300" t="s">
        <v>42</v>
      </c>
      <c r="W1300" t="s">
        <v>43</v>
      </c>
      <c r="X1300" s="2">
        <v>22</v>
      </c>
      <c r="Y1300">
        <v>4</v>
      </c>
      <c r="Z1300">
        <v>4</v>
      </c>
      <c r="AA1300">
        <v>80</v>
      </c>
      <c r="AB1300">
        <v>1</v>
      </c>
      <c r="AC1300" s="2">
        <v>13</v>
      </c>
      <c r="AD1300">
        <v>2</v>
      </c>
      <c r="AE1300">
        <v>4</v>
      </c>
      <c r="AF1300" s="2">
        <v>9</v>
      </c>
      <c r="AG1300">
        <v>7</v>
      </c>
      <c r="AH1300">
        <v>3</v>
      </c>
      <c r="AI1300">
        <v>7</v>
      </c>
      <c r="AJ1300" s="2" t="str">
        <f>IF(A1300 A1300 &lt;= 25, "18-25", IF(A1300 &lt;=35, "26-35", IF(A1300 &lt;=45, "36-45", IF(Table3[[#This Row],[Age]] &lt;=55, "46-55", "56+"))))</f>
        <v>46-55</v>
      </c>
      <c r="AK1300" t="str">
        <f t="shared" si="20"/>
        <v>Medium</v>
      </c>
      <c r="AL1300" s="2" t="str">
        <f>IF(AF1300 &lt; 3, "0-2 Years", IF(AF1300 &lt;= 5, "3-5 Years", IF(AF1300 &lt;= 10, "6-10 Years",IF(Table3[[#This Row],[Years At Company]]&lt;=20, "11-20 Years","20+ Years"))))</f>
        <v>6-10 Years</v>
      </c>
    </row>
    <row r="1301" spans="1:38" x14ac:dyDescent="0.25">
      <c r="A1301" s="2">
        <v>40</v>
      </c>
      <c r="B1301" t="s">
        <v>43</v>
      </c>
      <c r="C1301" t="s">
        <v>36</v>
      </c>
      <c r="D1301" s="2">
        <v>1194</v>
      </c>
      <c r="E1301" t="s">
        <v>45</v>
      </c>
      <c r="F1301" s="2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 s="2">
        <v>6513</v>
      </c>
      <c r="T1301">
        <v>9060</v>
      </c>
      <c r="U1301">
        <v>4</v>
      </c>
      <c r="V1301" t="s">
        <v>42</v>
      </c>
      <c r="W1301" t="s">
        <v>43</v>
      </c>
      <c r="X1301" s="2">
        <v>17</v>
      </c>
      <c r="Y1301">
        <v>3</v>
      </c>
      <c r="Z1301">
        <v>4</v>
      </c>
      <c r="AA1301">
        <v>80</v>
      </c>
      <c r="AB1301">
        <v>1</v>
      </c>
      <c r="AC1301" s="2">
        <v>12</v>
      </c>
      <c r="AD1301">
        <v>3</v>
      </c>
      <c r="AE1301">
        <v>3</v>
      </c>
      <c r="AF1301" s="2">
        <v>5</v>
      </c>
      <c r="AG1301">
        <v>3</v>
      </c>
      <c r="AH1301">
        <v>0</v>
      </c>
      <c r="AI1301">
        <v>3</v>
      </c>
      <c r="AJ1301" s="2" t="str">
        <f>IF(A1301 A1301 &lt;= 25, "18-25", IF(A1301 &lt;=35, "26-35", IF(A1301 &lt;=45, "36-45", IF(Table3[[#This Row],[Age]] &lt;=55, "46-55", "56+"))))</f>
        <v>36-45</v>
      </c>
      <c r="AK1301" t="str">
        <f t="shared" si="20"/>
        <v>Medium</v>
      </c>
      <c r="AL1301" s="2" t="str">
        <f>IF(AF1301 &lt; 3, "0-2 Years", IF(AF1301 &lt;= 5, "3-5 Years", IF(AF1301 &lt;= 10, "6-10 Years",IF(Table3[[#This Row],[Years At Company]]&lt;=20, "11-20 Years","20+ Years"))))</f>
        <v>3-5 Years</v>
      </c>
    </row>
    <row r="1302" spans="1:38" x14ac:dyDescent="0.25">
      <c r="A1302" s="2">
        <v>34</v>
      </c>
      <c r="B1302" t="s">
        <v>43</v>
      </c>
      <c r="C1302" t="s">
        <v>36</v>
      </c>
      <c r="D1302" s="2">
        <v>810</v>
      </c>
      <c r="E1302" t="s">
        <v>37</v>
      </c>
      <c r="F1302" s="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 s="2">
        <v>6799</v>
      </c>
      <c r="T1302">
        <v>22128</v>
      </c>
      <c r="U1302">
        <v>1</v>
      </c>
      <c r="V1302" t="s">
        <v>42</v>
      </c>
      <c r="W1302" t="s">
        <v>43</v>
      </c>
      <c r="X1302" s="2">
        <v>21</v>
      </c>
      <c r="Y1302">
        <v>4</v>
      </c>
      <c r="Z1302">
        <v>3</v>
      </c>
      <c r="AA1302">
        <v>80</v>
      </c>
      <c r="AB1302">
        <v>2</v>
      </c>
      <c r="AC1302" s="2">
        <v>10</v>
      </c>
      <c r="AD1302">
        <v>5</v>
      </c>
      <c r="AE1302">
        <v>3</v>
      </c>
      <c r="AF1302" s="2">
        <v>10</v>
      </c>
      <c r="AG1302">
        <v>8</v>
      </c>
      <c r="AH1302">
        <v>4</v>
      </c>
      <c r="AI1302">
        <v>8</v>
      </c>
      <c r="AJ1302" s="2" t="str">
        <f>IF(A1302 A1302 &lt;= 25, "18-25", IF(A1302 &lt;=35, "26-35", IF(A1302 &lt;=45, "36-45", IF(Table3[[#This Row],[Age]] &lt;=55, "46-55", "56+"))))</f>
        <v>26-35</v>
      </c>
      <c r="AK1302" t="str">
        <f t="shared" si="20"/>
        <v>Medium</v>
      </c>
      <c r="AL1302" s="2" t="str">
        <f>IF(AF1302 &lt; 3, "0-2 Years", IF(AF1302 &lt;= 5, "3-5 Years", IF(AF1302 &lt;= 10, "6-10 Years",IF(Table3[[#This Row],[Years At Company]]&lt;=20, "11-20 Years","20+ Years"))))</f>
        <v>6-10 Years</v>
      </c>
    </row>
    <row r="1303" spans="1:38" x14ac:dyDescent="0.25">
      <c r="A1303" s="2">
        <v>58</v>
      </c>
      <c r="B1303" t="s">
        <v>43</v>
      </c>
      <c r="C1303" t="s">
        <v>55</v>
      </c>
      <c r="D1303" s="2">
        <v>350</v>
      </c>
      <c r="E1303" t="s">
        <v>37</v>
      </c>
      <c r="F1303" s="2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 s="2">
        <v>16291</v>
      </c>
      <c r="T1303">
        <v>22577</v>
      </c>
      <c r="U1303">
        <v>4</v>
      </c>
      <c r="V1303" t="s">
        <v>42</v>
      </c>
      <c r="W1303" t="s">
        <v>43</v>
      </c>
      <c r="X1303" s="2">
        <v>22</v>
      </c>
      <c r="Y1303">
        <v>4</v>
      </c>
      <c r="Z1303">
        <v>4</v>
      </c>
      <c r="AA1303">
        <v>80</v>
      </c>
      <c r="AB1303">
        <v>1</v>
      </c>
      <c r="AC1303" s="2">
        <v>37</v>
      </c>
      <c r="AD1303">
        <v>0</v>
      </c>
      <c r="AE1303">
        <v>2</v>
      </c>
      <c r="AF1303" s="2">
        <v>16</v>
      </c>
      <c r="AG1303">
        <v>9</v>
      </c>
      <c r="AH1303">
        <v>14</v>
      </c>
      <c r="AI1303">
        <v>14</v>
      </c>
      <c r="AJ1303" s="2" t="str">
        <f>IF(A1303 A1303 &lt;= 25, "18-25", IF(A1303 &lt;=35, "26-35", IF(A1303 &lt;=45, "36-45", IF(Table3[[#This Row],[Age]] &lt;=55, "46-55", "56+"))))</f>
        <v>56+</v>
      </c>
      <c r="AK1303" t="str">
        <f t="shared" si="20"/>
        <v>High</v>
      </c>
      <c r="AL1303" s="2" t="str">
        <f>IF(AF1303 &lt; 3, "0-2 Years", IF(AF1303 &lt;= 5, "3-5 Years", IF(AF1303 &lt;= 10, "6-10 Years",IF(Table3[[#This Row],[Years At Company]]&lt;=20, "11-20 Years","20+ Years"))))</f>
        <v>11-20 Years</v>
      </c>
    </row>
    <row r="1304" spans="1:38" x14ac:dyDescent="0.25">
      <c r="A1304" s="2">
        <v>35</v>
      </c>
      <c r="B1304" t="s">
        <v>43</v>
      </c>
      <c r="C1304" t="s">
        <v>36</v>
      </c>
      <c r="D1304" s="2">
        <v>185</v>
      </c>
      <c r="E1304" t="s">
        <v>45</v>
      </c>
      <c r="F1304" s="2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 s="2">
        <v>2705</v>
      </c>
      <c r="T1304">
        <v>9696</v>
      </c>
      <c r="U1304">
        <v>0</v>
      </c>
      <c r="V1304" t="s">
        <v>42</v>
      </c>
      <c r="W1304" t="s">
        <v>43</v>
      </c>
      <c r="X1304" s="2">
        <v>16</v>
      </c>
      <c r="Y1304">
        <v>3</v>
      </c>
      <c r="Z1304">
        <v>2</v>
      </c>
      <c r="AA1304">
        <v>80</v>
      </c>
      <c r="AB1304">
        <v>1</v>
      </c>
      <c r="AC1304" s="2">
        <v>6</v>
      </c>
      <c r="AD1304">
        <v>2</v>
      </c>
      <c r="AE1304">
        <v>4</v>
      </c>
      <c r="AF1304" s="2">
        <v>5</v>
      </c>
      <c r="AG1304">
        <v>4</v>
      </c>
      <c r="AH1304">
        <v>0</v>
      </c>
      <c r="AI1304">
        <v>3</v>
      </c>
      <c r="AJ1304" s="2" t="str">
        <f>IF(A1304 A1304 &lt;= 25, "18-25", IF(A1304 &lt;=35, "26-35", IF(A1304 &lt;=45, "36-45", IF(Table3[[#This Row],[Age]] &lt;=55, "46-55", "56+"))))</f>
        <v>26-35</v>
      </c>
      <c r="AK1304" t="str">
        <f t="shared" si="20"/>
        <v>Low</v>
      </c>
      <c r="AL1304" s="2" t="str">
        <f>IF(AF1304 &lt; 3, "0-2 Years", IF(AF1304 &lt;= 5, "3-5 Years", IF(AF1304 &lt;= 10, "6-10 Years",IF(Table3[[#This Row],[Years At Company]]&lt;=20, "11-20 Years","20+ Years"))))</f>
        <v>3-5 Years</v>
      </c>
    </row>
    <row r="1305" spans="1:38" x14ac:dyDescent="0.25">
      <c r="A1305" s="2">
        <v>47</v>
      </c>
      <c r="B1305" t="s">
        <v>43</v>
      </c>
      <c r="C1305" t="s">
        <v>36</v>
      </c>
      <c r="D1305" s="2">
        <v>1001</v>
      </c>
      <c r="E1305" t="s">
        <v>45</v>
      </c>
      <c r="F1305" s="2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 s="2">
        <v>10333</v>
      </c>
      <c r="T1305">
        <v>19271</v>
      </c>
      <c r="U1305">
        <v>8</v>
      </c>
      <c r="V1305" t="s">
        <v>42</v>
      </c>
      <c r="W1305" t="s">
        <v>35</v>
      </c>
      <c r="X1305" s="2">
        <v>12</v>
      </c>
      <c r="Y1305">
        <v>3</v>
      </c>
      <c r="Z1305">
        <v>3</v>
      </c>
      <c r="AA1305">
        <v>80</v>
      </c>
      <c r="AB1305">
        <v>1</v>
      </c>
      <c r="AC1305" s="2">
        <v>28</v>
      </c>
      <c r="AD1305">
        <v>4</v>
      </c>
      <c r="AE1305">
        <v>3</v>
      </c>
      <c r="AF1305" s="2">
        <v>22</v>
      </c>
      <c r="AG1305">
        <v>11</v>
      </c>
      <c r="AH1305">
        <v>14</v>
      </c>
      <c r="AI1305">
        <v>10</v>
      </c>
      <c r="AJ1305" s="2" t="str">
        <f>IF(A1305 A1305 &lt;= 25, "18-25", IF(A1305 &lt;=35, "26-35", IF(A1305 &lt;=45, "36-45", IF(Table3[[#This Row],[Age]] &lt;=55, "46-55", "56+"))))</f>
        <v>46-55</v>
      </c>
      <c r="AK1305" t="str">
        <f t="shared" si="20"/>
        <v>High</v>
      </c>
      <c r="AL1305" s="2" t="str">
        <f>IF(AF1305 &lt; 3, "0-2 Years", IF(AF1305 &lt;= 5, "3-5 Years", IF(AF1305 &lt;= 10, "6-10 Years",IF(Table3[[#This Row],[Years At Company]]&lt;=20, "11-20 Years","20+ Years"))))</f>
        <v>20+ Years</v>
      </c>
    </row>
    <row r="1306" spans="1:38" x14ac:dyDescent="0.25">
      <c r="A1306" s="2">
        <v>40</v>
      </c>
      <c r="B1306" t="s">
        <v>43</v>
      </c>
      <c r="C1306" t="s">
        <v>36</v>
      </c>
      <c r="D1306" s="2">
        <v>750</v>
      </c>
      <c r="E1306" t="s">
        <v>45</v>
      </c>
      <c r="F1306" s="2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 s="2">
        <v>4448</v>
      </c>
      <c r="T1306">
        <v>10748</v>
      </c>
      <c r="U1306">
        <v>2</v>
      </c>
      <c r="V1306" t="s">
        <v>42</v>
      </c>
      <c r="W1306" t="s">
        <v>43</v>
      </c>
      <c r="X1306" s="2">
        <v>12</v>
      </c>
      <c r="Y1306">
        <v>3</v>
      </c>
      <c r="Z1306">
        <v>2</v>
      </c>
      <c r="AA1306">
        <v>80</v>
      </c>
      <c r="AB1306">
        <v>1</v>
      </c>
      <c r="AC1306" s="2">
        <v>15</v>
      </c>
      <c r="AD1306">
        <v>3</v>
      </c>
      <c r="AE1306">
        <v>3</v>
      </c>
      <c r="AF1306" s="2">
        <v>7</v>
      </c>
      <c r="AG1306">
        <v>4</v>
      </c>
      <c r="AH1306">
        <v>7</v>
      </c>
      <c r="AI1306">
        <v>7</v>
      </c>
      <c r="AJ1306" s="2" t="str">
        <f>IF(A1306 A1306 &lt;= 25, "18-25", IF(A1306 &lt;=35, "26-35", IF(A1306 &lt;=45, "36-45", IF(Table3[[#This Row],[Age]] &lt;=55, "46-55", "56+"))))</f>
        <v>36-45</v>
      </c>
      <c r="AK1306" t="str">
        <f t="shared" si="20"/>
        <v>Low</v>
      </c>
      <c r="AL1306" s="2" t="str">
        <f>IF(AF1306 &lt; 3, "0-2 Years", IF(AF1306 &lt;= 5, "3-5 Years", IF(AF1306 &lt;= 10, "6-10 Years",IF(Table3[[#This Row],[Years At Company]]&lt;=20, "11-20 Years","20+ Years"))))</f>
        <v>6-10 Years</v>
      </c>
    </row>
    <row r="1307" spans="1:38" x14ac:dyDescent="0.25">
      <c r="A1307" s="2">
        <v>54</v>
      </c>
      <c r="B1307" t="s">
        <v>43</v>
      </c>
      <c r="C1307" t="s">
        <v>36</v>
      </c>
      <c r="D1307" s="2">
        <v>431</v>
      </c>
      <c r="E1307" t="s">
        <v>45</v>
      </c>
      <c r="F1307" s="2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 s="2">
        <v>6854</v>
      </c>
      <c r="T1307">
        <v>15696</v>
      </c>
      <c r="U1307">
        <v>4</v>
      </c>
      <c r="V1307" t="s">
        <v>42</v>
      </c>
      <c r="W1307" t="s">
        <v>43</v>
      </c>
      <c r="X1307" s="2">
        <v>15</v>
      </c>
      <c r="Y1307">
        <v>3</v>
      </c>
      <c r="Z1307">
        <v>2</v>
      </c>
      <c r="AA1307">
        <v>80</v>
      </c>
      <c r="AB1307">
        <v>1</v>
      </c>
      <c r="AC1307" s="2">
        <v>14</v>
      </c>
      <c r="AD1307">
        <v>2</v>
      </c>
      <c r="AE1307">
        <v>2</v>
      </c>
      <c r="AF1307" s="2">
        <v>7</v>
      </c>
      <c r="AG1307">
        <v>1</v>
      </c>
      <c r="AH1307">
        <v>1</v>
      </c>
      <c r="AI1307">
        <v>7</v>
      </c>
      <c r="AJ1307" s="2" t="str">
        <f>IF(A1307 A1307 &lt;= 25, "18-25", IF(A1307 &lt;=35, "26-35", IF(A1307 &lt;=45, "36-45", IF(Table3[[#This Row],[Age]] &lt;=55, "46-55", "56+"))))</f>
        <v>46-55</v>
      </c>
      <c r="AK1307" t="str">
        <f t="shared" si="20"/>
        <v>Medium</v>
      </c>
      <c r="AL1307" s="2" t="str">
        <f>IF(AF1307 &lt; 3, "0-2 Years", IF(AF1307 &lt;= 5, "3-5 Years", IF(AF1307 &lt;= 10, "6-10 Years",IF(Table3[[#This Row],[Years At Company]]&lt;=20, "11-20 Years","20+ Years"))))</f>
        <v>6-10 Years</v>
      </c>
    </row>
    <row r="1308" spans="1:38" x14ac:dyDescent="0.25">
      <c r="A1308" s="2">
        <v>31</v>
      </c>
      <c r="B1308" t="s">
        <v>43</v>
      </c>
      <c r="C1308" t="s">
        <v>44</v>
      </c>
      <c r="D1308" s="2">
        <v>1125</v>
      </c>
      <c r="E1308" t="s">
        <v>37</v>
      </c>
      <c r="F1308" s="2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 s="2">
        <v>9637</v>
      </c>
      <c r="T1308">
        <v>8277</v>
      </c>
      <c r="U1308">
        <v>2</v>
      </c>
      <c r="V1308" t="s">
        <v>42</v>
      </c>
      <c r="W1308" t="s">
        <v>43</v>
      </c>
      <c r="X1308" s="2">
        <v>14</v>
      </c>
      <c r="Y1308">
        <v>3</v>
      </c>
      <c r="Z1308">
        <v>4</v>
      </c>
      <c r="AA1308">
        <v>80</v>
      </c>
      <c r="AB1308">
        <v>2</v>
      </c>
      <c r="AC1308" s="2">
        <v>9</v>
      </c>
      <c r="AD1308">
        <v>3</v>
      </c>
      <c r="AE1308">
        <v>3</v>
      </c>
      <c r="AF1308" s="2">
        <v>3</v>
      </c>
      <c r="AG1308">
        <v>2</v>
      </c>
      <c r="AH1308">
        <v>2</v>
      </c>
      <c r="AI1308">
        <v>2</v>
      </c>
      <c r="AJ1308" s="2" t="str">
        <f>IF(A1308 A1308 &lt;= 25, "18-25", IF(A1308 &lt;=35, "26-35", IF(A1308 &lt;=45, "36-45", IF(Table3[[#This Row],[Age]] &lt;=55, "46-55", "56+"))))</f>
        <v>26-35</v>
      </c>
      <c r="AK1308" t="str">
        <f t="shared" si="20"/>
        <v>Medium</v>
      </c>
      <c r="AL1308" s="2" t="str">
        <f>IF(AF1308 &lt; 3, "0-2 Years", IF(AF1308 &lt;= 5, "3-5 Years", IF(AF1308 &lt;= 10, "6-10 Years",IF(Table3[[#This Row],[Years At Company]]&lt;=20, "11-20 Years","20+ Years"))))</f>
        <v>3-5 Years</v>
      </c>
    </row>
    <row r="1309" spans="1:38" x14ac:dyDescent="0.25">
      <c r="A1309" s="2">
        <v>28</v>
      </c>
      <c r="B1309" t="s">
        <v>43</v>
      </c>
      <c r="C1309" t="s">
        <v>36</v>
      </c>
      <c r="D1309" s="2">
        <v>1217</v>
      </c>
      <c r="E1309" t="s">
        <v>45</v>
      </c>
      <c r="F1309" s="2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 s="2">
        <v>3591</v>
      </c>
      <c r="T1309">
        <v>12719</v>
      </c>
      <c r="U1309">
        <v>1</v>
      </c>
      <c r="V1309" t="s">
        <v>42</v>
      </c>
      <c r="W1309" t="s">
        <v>43</v>
      </c>
      <c r="X1309" s="2">
        <v>25</v>
      </c>
      <c r="Y1309">
        <v>4</v>
      </c>
      <c r="Z1309">
        <v>3</v>
      </c>
      <c r="AA1309">
        <v>80</v>
      </c>
      <c r="AB1309">
        <v>1</v>
      </c>
      <c r="AC1309" s="2">
        <v>3</v>
      </c>
      <c r="AD1309">
        <v>3</v>
      </c>
      <c r="AE1309">
        <v>3</v>
      </c>
      <c r="AF1309" s="2">
        <v>3</v>
      </c>
      <c r="AG1309">
        <v>2</v>
      </c>
      <c r="AH1309">
        <v>1</v>
      </c>
      <c r="AI1309">
        <v>2</v>
      </c>
      <c r="AJ1309" s="2" t="str">
        <f>IF(A1309 A1309 &lt;= 25, "18-25", IF(A1309 &lt;=35, "26-35", IF(A1309 &lt;=45, "36-45", IF(Table3[[#This Row],[Age]] &lt;=55, "46-55", "56+"))))</f>
        <v>26-35</v>
      </c>
      <c r="AK1309" t="str">
        <f t="shared" si="20"/>
        <v>Low</v>
      </c>
      <c r="AL1309" s="2" t="str">
        <f>IF(AF1309 &lt; 3, "0-2 Years", IF(AF1309 &lt;= 5, "3-5 Years", IF(AF1309 &lt;= 10, "6-10 Years",IF(Table3[[#This Row],[Years At Company]]&lt;=20, "11-20 Years","20+ Years"))))</f>
        <v>3-5 Years</v>
      </c>
    </row>
    <row r="1310" spans="1:38" x14ac:dyDescent="0.25">
      <c r="A1310" s="2">
        <v>38</v>
      </c>
      <c r="B1310" t="s">
        <v>43</v>
      </c>
      <c r="C1310" t="s">
        <v>36</v>
      </c>
      <c r="D1310" s="2">
        <v>723</v>
      </c>
      <c r="E1310" t="s">
        <v>37</v>
      </c>
      <c r="F1310" s="2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 s="2">
        <v>5405</v>
      </c>
      <c r="T1310">
        <v>4244</v>
      </c>
      <c r="U1310">
        <v>2</v>
      </c>
      <c r="V1310" t="s">
        <v>42</v>
      </c>
      <c r="W1310" t="s">
        <v>35</v>
      </c>
      <c r="X1310" s="2">
        <v>20</v>
      </c>
      <c r="Y1310">
        <v>4</v>
      </c>
      <c r="Z1310">
        <v>1</v>
      </c>
      <c r="AA1310">
        <v>80</v>
      </c>
      <c r="AB1310">
        <v>2</v>
      </c>
      <c r="AC1310" s="2">
        <v>20</v>
      </c>
      <c r="AD1310">
        <v>4</v>
      </c>
      <c r="AE1310">
        <v>2</v>
      </c>
      <c r="AF1310" s="2">
        <v>4</v>
      </c>
      <c r="AG1310">
        <v>2</v>
      </c>
      <c r="AH1310">
        <v>0</v>
      </c>
      <c r="AI1310">
        <v>3</v>
      </c>
      <c r="AJ1310" s="2" t="str">
        <f>IF(A1310 A1310 &lt;= 25, "18-25", IF(A1310 &lt;=35, "26-35", IF(A1310 &lt;=45, "36-45", IF(Table3[[#This Row],[Age]] &lt;=55, "46-55", "56+"))))</f>
        <v>36-45</v>
      </c>
      <c r="AK1310" t="str">
        <f t="shared" si="20"/>
        <v>Medium</v>
      </c>
      <c r="AL1310" s="2" t="str">
        <f>IF(AF1310 &lt; 3, "0-2 Years", IF(AF1310 &lt;= 5, "3-5 Years", IF(AF1310 &lt;= 10, "6-10 Years",IF(Table3[[#This Row],[Years At Company]]&lt;=20, "11-20 Years","20+ Years"))))</f>
        <v>3-5 Years</v>
      </c>
    </row>
    <row r="1311" spans="1:38" x14ac:dyDescent="0.25">
      <c r="A1311" s="2">
        <v>26</v>
      </c>
      <c r="B1311" t="s">
        <v>43</v>
      </c>
      <c r="C1311" t="s">
        <v>36</v>
      </c>
      <c r="D1311" s="2">
        <v>572</v>
      </c>
      <c r="E1311" t="s">
        <v>37</v>
      </c>
      <c r="F1311" s="2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 s="2">
        <v>4684</v>
      </c>
      <c r="T1311">
        <v>9125</v>
      </c>
      <c r="U1311">
        <v>1</v>
      </c>
      <c r="V1311" t="s">
        <v>42</v>
      </c>
      <c r="W1311" t="s">
        <v>43</v>
      </c>
      <c r="X1311" s="2">
        <v>13</v>
      </c>
      <c r="Y1311">
        <v>3</v>
      </c>
      <c r="Z1311">
        <v>1</v>
      </c>
      <c r="AA1311">
        <v>80</v>
      </c>
      <c r="AB1311">
        <v>0</v>
      </c>
      <c r="AC1311" s="2">
        <v>5</v>
      </c>
      <c r="AD1311">
        <v>4</v>
      </c>
      <c r="AE1311">
        <v>3</v>
      </c>
      <c r="AF1311" s="2">
        <v>5</v>
      </c>
      <c r="AG1311">
        <v>3</v>
      </c>
      <c r="AH1311">
        <v>1</v>
      </c>
      <c r="AI1311">
        <v>2</v>
      </c>
      <c r="AJ1311" s="2" t="str">
        <f>IF(A1311 A1311 &lt;= 25, "18-25", IF(A1311 &lt;=35, "26-35", IF(A1311 &lt;=45, "36-45", IF(Table3[[#This Row],[Age]] &lt;=55, "46-55", "56+"))))</f>
        <v>26-35</v>
      </c>
      <c r="AK1311" t="str">
        <f t="shared" si="20"/>
        <v>Low</v>
      </c>
      <c r="AL1311" s="2" t="str">
        <f>IF(AF1311 &lt; 3, "0-2 Years", IF(AF1311 &lt;= 5, "3-5 Years", IF(AF1311 &lt;= 10, "6-10 Years",IF(Table3[[#This Row],[Years At Company]]&lt;=20, "11-20 Years","20+ Years"))))</f>
        <v>3-5 Years</v>
      </c>
    </row>
    <row r="1312" spans="1:38" x14ac:dyDescent="0.25">
      <c r="A1312" s="2">
        <v>58</v>
      </c>
      <c r="B1312" t="s">
        <v>43</v>
      </c>
      <c r="C1312" t="s">
        <v>44</v>
      </c>
      <c r="D1312" s="2">
        <v>1216</v>
      </c>
      <c r="E1312" t="s">
        <v>45</v>
      </c>
      <c r="F1312" s="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 s="2">
        <v>15787</v>
      </c>
      <c r="T1312">
        <v>21624</v>
      </c>
      <c r="U1312">
        <v>2</v>
      </c>
      <c r="V1312" t="s">
        <v>42</v>
      </c>
      <c r="W1312" t="s">
        <v>35</v>
      </c>
      <c r="X1312" s="2">
        <v>14</v>
      </c>
      <c r="Y1312">
        <v>3</v>
      </c>
      <c r="Z1312">
        <v>2</v>
      </c>
      <c r="AA1312">
        <v>80</v>
      </c>
      <c r="AB1312">
        <v>0</v>
      </c>
      <c r="AC1312" s="2">
        <v>23</v>
      </c>
      <c r="AD1312">
        <v>3</v>
      </c>
      <c r="AE1312">
        <v>3</v>
      </c>
      <c r="AF1312" s="2">
        <v>2</v>
      </c>
      <c r="AG1312">
        <v>2</v>
      </c>
      <c r="AH1312">
        <v>2</v>
      </c>
      <c r="AI1312">
        <v>2</v>
      </c>
      <c r="AJ1312" s="2" t="str">
        <f>IF(A1312 A1312 &lt;= 25, "18-25", IF(A1312 &lt;=35, "26-35", IF(A1312 &lt;=45, "36-45", IF(Table3[[#This Row],[Age]] &lt;=55, "46-55", "56+"))))</f>
        <v>56+</v>
      </c>
      <c r="AK1312" t="str">
        <f t="shared" si="20"/>
        <v>High</v>
      </c>
      <c r="AL1312" s="2" t="str">
        <f>IF(AF1312 &lt; 3, "0-2 Years", IF(AF1312 &lt;= 5, "3-5 Years", IF(AF1312 &lt;= 10, "6-10 Years",IF(Table3[[#This Row],[Years At Company]]&lt;=20, "11-20 Years","20+ Years"))))</f>
        <v>0-2 Years</v>
      </c>
    </row>
    <row r="1313" spans="1:38" x14ac:dyDescent="0.25">
      <c r="A1313" s="2">
        <v>18</v>
      </c>
      <c r="B1313" t="s">
        <v>43</v>
      </c>
      <c r="C1313" t="s">
        <v>55</v>
      </c>
      <c r="D1313" s="2">
        <v>1431</v>
      </c>
      <c r="E1313" t="s">
        <v>45</v>
      </c>
      <c r="F1313" s="2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 s="2">
        <v>1514</v>
      </c>
      <c r="T1313">
        <v>8018</v>
      </c>
      <c r="U1313">
        <v>1</v>
      </c>
      <c r="V1313" t="s">
        <v>42</v>
      </c>
      <c r="W1313" t="s">
        <v>43</v>
      </c>
      <c r="X1313" s="2">
        <v>16</v>
      </c>
      <c r="Y1313">
        <v>3</v>
      </c>
      <c r="Z1313">
        <v>3</v>
      </c>
      <c r="AA1313">
        <v>80</v>
      </c>
      <c r="AB1313">
        <v>0</v>
      </c>
      <c r="AC1313" s="2">
        <v>0</v>
      </c>
      <c r="AD1313">
        <v>4</v>
      </c>
      <c r="AE1313">
        <v>1</v>
      </c>
      <c r="AF1313" s="2">
        <v>0</v>
      </c>
      <c r="AG1313">
        <v>0</v>
      </c>
      <c r="AH1313">
        <v>0</v>
      </c>
      <c r="AI1313">
        <v>0</v>
      </c>
      <c r="AJ1313" s="2" t="str">
        <f>IF(A1313 A1313 &lt;= 25, "18-25", IF(A1313 &lt;=35, "26-35", IF(A1313 &lt;=45, "36-45", IF(Table3[[#This Row],[Age]] &lt;=55, "46-55", "56+"))))</f>
        <v>18-25</v>
      </c>
      <c r="AK1313" t="str">
        <f t="shared" si="20"/>
        <v>Low</v>
      </c>
      <c r="AL1313" s="2" t="str">
        <f>IF(AF1313 &lt; 3, "0-2 Years", IF(AF1313 &lt;= 5, "3-5 Years", IF(AF1313 &lt;= 10, "6-10 Years",IF(Table3[[#This Row],[Years At Company]]&lt;=20, "11-20 Years","20+ Years"))))</f>
        <v>0-2 Years</v>
      </c>
    </row>
    <row r="1314" spans="1:38" x14ac:dyDescent="0.25">
      <c r="A1314" s="2">
        <v>31</v>
      </c>
      <c r="B1314" t="s">
        <v>35</v>
      </c>
      <c r="C1314" t="s">
        <v>36</v>
      </c>
      <c r="D1314" s="2">
        <v>359</v>
      </c>
      <c r="E1314" t="s">
        <v>61</v>
      </c>
      <c r="F1314" s="2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 s="2">
        <v>2956</v>
      </c>
      <c r="T1314">
        <v>21495</v>
      </c>
      <c r="U1314">
        <v>0</v>
      </c>
      <c r="V1314" t="s">
        <v>42</v>
      </c>
      <c r="W1314" t="s">
        <v>43</v>
      </c>
      <c r="X1314" s="2">
        <v>17</v>
      </c>
      <c r="Y1314">
        <v>3</v>
      </c>
      <c r="Z1314">
        <v>3</v>
      </c>
      <c r="AA1314">
        <v>80</v>
      </c>
      <c r="AB1314">
        <v>0</v>
      </c>
      <c r="AC1314" s="2">
        <v>2</v>
      </c>
      <c r="AD1314">
        <v>4</v>
      </c>
      <c r="AE1314">
        <v>3</v>
      </c>
      <c r="AF1314" s="2">
        <v>1</v>
      </c>
      <c r="AG1314">
        <v>0</v>
      </c>
      <c r="AH1314">
        <v>0</v>
      </c>
      <c r="AI1314">
        <v>0</v>
      </c>
      <c r="AJ1314" s="2" t="str">
        <f>IF(A1314 A1314 &lt;= 25, "18-25", IF(A1314 &lt;=35, "26-35", IF(A1314 &lt;=45, "36-45", IF(Table3[[#This Row],[Age]] &lt;=55, "46-55", "56+"))))</f>
        <v>26-35</v>
      </c>
      <c r="AK1314" t="str">
        <f t="shared" si="20"/>
        <v>Low</v>
      </c>
      <c r="AL1314" s="2" t="str">
        <f>IF(AF1314 &lt; 3, "0-2 Years", IF(AF1314 &lt;= 5, "3-5 Years", IF(AF1314 &lt;= 10, "6-10 Years",IF(Table3[[#This Row],[Years At Company]]&lt;=20, "11-20 Years","20+ Years"))))</f>
        <v>0-2 Years</v>
      </c>
    </row>
    <row r="1315" spans="1:38" x14ac:dyDescent="0.25">
      <c r="A1315" s="2">
        <v>29</v>
      </c>
      <c r="B1315" t="s">
        <v>35</v>
      </c>
      <c r="C1315" t="s">
        <v>36</v>
      </c>
      <c r="D1315" s="2">
        <v>350</v>
      </c>
      <c r="E1315" t="s">
        <v>61</v>
      </c>
      <c r="F1315" s="2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 s="2">
        <v>2335</v>
      </c>
      <c r="T1315">
        <v>3157</v>
      </c>
      <c r="U1315">
        <v>4</v>
      </c>
      <c r="V1315" t="s">
        <v>42</v>
      </c>
      <c r="W1315" t="s">
        <v>35</v>
      </c>
      <c r="X1315" s="2">
        <v>15</v>
      </c>
      <c r="Y1315">
        <v>3</v>
      </c>
      <c r="Z1315">
        <v>4</v>
      </c>
      <c r="AA1315">
        <v>80</v>
      </c>
      <c r="AB1315">
        <v>3</v>
      </c>
      <c r="AC1315" s="2">
        <v>4</v>
      </c>
      <c r="AD1315">
        <v>3</v>
      </c>
      <c r="AE1315">
        <v>3</v>
      </c>
      <c r="AF1315" s="2">
        <v>2</v>
      </c>
      <c r="AG1315">
        <v>2</v>
      </c>
      <c r="AH1315">
        <v>2</v>
      </c>
      <c r="AI1315">
        <v>0</v>
      </c>
      <c r="AJ1315" s="2" t="str">
        <f>IF(A1315 A1315 &lt;= 25, "18-25", IF(A1315 &lt;=35, "26-35", IF(A1315 &lt;=45, "36-45", IF(Table3[[#This Row],[Age]] &lt;=55, "46-55", "56+"))))</f>
        <v>26-35</v>
      </c>
      <c r="AK1315" t="str">
        <f t="shared" si="20"/>
        <v>Low</v>
      </c>
      <c r="AL1315" s="2" t="str">
        <f>IF(AF1315 &lt; 3, "0-2 Years", IF(AF1315 &lt;= 5, "3-5 Years", IF(AF1315 &lt;= 10, "6-10 Years",IF(Table3[[#This Row],[Years At Company]]&lt;=20, "11-20 Years","20+ Years"))))</f>
        <v>0-2 Years</v>
      </c>
    </row>
    <row r="1316" spans="1:38" x14ac:dyDescent="0.25">
      <c r="A1316" s="2">
        <v>45</v>
      </c>
      <c r="B1316" t="s">
        <v>43</v>
      </c>
      <c r="C1316" t="s">
        <v>55</v>
      </c>
      <c r="D1316" s="2">
        <v>589</v>
      </c>
      <c r="E1316" t="s">
        <v>37</v>
      </c>
      <c r="F1316" s="2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 s="2">
        <v>5154</v>
      </c>
      <c r="T1316">
        <v>19665</v>
      </c>
      <c r="U1316">
        <v>4</v>
      </c>
      <c r="V1316" t="s">
        <v>42</v>
      </c>
      <c r="W1316" t="s">
        <v>43</v>
      </c>
      <c r="X1316" s="2">
        <v>22</v>
      </c>
      <c r="Y1316">
        <v>4</v>
      </c>
      <c r="Z1316">
        <v>2</v>
      </c>
      <c r="AA1316">
        <v>80</v>
      </c>
      <c r="AB1316">
        <v>2</v>
      </c>
      <c r="AC1316" s="2">
        <v>10</v>
      </c>
      <c r="AD1316">
        <v>3</v>
      </c>
      <c r="AE1316">
        <v>4</v>
      </c>
      <c r="AF1316" s="2">
        <v>8</v>
      </c>
      <c r="AG1316">
        <v>7</v>
      </c>
      <c r="AH1316">
        <v>5</v>
      </c>
      <c r="AI1316">
        <v>7</v>
      </c>
      <c r="AJ1316" s="2" t="str">
        <f>IF(A1316 A1316 &lt;= 25, "18-25", IF(A1316 &lt;=35, "26-35", IF(A1316 &lt;=45, "36-45", IF(Table3[[#This Row],[Age]] &lt;=55, "46-55", "56+"))))</f>
        <v>36-45</v>
      </c>
      <c r="AK1316" t="str">
        <f t="shared" si="20"/>
        <v>Medium</v>
      </c>
      <c r="AL1316" s="2" t="str">
        <f>IF(AF1316 &lt; 3, "0-2 Years", IF(AF1316 &lt;= 5, "3-5 Years", IF(AF1316 &lt;= 10, "6-10 Years",IF(Table3[[#This Row],[Years At Company]]&lt;=20, "11-20 Years","20+ Years"))))</f>
        <v>6-10 Years</v>
      </c>
    </row>
    <row r="1317" spans="1:38" x14ac:dyDescent="0.25">
      <c r="A1317" s="2">
        <v>36</v>
      </c>
      <c r="B1317" t="s">
        <v>43</v>
      </c>
      <c r="C1317" t="s">
        <v>36</v>
      </c>
      <c r="D1317" s="2">
        <v>430</v>
      </c>
      <c r="E1317" t="s">
        <v>45</v>
      </c>
      <c r="F1317" s="2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 s="2">
        <v>6962</v>
      </c>
      <c r="T1317">
        <v>19573</v>
      </c>
      <c r="U1317">
        <v>4</v>
      </c>
      <c r="V1317" t="s">
        <v>42</v>
      </c>
      <c r="W1317" t="s">
        <v>35</v>
      </c>
      <c r="X1317" s="2">
        <v>22</v>
      </c>
      <c r="Y1317">
        <v>4</v>
      </c>
      <c r="Z1317">
        <v>4</v>
      </c>
      <c r="AA1317">
        <v>80</v>
      </c>
      <c r="AB1317">
        <v>1</v>
      </c>
      <c r="AC1317" s="2">
        <v>15</v>
      </c>
      <c r="AD1317">
        <v>2</v>
      </c>
      <c r="AE1317">
        <v>3</v>
      </c>
      <c r="AF1317" s="2">
        <v>1</v>
      </c>
      <c r="AG1317">
        <v>0</v>
      </c>
      <c r="AH1317">
        <v>0</v>
      </c>
      <c r="AI1317">
        <v>0</v>
      </c>
      <c r="AJ1317" s="2" t="str">
        <f>IF(A1317 A1317 &lt;= 25, "18-25", IF(A1317 &lt;=35, "26-35", IF(A1317 &lt;=45, "36-45", IF(Table3[[#This Row],[Age]] &lt;=55, "46-55", "56+"))))</f>
        <v>36-45</v>
      </c>
      <c r="AK1317" t="str">
        <f t="shared" si="20"/>
        <v>Medium</v>
      </c>
      <c r="AL1317" s="2" t="str">
        <f>IF(AF1317 &lt; 3, "0-2 Years", IF(AF1317 &lt;= 5, "3-5 Years", IF(AF1317 &lt;= 10, "6-10 Years",IF(Table3[[#This Row],[Years At Company]]&lt;=20, "11-20 Years","20+ Years"))))</f>
        <v>0-2 Years</v>
      </c>
    </row>
    <row r="1318" spans="1:38" x14ac:dyDescent="0.25">
      <c r="A1318" s="2">
        <v>43</v>
      </c>
      <c r="B1318" t="s">
        <v>43</v>
      </c>
      <c r="C1318" t="s">
        <v>44</v>
      </c>
      <c r="D1318" s="2">
        <v>1422</v>
      </c>
      <c r="E1318" t="s">
        <v>37</v>
      </c>
      <c r="F1318" s="2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 s="2">
        <v>5675</v>
      </c>
      <c r="T1318">
        <v>19246</v>
      </c>
      <c r="U1318">
        <v>1</v>
      </c>
      <c r="V1318" t="s">
        <v>42</v>
      </c>
      <c r="W1318" t="s">
        <v>43</v>
      </c>
      <c r="X1318" s="2">
        <v>20</v>
      </c>
      <c r="Y1318">
        <v>4</v>
      </c>
      <c r="Z1318">
        <v>3</v>
      </c>
      <c r="AA1318">
        <v>80</v>
      </c>
      <c r="AB1318">
        <v>1</v>
      </c>
      <c r="AC1318" s="2">
        <v>7</v>
      </c>
      <c r="AD1318">
        <v>5</v>
      </c>
      <c r="AE1318">
        <v>3</v>
      </c>
      <c r="AF1318" s="2">
        <v>7</v>
      </c>
      <c r="AG1318">
        <v>7</v>
      </c>
      <c r="AH1318">
        <v>7</v>
      </c>
      <c r="AI1318">
        <v>7</v>
      </c>
      <c r="AJ1318" s="2" t="str">
        <f>IF(A1318 A1318 &lt;= 25, "18-25", IF(A1318 &lt;=35, "26-35", IF(A1318 &lt;=45, "36-45", IF(Table3[[#This Row],[Age]] &lt;=55, "46-55", "56+"))))</f>
        <v>36-45</v>
      </c>
      <c r="AK1318" t="str">
        <f t="shared" si="20"/>
        <v>Medium</v>
      </c>
      <c r="AL1318" s="2" t="str">
        <f>IF(AF1318 &lt; 3, "0-2 Years", IF(AF1318 &lt;= 5, "3-5 Years", IF(AF1318 &lt;= 10, "6-10 Years",IF(Table3[[#This Row],[Years At Company]]&lt;=20, "11-20 Years","20+ Years"))))</f>
        <v>6-10 Years</v>
      </c>
    </row>
    <row r="1319" spans="1:38" x14ac:dyDescent="0.25">
      <c r="A1319" s="2">
        <v>27</v>
      </c>
      <c r="B1319" t="s">
        <v>43</v>
      </c>
      <c r="C1319" t="s">
        <v>44</v>
      </c>
      <c r="D1319" s="2">
        <v>1297</v>
      </c>
      <c r="E1319" t="s">
        <v>45</v>
      </c>
      <c r="F1319" s="2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 s="2">
        <v>2379</v>
      </c>
      <c r="T1319">
        <v>19826</v>
      </c>
      <c r="U1319">
        <v>0</v>
      </c>
      <c r="V1319" t="s">
        <v>42</v>
      </c>
      <c r="W1319" t="s">
        <v>35</v>
      </c>
      <c r="X1319" s="2">
        <v>14</v>
      </c>
      <c r="Y1319">
        <v>3</v>
      </c>
      <c r="Z1319">
        <v>3</v>
      </c>
      <c r="AA1319">
        <v>80</v>
      </c>
      <c r="AB1319">
        <v>0</v>
      </c>
      <c r="AC1319" s="2">
        <v>6</v>
      </c>
      <c r="AD1319">
        <v>3</v>
      </c>
      <c r="AE1319">
        <v>2</v>
      </c>
      <c r="AF1319" s="2">
        <v>5</v>
      </c>
      <c r="AG1319">
        <v>4</v>
      </c>
      <c r="AH1319">
        <v>0</v>
      </c>
      <c r="AI1319">
        <v>2</v>
      </c>
      <c r="AJ1319" s="2" t="str">
        <f>IF(A1319 A1319 &lt;= 25, "18-25", IF(A1319 &lt;=35, "26-35", IF(A1319 &lt;=45, "36-45", IF(Table3[[#This Row],[Age]] &lt;=55, "46-55", "56+"))))</f>
        <v>26-35</v>
      </c>
      <c r="AK1319" t="str">
        <f t="shared" si="20"/>
        <v>Low</v>
      </c>
      <c r="AL1319" s="2" t="str">
        <f>IF(AF1319 &lt; 3, "0-2 Years", IF(AF1319 &lt;= 5, "3-5 Years", IF(AF1319 &lt;= 10, "6-10 Years",IF(Table3[[#This Row],[Years At Company]]&lt;=20, "11-20 Years","20+ Years"))))</f>
        <v>3-5 Years</v>
      </c>
    </row>
    <row r="1320" spans="1:38" x14ac:dyDescent="0.25">
      <c r="A1320" s="2">
        <v>29</v>
      </c>
      <c r="B1320" t="s">
        <v>43</v>
      </c>
      <c r="C1320" t="s">
        <v>44</v>
      </c>
      <c r="D1320" s="2">
        <v>574</v>
      </c>
      <c r="E1320" t="s">
        <v>45</v>
      </c>
      <c r="F1320" s="2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 s="2">
        <v>3812</v>
      </c>
      <c r="T1320">
        <v>7003</v>
      </c>
      <c r="U1320">
        <v>1</v>
      </c>
      <c r="V1320" t="s">
        <v>42</v>
      </c>
      <c r="W1320" t="s">
        <v>43</v>
      </c>
      <c r="X1320" s="2">
        <v>13</v>
      </c>
      <c r="Y1320">
        <v>3</v>
      </c>
      <c r="Z1320">
        <v>2</v>
      </c>
      <c r="AA1320">
        <v>80</v>
      </c>
      <c r="AB1320">
        <v>0</v>
      </c>
      <c r="AC1320" s="2">
        <v>11</v>
      </c>
      <c r="AD1320">
        <v>3</v>
      </c>
      <c r="AE1320">
        <v>4</v>
      </c>
      <c r="AF1320" s="2">
        <v>11</v>
      </c>
      <c r="AG1320">
        <v>8</v>
      </c>
      <c r="AH1320">
        <v>3</v>
      </c>
      <c r="AI1320">
        <v>10</v>
      </c>
      <c r="AJ1320" s="2" t="str">
        <f>IF(A1320 A1320 &lt;= 25, "18-25", IF(A1320 &lt;=35, "26-35", IF(A1320 &lt;=45, "36-45", IF(Table3[[#This Row],[Age]] &lt;=55, "46-55", "56+"))))</f>
        <v>26-35</v>
      </c>
      <c r="AK1320" t="str">
        <f t="shared" si="20"/>
        <v>Low</v>
      </c>
      <c r="AL1320" s="2" t="str">
        <f>IF(AF1320 &lt; 3, "0-2 Years", IF(AF1320 &lt;= 5, "3-5 Years", IF(AF1320 &lt;= 10, "6-10 Years",IF(Table3[[#This Row],[Years At Company]]&lt;=20, "11-20 Years","20+ Years"))))</f>
        <v>11-20 Years</v>
      </c>
    </row>
    <row r="1321" spans="1:38" x14ac:dyDescent="0.25">
      <c r="A1321" s="2">
        <v>32</v>
      </c>
      <c r="B1321" t="s">
        <v>43</v>
      </c>
      <c r="C1321" t="s">
        <v>44</v>
      </c>
      <c r="D1321" s="2">
        <v>1318</v>
      </c>
      <c r="E1321" t="s">
        <v>37</v>
      </c>
      <c r="F1321" s="2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 s="2">
        <v>4648</v>
      </c>
      <c r="T1321">
        <v>26075</v>
      </c>
      <c r="U1321">
        <v>8</v>
      </c>
      <c r="V1321" t="s">
        <v>42</v>
      </c>
      <c r="W1321" t="s">
        <v>43</v>
      </c>
      <c r="X1321" s="2">
        <v>13</v>
      </c>
      <c r="Y1321">
        <v>3</v>
      </c>
      <c r="Z1321">
        <v>3</v>
      </c>
      <c r="AA1321">
        <v>80</v>
      </c>
      <c r="AB1321">
        <v>0</v>
      </c>
      <c r="AC1321" s="2">
        <v>4</v>
      </c>
      <c r="AD1321">
        <v>2</v>
      </c>
      <c r="AE1321">
        <v>4</v>
      </c>
      <c r="AF1321" s="2">
        <v>0</v>
      </c>
      <c r="AG1321">
        <v>0</v>
      </c>
      <c r="AH1321">
        <v>0</v>
      </c>
      <c r="AI1321">
        <v>0</v>
      </c>
      <c r="AJ1321" s="2" t="str">
        <f>IF(A1321 A1321 &lt;= 25, "18-25", IF(A1321 &lt;=35, "26-35", IF(A1321 &lt;=45, "36-45", IF(Table3[[#This Row],[Age]] &lt;=55, "46-55", "56+"))))</f>
        <v>26-35</v>
      </c>
      <c r="AK1321" t="str">
        <f t="shared" si="20"/>
        <v>Low</v>
      </c>
      <c r="AL1321" s="2" t="str">
        <f>IF(AF1321 &lt; 3, "0-2 Years", IF(AF1321 &lt;= 5, "3-5 Years", IF(AF1321 &lt;= 10, "6-10 Years",IF(Table3[[#This Row],[Years At Company]]&lt;=20, "11-20 Years","20+ Years"))))</f>
        <v>0-2 Years</v>
      </c>
    </row>
    <row r="1322" spans="1:38" x14ac:dyDescent="0.25">
      <c r="A1322" s="2">
        <v>42</v>
      </c>
      <c r="B1322" t="s">
        <v>43</v>
      </c>
      <c r="C1322" t="s">
        <v>55</v>
      </c>
      <c r="D1322" s="2">
        <v>355</v>
      </c>
      <c r="E1322" t="s">
        <v>45</v>
      </c>
      <c r="F1322" s="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 s="2">
        <v>2936</v>
      </c>
      <c r="T1322">
        <v>6161</v>
      </c>
      <c r="U1322">
        <v>3</v>
      </c>
      <c r="V1322" t="s">
        <v>42</v>
      </c>
      <c r="W1322" t="s">
        <v>43</v>
      </c>
      <c r="X1322" s="2">
        <v>22</v>
      </c>
      <c r="Y1322">
        <v>4</v>
      </c>
      <c r="Z1322">
        <v>2</v>
      </c>
      <c r="AA1322">
        <v>80</v>
      </c>
      <c r="AB1322">
        <v>2</v>
      </c>
      <c r="AC1322" s="2">
        <v>10</v>
      </c>
      <c r="AD1322">
        <v>1</v>
      </c>
      <c r="AE1322">
        <v>2</v>
      </c>
      <c r="AF1322" s="2">
        <v>6</v>
      </c>
      <c r="AG1322">
        <v>3</v>
      </c>
      <c r="AH1322">
        <v>3</v>
      </c>
      <c r="AI1322">
        <v>3</v>
      </c>
      <c r="AJ1322" s="2" t="str">
        <f>IF(A1322 A1322 &lt;= 25, "18-25", IF(A1322 &lt;=35, "26-35", IF(A1322 &lt;=45, "36-45", IF(Table3[[#This Row],[Age]] &lt;=55, "46-55", "56+"))))</f>
        <v>36-45</v>
      </c>
      <c r="AK1322" t="str">
        <f t="shared" si="20"/>
        <v>Low</v>
      </c>
      <c r="AL1322" s="2" t="str">
        <f>IF(AF1322 &lt; 3, "0-2 Years", IF(AF1322 &lt;= 5, "3-5 Years", IF(AF1322 &lt;= 10, "6-10 Years",IF(Table3[[#This Row],[Years At Company]]&lt;=20, "11-20 Years","20+ Years"))))</f>
        <v>6-10 Years</v>
      </c>
    </row>
    <row r="1323" spans="1:38" x14ac:dyDescent="0.25">
      <c r="A1323" s="2">
        <v>47</v>
      </c>
      <c r="B1323" t="s">
        <v>43</v>
      </c>
      <c r="C1323" t="s">
        <v>36</v>
      </c>
      <c r="D1323" s="2">
        <v>207</v>
      </c>
      <c r="E1323" t="s">
        <v>45</v>
      </c>
      <c r="F1323" s="2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 s="2">
        <v>2105</v>
      </c>
      <c r="T1323">
        <v>5411</v>
      </c>
      <c r="U1323">
        <v>4</v>
      </c>
      <c r="V1323" t="s">
        <v>42</v>
      </c>
      <c r="W1323" t="s">
        <v>43</v>
      </c>
      <c r="X1323" s="2">
        <v>12</v>
      </c>
      <c r="Y1323">
        <v>3</v>
      </c>
      <c r="Z1323">
        <v>3</v>
      </c>
      <c r="AA1323">
        <v>80</v>
      </c>
      <c r="AB1323">
        <v>0</v>
      </c>
      <c r="AC1323" s="2">
        <v>7</v>
      </c>
      <c r="AD1323">
        <v>2</v>
      </c>
      <c r="AE1323">
        <v>3</v>
      </c>
      <c r="AF1323" s="2">
        <v>2</v>
      </c>
      <c r="AG1323">
        <v>2</v>
      </c>
      <c r="AH1323">
        <v>2</v>
      </c>
      <c r="AI1323">
        <v>0</v>
      </c>
      <c r="AJ1323" s="2" t="str">
        <f>IF(A1323 A1323 &lt;= 25, "18-25", IF(A1323 &lt;=35, "26-35", IF(A1323 &lt;=45, "36-45", IF(Table3[[#This Row],[Age]] &lt;=55, "46-55", "56+"))))</f>
        <v>46-55</v>
      </c>
      <c r="AK1323" t="str">
        <f t="shared" si="20"/>
        <v>Low</v>
      </c>
      <c r="AL1323" s="2" t="str">
        <f>IF(AF1323 &lt; 3, "0-2 Years", IF(AF1323 &lt;= 5, "3-5 Years", IF(AF1323 &lt;= 10, "6-10 Years",IF(Table3[[#This Row],[Years At Company]]&lt;=20, "11-20 Years","20+ Years"))))</f>
        <v>0-2 Years</v>
      </c>
    </row>
    <row r="1324" spans="1:38" x14ac:dyDescent="0.25">
      <c r="A1324" s="2">
        <v>46</v>
      </c>
      <c r="B1324" t="s">
        <v>43</v>
      </c>
      <c r="C1324" t="s">
        <v>36</v>
      </c>
      <c r="D1324" s="2">
        <v>706</v>
      </c>
      <c r="E1324" t="s">
        <v>45</v>
      </c>
      <c r="F1324" s="2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 s="2">
        <v>8578</v>
      </c>
      <c r="T1324">
        <v>19989</v>
      </c>
      <c r="U1324">
        <v>3</v>
      </c>
      <c r="V1324" t="s">
        <v>42</v>
      </c>
      <c r="W1324" t="s">
        <v>43</v>
      </c>
      <c r="X1324" s="2">
        <v>14</v>
      </c>
      <c r="Y1324">
        <v>3</v>
      </c>
      <c r="Z1324">
        <v>3</v>
      </c>
      <c r="AA1324">
        <v>80</v>
      </c>
      <c r="AB1324">
        <v>1</v>
      </c>
      <c r="AC1324" s="2">
        <v>12</v>
      </c>
      <c r="AD1324">
        <v>4</v>
      </c>
      <c r="AE1324">
        <v>2</v>
      </c>
      <c r="AF1324" s="2">
        <v>9</v>
      </c>
      <c r="AG1324">
        <v>8</v>
      </c>
      <c r="AH1324">
        <v>4</v>
      </c>
      <c r="AI1324">
        <v>7</v>
      </c>
      <c r="AJ1324" s="2" t="str">
        <f>IF(A1324 A1324 &lt;= 25, "18-25", IF(A1324 &lt;=35, "26-35", IF(A1324 &lt;=45, "36-45", IF(Table3[[#This Row],[Age]] &lt;=55, "46-55", "56+"))))</f>
        <v>46-55</v>
      </c>
      <c r="AK1324" t="str">
        <f t="shared" si="20"/>
        <v>Medium</v>
      </c>
      <c r="AL1324" s="2" t="str">
        <f>IF(AF1324 &lt; 3, "0-2 Years", IF(AF1324 &lt;= 5, "3-5 Years", IF(AF1324 &lt;= 10, "6-10 Years",IF(Table3[[#This Row],[Years At Company]]&lt;=20, "11-20 Years","20+ Years"))))</f>
        <v>6-10 Years</v>
      </c>
    </row>
    <row r="1325" spans="1:38" x14ac:dyDescent="0.25">
      <c r="A1325" s="2">
        <v>28</v>
      </c>
      <c r="B1325" t="s">
        <v>43</v>
      </c>
      <c r="C1325" t="s">
        <v>55</v>
      </c>
      <c r="D1325" s="2">
        <v>280</v>
      </c>
      <c r="E1325" t="s">
        <v>61</v>
      </c>
      <c r="F1325" s="2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 s="2">
        <v>2706</v>
      </c>
      <c r="T1325">
        <v>10494</v>
      </c>
      <c r="U1325">
        <v>1</v>
      </c>
      <c r="V1325" t="s">
        <v>42</v>
      </c>
      <c r="W1325" t="s">
        <v>43</v>
      </c>
      <c r="X1325" s="2">
        <v>15</v>
      </c>
      <c r="Y1325">
        <v>3</v>
      </c>
      <c r="Z1325">
        <v>2</v>
      </c>
      <c r="AA1325">
        <v>80</v>
      </c>
      <c r="AB1325">
        <v>1</v>
      </c>
      <c r="AC1325" s="2">
        <v>3</v>
      </c>
      <c r="AD1325">
        <v>2</v>
      </c>
      <c r="AE1325">
        <v>3</v>
      </c>
      <c r="AF1325" s="2">
        <v>3</v>
      </c>
      <c r="AG1325">
        <v>2</v>
      </c>
      <c r="AH1325">
        <v>2</v>
      </c>
      <c r="AI1325">
        <v>2</v>
      </c>
      <c r="AJ1325" s="2" t="str">
        <f>IF(A1325 A1325 &lt;= 25, "18-25", IF(A1325 &lt;=35, "26-35", IF(A1325 &lt;=45, "36-45", IF(Table3[[#This Row],[Age]] &lt;=55, "46-55", "56+"))))</f>
        <v>26-35</v>
      </c>
      <c r="AK1325" t="str">
        <f t="shared" si="20"/>
        <v>Low</v>
      </c>
      <c r="AL1325" s="2" t="str">
        <f>IF(AF1325 &lt; 3, "0-2 Years", IF(AF1325 &lt;= 5, "3-5 Years", IF(AF1325 &lt;= 10, "6-10 Years",IF(Table3[[#This Row],[Years At Company]]&lt;=20, "11-20 Years","20+ Years"))))</f>
        <v>3-5 Years</v>
      </c>
    </row>
    <row r="1326" spans="1:38" x14ac:dyDescent="0.25">
      <c r="A1326" s="2">
        <v>29</v>
      </c>
      <c r="B1326" t="s">
        <v>43</v>
      </c>
      <c r="C1326" t="s">
        <v>36</v>
      </c>
      <c r="D1326" s="2">
        <v>726</v>
      </c>
      <c r="E1326" t="s">
        <v>45</v>
      </c>
      <c r="F1326" s="2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 s="2">
        <v>6384</v>
      </c>
      <c r="T1326">
        <v>21143</v>
      </c>
      <c r="U1326">
        <v>8</v>
      </c>
      <c r="V1326" t="s">
        <v>42</v>
      </c>
      <c r="W1326" t="s">
        <v>43</v>
      </c>
      <c r="X1326" s="2">
        <v>17</v>
      </c>
      <c r="Y1326">
        <v>3</v>
      </c>
      <c r="Z1326">
        <v>4</v>
      </c>
      <c r="AA1326">
        <v>80</v>
      </c>
      <c r="AB1326">
        <v>2</v>
      </c>
      <c r="AC1326" s="2">
        <v>11</v>
      </c>
      <c r="AD1326">
        <v>3</v>
      </c>
      <c r="AE1326">
        <v>3</v>
      </c>
      <c r="AF1326" s="2">
        <v>7</v>
      </c>
      <c r="AG1326">
        <v>0</v>
      </c>
      <c r="AH1326">
        <v>1</v>
      </c>
      <c r="AI1326">
        <v>6</v>
      </c>
      <c r="AJ1326" s="2" t="str">
        <f>IF(A1326 A1326 &lt;= 25, "18-25", IF(A1326 &lt;=35, "26-35", IF(A1326 &lt;=45, "36-45", IF(Table3[[#This Row],[Age]] &lt;=55, "46-55", "56+"))))</f>
        <v>26-35</v>
      </c>
      <c r="AK1326" t="str">
        <f t="shared" si="20"/>
        <v>Medium</v>
      </c>
      <c r="AL1326" s="2" t="str">
        <f>IF(AF1326 &lt; 3, "0-2 Years", IF(AF1326 &lt;= 5, "3-5 Years", IF(AF1326 &lt;= 10, "6-10 Years",IF(Table3[[#This Row],[Years At Company]]&lt;=20, "11-20 Years","20+ Years"))))</f>
        <v>6-10 Years</v>
      </c>
    </row>
    <row r="1327" spans="1:38" x14ac:dyDescent="0.25">
      <c r="A1327" s="2">
        <v>42</v>
      </c>
      <c r="B1327" t="s">
        <v>43</v>
      </c>
      <c r="C1327" t="s">
        <v>36</v>
      </c>
      <c r="D1327" s="2">
        <v>1142</v>
      </c>
      <c r="E1327" t="s">
        <v>45</v>
      </c>
      <c r="F1327" s="2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 s="2">
        <v>3968</v>
      </c>
      <c r="T1327">
        <v>13624</v>
      </c>
      <c r="U1327">
        <v>4</v>
      </c>
      <c r="V1327" t="s">
        <v>42</v>
      </c>
      <c r="W1327" t="s">
        <v>43</v>
      </c>
      <c r="X1327" s="2">
        <v>13</v>
      </c>
      <c r="Y1327">
        <v>3</v>
      </c>
      <c r="Z1327">
        <v>4</v>
      </c>
      <c r="AA1327">
        <v>80</v>
      </c>
      <c r="AB1327">
        <v>0</v>
      </c>
      <c r="AC1327" s="2">
        <v>8</v>
      </c>
      <c r="AD1327">
        <v>3</v>
      </c>
      <c r="AE1327">
        <v>3</v>
      </c>
      <c r="AF1327" s="2">
        <v>0</v>
      </c>
      <c r="AG1327">
        <v>0</v>
      </c>
      <c r="AH1327">
        <v>0</v>
      </c>
      <c r="AI1327">
        <v>0</v>
      </c>
      <c r="AJ1327" s="2" t="str">
        <f>IF(A1327 A1327 &lt;= 25, "18-25", IF(A1327 &lt;=35, "26-35", IF(A1327 &lt;=45, "36-45", IF(Table3[[#This Row],[Age]] &lt;=55, "46-55", "56+"))))</f>
        <v>36-45</v>
      </c>
      <c r="AK1327" t="str">
        <f t="shared" si="20"/>
        <v>Low</v>
      </c>
      <c r="AL1327" s="2" t="str">
        <f>IF(AF1327 &lt; 3, "0-2 Years", IF(AF1327 &lt;= 5, "3-5 Years", IF(AF1327 &lt;= 10, "6-10 Years",IF(Table3[[#This Row],[Years At Company]]&lt;=20, "11-20 Years","20+ Years"))))</f>
        <v>0-2 Years</v>
      </c>
    </row>
    <row r="1328" spans="1:38" x14ac:dyDescent="0.25">
      <c r="A1328" s="2">
        <v>32</v>
      </c>
      <c r="B1328" t="s">
        <v>35</v>
      </c>
      <c r="C1328" t="s">
        <v>36</v>
      </c>
      <c r="D1328" s="2">
        <v>414</v>
      </c>
      <c r="E1328" t="s">
        <v>37</v>
      </c>
      <c r="F1328" s="2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 s="2">
        <v>9907</v>
      </c>
      <c r="T1328">
        <v>26186</v>
      </c>
      <c r="U1328">
        <v>7</v>
      </c>
      <c r="V1328" t="s">
        <v>42</v>
      </c>
      <c r="W1328" t="s">
        <v>35</v>
      </c>
      <c r="X1328" s="2">
        <v>12</v>
      </c>
      <c r="Y1328">
        <v>3</v>
      </c>
      <c r="Z1328">
        <v>3</v>
      </c>
      <c r="AA1328">
        <v>80</v>
      </c>
      <c r="AB1328">
        <v>0</v>
      </c>
      <c r="AC1328" s="2">
        <v>7</v>
      </c>
      <c r="AD1328">
        <v>3</v>
      </c>
      <c r="AE1328">
        <v>2</v>
      </c>
      <c r="AF1328" s="2">
        <v>2</v>
      </c>
      <c r="AG1328">
        <v>2</v>
      </c>
      <c r="AH1328">
        <v>2</v>
      </c>
      <c r="AI1328">
        <v>2</v>
      </c>
      <c r="AJ1328" s="2" t="str">
        <f>IF(A1328 A1328 &lt;= 25, "18-25", IF(A1328 &lt;=35, "26-35", IF(A1328 &lt;=45, "36-45", IF(Table3[[#This Row],[Age]] &lt;=55, "46-55", "56+"))))</f>
        <v>26-35</v>
      </c>
      <c r="AK1328" t="str">
        <f t="shared" si="20"/>
        <v>Medium</v>
      </c>
      <c r="AL1328" s="2" t="str">
        <f>IF(AF1328 &lt; 3, "0-2 Years", IF(AF1328 &lt;= 5, "3-5 Years", IF(AF1328 &lt;= 10, "6-10 Years",IF(Table3[[#This Row],[Years At Company]]&lt;=20, "11-20 Years","20+ Years"))))</f>
        <v>0-2 Years</v>
      </c>
    </row>
    <row r="1329" spans="1:38" x14ac:dyDescent="0.25">
      <c r="A1329" s="2">
        <v>46</v>
      </c>
      <c r="B1329" t="s">
        <v>43</v>
      </c>
      <c r="C1329" t="s">
        <v>36</v>
      </c>
      <c r="D1329" s="2">
        <v>1319</v>
      </c>
      <c r="E1329" t="s">
        <v>37</v>
      </c>
      <c r="F1329" s="2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 s="2">
        <v>13225</v>
      </c>
      <c r="T1329">
        <v>7739</v>
      </c>
      <c r="U1329">
        <v>2</v>
      </c>
      <c r="V1329" t="s">
        <v>42</v>
      </c>
      <c r="W1329" t="s">
        <v>43</v>
      </c>
      <c r="X1329" s="2">
        <v>12</v>
      </c>
      <c r="Y1329">
        <v>3</v>
      </c>
      <c r="Z1329">
        <v>4</v>
      </c>
      <c r="AA1329">
        <v>80</v>
      </c>
      <c r="AB1329">
        <v>1</v>
      </c>
      <c r="AC1329" s="2">
        <v>25</v>
      </c>
      <c r="AD1329">
        <v>5</v>
      </c>
      <c r="AE1329">
        <v>3</v>
      </c>
      <c r="AF1329" s="2">
        <v>19</v>
      </c>
      <c r="AG1329">
        <v>17</v>
      </c>
      <c r="AH1329">
        <v>2</v>
      </c>
      <c r="AI1329">
        <v>8</v>
      </c>
      <c r="AJ1329" s="2" t="str">
        <f>IF(A1329 A1329 &lt;= 25, "18-25", IF(A1329 &lt;=35, "26-35", IF(A1329 &lt;=45, "36-45", IF(Table3[[#This Row],[Age]] &lt;=55, "46-55", "56+"))))</f>
        <v>46-55</v>
      </c>
      <c r="AK1329" t="str">
        <f t="shared" si="20"/>
        <v>High</v>
      </c>
      <c r="AL1329" s="2" t="str">
        <f>IF(AF1329 &lt; 3, "0-2 Years", IF(AF1329 &lt;= 5, "3-5 Years", IF(AF1329 &lt;= 10, "6-10 Years",IF(Table3[[#This Row],[Years At Company]]&lt;=20, "11-20 Years","20+ Years"))))</f>
        <v>11-20 Years</v>
      </c>
    </row>
    <row r="1330" spans="1:38" x14ac:dyDescent="0.25">
      <c r="A1330" s="2">
        <v>27</v>
      </c>
      <c r="B1330" t="s">
        <v>43</v>
      </c>
      <c r="C1330" t="s">
        <v>36</v>
      </c>
      <c r="D1330" s="2">
        <v>728</v>
      </c>
      <c r="E1330" t="s">
        <v>37</v>
      </c>
      <c r="F1330" s="2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 s="2">
        <v>3540</v>
      </c>
      <c r="T1330">
        <v>7018</v>
      </c>
      <c r="U1330">
        <v>1</v>
      </c>
      <c r="V1330" t="s">
        <v>42</v>
      </c>
      <c r="W1330" t="s">
        <v>43</v>
      </c>
      <c r="X1330" s="2">
        <v>21</v>
      </c>
      <c r="Y1330">
        <v>4</v>
      </c>
      <c r="Z1330">
        <v>4</v>
      </c>
      <c r="AA1330">
        <v>80</v>
      </c>
      <c r="AB1330">
        <v>1</v>
      </c>
      <c r="AC1330" s="2">
        <v>9</v>
      </c>
      <c r="AD1330">
        <v>5</v>
      </c>
      <c r="AE1330">
        <v>3</v>
      </c>
      <c r="AF1330" s="2">
        <v>9</v>
      </c>
      <c r="AG1330">
        <v>8</v>
      </c>
      <c r="AH1330">
        <v>5</v>
      </c>
      <c r="AI1330">
        <v>8</v>
      </c>
      <c r="AJ1330" s="2" t="str">
        <f>IF(A1330 A1330 &lt;= 25, "18-25", IF(A1330 &lt;=35, "26-35", IF(A1330 &lt;=45, "36-45", IF(Table3[[#This Row],[Age]] &lt;=55, "46-55", "56+"))))</f>
        <v>26-35</v>
      </c>
      <c r="AK1330" t="str">
        <f t="shared" si="20"/>
        <v>Low</v>
      </c>
      <c r="AL1330" s="2" t="str">
        <f>IF(AF1330 &lt; 3, "0-2 Years", IF(AF1330 &lt;= 5, "3-5 Years", IF(AF1330 &lt;= 10, "6-10 Years",IF(Table3[[#This Row],[Years At Company]]&lt;=20, "11-20 Years","20+ Years"))))</f>
        <v>6-10 Years</v>
      </c>
    </row>
    <row r="1331" spans="1:38" x14ac:dyDescent="0.25">
      <c r="A1331" s="2">
        <v>29</v>
      </c>
      <c r="B1331" t="s">
        <v>43</v>
      </c>
      <c r="C1331" t="s">
        <v>36</v>
      </c>
      <c r="D1331" s="2">
        <v>352</v>
      </c>
      <c r="E1331" t="s">
        <v>61</v>
      </c>
      <c r="F1331" s="2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 s="2">
        <v>2804</v>
      </c>
      <c r="T1331">
        <v>15434</v>
      </c>
      <c r="U1331">
        <v>1</v>
      </c>
      <c r="V1331" t="s">
        <v>42</v>
      </c>
      <c r="W1331" t="s">
        <v>43</v>
      </c>
      <c r="X1331" s="2">
        <v>11</v>
      </c>
      <c r="Y1331">
        <v>3</v>
      </c>
      <c r="Z1331">
        <v>4</v>
      </c>
      <c r="AA1331">
        <v>80</v>
      </c>
      <c r="AB1331">
        <v>0</v>
      </c>
      <c r="AC1331" s="2">
        <v>1</v>
      </c>
      <c r="AD1331">
        <v>3</v>
      </c>
      <c r="AE1331">
        <v>3</v>
      </c>
      <c r="AF1331" s="2">
        <v>1</v>
      </c>
      <c r="AG1331">
        <v>0</v>
      </c>
      <c r="AH1331">
        <v>0</v>
      </c>
      <c r="AI1331">
        <v>0</v>
      </c>
      <c r="AJ1331" s="2" t="str">
        <f>IF(A1331 A1331 &lt;= 25, "18-25", IF(A1331 &lt;=35, "26-35", IF(A1331 &lt;=45, "36-45", IF(Table3[[#This Row],[Age]] &lt;=55, "46-55", "56+"))))</f>
        <v>26-35</v>
      </c>
      <c r="AK1331" t="str">
        <f t="shared" si="20"/>
        <v>Low</v>
      </c>
      <c r="AL1331" s="2" t="str">
        <f>IF(AF1331 &lt; 3, "0-2 Years", IF(AF1331 &lt;= 5, "3-5 Years", IF(AF1331 &lt;= 10, "6-10 Years",IF(Table3[[#This Row],[Years At Company]]&lt;=20, "11-20 Years","20+ Years"))))</f>
        <v>0-2 Years</v>
      </c>
    </row>
    <row r="1332" spans="1:38" x14ac:dyDescent="0.25">
      <c r="A1332" s="2">
        <v>43</v>
      </c>
      <c r="B1332" t="s">
        <v>43</v>
      </c>
      <c r="C1332" t="s">
        <v>36</v>
      </c>
      <c r="D1332" s="2">
        <v>823</v>
      </c>
      <c r="E1332" t="s">
        <v>45</v>
      </c>
      <c r="F1332" s="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 s="2">
        <v>19392</v>
      </c>
      <c r="T1332">
        <v>22539</v>
      </c>
      <c r="U1332">
        <v>7</v>
      </c>
      <c r="V1332" t="s">
        <v>42</v>
      </c>
      <c r="W1332" t="s">
        <v>43</v>
      </c>
      <c r="X1332" s="2">
        <v>13</v>
      </c>
      <c r="Y1332">
        <v>3</v>
      </c>
      <c r="Z1332">
        <v>4</v>
      </c>
      <c r="AA1332">
        <v>80</v>
      </c>
      <c r="AB1332">
        <v>0</v>
      </c>
      <c r="AC1332" s="2">
        <v>21</v>
      </c>
      <c r="AD1332">
        <v>2</v>
      </c>
      <c r="AE1332">
        <v>3</v>
      </c>
      <c r="AF1332" s="2">
        <v>16</v>
      </c>
      <c r="AG1332">
        <v>12</v>
      </c>
      <c r="AH1332">
        <v>6</v>
      </c>
      <c r="AI1332">
        <v>14</v>
      </c>
      <c r="AJ1332" s="2" t="str">
        <f>IF(A1332 A1332 &lt;= 25, "18-25", IF(A1332 &lt;=35, "26-35", IF(A1332 &lt;=45, "36-45", IF(Table3[[#This Row],[Age]] &lt;=55, "46-55", "56+"))))</f>
        <v>36-45</v>
      </c>
      <c r="AK1332" t="str">
        <f t="shared" si="20"/>
        <v>High</v>
      </c>
      <c r="AL1332" s="2" t="str">
        <f>IF(AF1332 &lt; 3, "0-2 Years", IF(AF1332 &lt;= 5, "3-5 Years", IF(AF1332 &lt;= 10, "6-10 Years",IF(Table3[[#This Row],[Years At Company]]&lt;=20, "11-20 Years","20+ Years"))))</f>
        <v>11-20 Years</v>
      </c>
    </row>
    <row r="1333" spans="1:38" x14ac:dyDescent="0.25">
      <c r="A1333" s="2">
        <v>48</v>
      </c>
      <c r="B1333" t="s">
        <v>43</v>
      </c>
      <c r="C1333" t="s">
        <v>36</v>
      </c>
      <c r="D1333" s="2">
        <v>1224</v>
      </c>
      <c r="E1333" t="s">
        <v>45</v>
      </c>
      <c r="F1333" s="2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 s="2">
        <v>19665</v>
      </c>
      <c r="T1333">
        <v>13583</v>
      </c>
      <c r="U1333">
        <v>4</v>
      </c>
      <c r="V1333" t="s">
        <v>42</v>
      </c>
      <c r="W1333" t="s">
        <v>43</v>
      </c>
      <c r="X1333" s="2">
        <v>12</v>
      </c>
      <c r="Y1333">
        <v>3</v>
      </c>
      <c r="Z1333">
        <v>4</v>
      </c>
      <c r="AA1333">
        <v>80</v>
      </c>
      <c r="AB1333">
        <v>0</v>
      </c>
      <c r="AC1333" s="2">
        <v>29</v>
      </c>
      <c r="AD1333">
        <v>3</v>
      </c>
      <c r="AE1333">
        <v>3</v>
      </c>
      <c r="AF1333" s="2">
        <v>22</v>
      </c>
      <c r="AG1333">
        <v>10</v>
      </c>
      <c r="AH1333">
        <v>12</v>
      </c>
      <c r="AI1333">
        <v>9</v>
      </c>
      <c r="AJ1333" s="2" t="str">
        <f>IF(A1333 A1333 &lt;= 25, "18-25", IF(A1333 &lt;=35, "26-35", IF(A1333 &lt;=45, "36-45", IF(Table3[[#This Row],[Age]] &lt;=55, "46-55", "56+"))))</f>
        <v>46-55</v>
      </c>
      <c r="AK1333" t="str">
        <f t="shared" si="20"/>
        <v>High</v>
      </c>
      <c r="AL1333" s="2" t="str">
        <f>IF(AF1333 &lt; 3, "0-2 Years", IF(AF1333 &lt;= 5, "3-5 Years", IF(AF1333 &lt;= 10, "6-10 Years",IF(Table3[[#This Row],[Years At Company]]&lt;=20, "11-20 Years","20+ Years"))))</f>
        <v>20+ Years</v>
      </c>
    </row>
    <row r="1334" spans="1:38" x14ac:dyDescent="0.25">
      <c r="A1334" s="2">
        <v>29</v>
      </c>
      <c r="B1334" t="s">
        <v>35</v>
      </c>
      <c r="C1334" t="s">
        <v>44</v>
      </c>
      <c r="D1334" s="2">
        <v>459</v>
      </c>
      <c r="E1334" t="s">
        <v>45</v>
      </c>
      <c r="F1334" s="2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 s="2">
        <v>2439</v>
      </c>
      <c r="T1334">
        <v>14753</v>
      </c>
      <c r="U1334">
        <v>1</v>
      </c>
      <c r="V1334" t="s">
        <v>42</v>
      </c>
      <c r="W1334" t="s">
        <v>35</v>
      </c>
      <c r="X1334" s="2">
        <v>24</v>
      </c>
      <c r="Y1334">
        <v>4</v>
      </c>
      <c r="Z1334">
        <v>2</v>
      </c>
      <c r="AA1334">
        <v>80</v>
      </c>
      <c r="AB1334">
        <v>0</v>
      </c>
      <c r="AC1334" s="2">
        <v>1</v>
      </c>
      <c r="AD1334">
        <v>3</v>
      </c>
      <c r="AE1334">
        <v>2</v>
      </c>
      <c r="AF1334" s="2">
        <v>1</v>
      </c>
      <c r="AG1334">
        <v>0</v>
      </c>
      <c r="AH1334">
        <v>1</v>
      </c>
      <c r="AI1334">
        <v>0</v>
      </c>
      <c r="AJ1334" s="2" t="str">
        <f>IF(A1334 A1334 &lt;= 25, "18-25", IF(A1334 &lt;=35, "26-35", IF(A1334 &lt;=45, "36-45", IF(Table3[[#This Row],[Age]] &lt;=55, "46-55", "56+"))))</f>
        <v>26-35</v>
      </c>
      <c r="AK1334" t="str">
        <f t="shared" si="20"/>
        <v>Low</v>
      </c>
      <c r="AL1334" s="2" t="str">
        <f>IF(AF1334 &lt; 3, "0-2 Years", IF(AF1334 &lt;= 5, "3-5 Years", IF(AF1334 &lt;= 10, "6-10 Years",IF(Table3[[#This Row],[Years At Company]]&lt;=20, "11-20 Years","20+ Years"))))</f>
        <v>0-2 Years</v>
      </c>
    </row>
    <row r="1335" spans="1:38" x14ac:dyDescent="0.25">
      <c r="A1335" s="2">
        <v>46</v>
      </c>
      <c r="B1335" t="s">
        <v>35</v>
      </c>
      <c r="C1335" t="s">
        <v>36</v>
      </c>
      <c r="D1335" s="2">
        <v>1254</v>
      </c>
      <c r="E1335" t="s">
        <v>37</v>
      </c>
      <c r="F1335" s="2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 s="2">
        <v>7314</v>
      </c>
      <c r="T1335">
        <v>14011</v>
      </c>
      <c r="U1335">
        <v>5</v>
      </c>
      <c r="V1335" t="s">
        <v>42</v>
      </c>
      <c r="W1335" t="s">
        <v>43</v>
      </c>
      <c r="X1335" s="2">
        <v>21</v>
      </c>
      <c r="Y1335">
        <v>4</v>
      </c>
      <c r="Z1335">
        <v>3</v>
      </c>
      <c r="AA1335">
        <v>80</v>
      </c>
      <c r="AB1335">
        <v>3</v>
      </c>
      <c r="AC1335" s="2">
        <v>14</v>
      </c>
      <c r="AD1335">
        <v>2</v>
      </c>
      <c r="AE1335">
        <v>3</v>
      </c>
      <c r="AF1335" s="2">
        <v>8</v>
      </c>
      <c r="AG1335">
        <v>7</v>
      </c>
      <c r="AH1335">
        <v>0</v>
      </c>
      <c r="AI1335">
        <v>7</v>
      </c>
      <c r="AJ1335" s="2" t="str">
        <f>IF(A1335 A1335 &lt;= 25, "18-25", IF(A1335 &lt;=35, "26-35", IF(A1335 &lt;=45, "36-45", IF(Table3[[#This Row],[Age]] &lt;=55, "46-55", "56+"))))</f>
        <v>46-55</v>
      </c>
      <c r="AK1335" t="str">
        <f t="shared" si="20"/>
        <v>Medium</v>
      </c>
      <c r="AL1335" s="2" t="str">
        <f>IF(AF1335 &lt; 3, "0-2 Years", IF(AF1335 &lt;= 5, "3-5 Years", IF(AF1335 &lt;= 10, "6-10 Years",IF(Table3[[#This Row],[Years At Company]]&lt;=20, "11-20 Years","20+ Years"))))</f>
        <v>6-10 Years</v>
      </c>
    </row>
    <row r="1336" spans="1:38" x14ac:dyDescent="0.25">
      <c r="A1336" s="2">
        <v>27</v>
      </c>
      <c r="B1336" t="s">
        <v>43</v>
      </c>
      <c r="C1336" t="s">
        <v>44</v>
      </c>
      <c r="D1336" s="2">
        <v>1131</v>
      </c>
      <c r="E1336" t="s">
        <v>45</v>
      </c>
      <c r="F1336" s="2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 s="2">
        <v>4774</v>
      </c>
      <c r="T1336">
        <v>23844</v>
      </c>
      <c r="U1336">
        <v>0</v>
      </c>
      <c r="V1336" t="s">
        <v>42</v>
      </c>
      <c r="W1336" t="s">
        <v>43</v>
      </c>
      <c r="X1336" s="2">
        <v>19</v>
      </c>
      <c r="Y1336">
        <v>3</v>
      </c>
      <c r="Z1336">
        <v>4</v>
      </c>
      <c r="AA1336">
        <v>80</v>
      </c>
      <c r="AB1336">
        <v>1</v>
      </c>
      <c r="AC1336" s="2">
        <v>8</v>
      </c>
      <c r="AD1336">
        <v>2</v>
      </c>
      <c r="AE1336">
        <v>2</v>
      </c>
      <c r="AF1336" s="2">
        <v>7</v>
      </c>
      <c r="AG1336">
        <v>6</v>
      </c>
      <c r="AH1336">
        <v>7</v>
      </c>
      <c r="AI1336">
        <v>3</v>
      </c>
      <c r="AJ1336" s="2" t="str">
        <f>IF(A1336 A1336 &lt;= 25, "18-25", IF(A1336 &lt;=35, "26-35", IF(A1336 &lt;=45, "36-45", IF(Table3[[#This Row],[Age]] &lt;=55, "46-55", "56+"))))</f>
        <v>26-35</v>
      </c>
      <c r="AK1336" t="str">
        <f t="shared" si="20"/>
        <v>Low</v>
      </c>
      <c r="AL1336" s="2" t="str">
        <f>IF(AF1336 &lt; 3, "0-2 Years", IF(AF1336 &lt;= 5, "3-5 Years", IF(AF1336 &lt;= 10, "6-10 Years",IF(Table3[[#This Row],[Years At Company]]&lt;=20, "11-20 Years","20+ Years"))))</f>
        <v>6-10 Years</v>
      </c>
    </row>
    <row r="1337" spans="1:38" x14ac:dyDescent="0.25">
      <c r="A1337" s="2">
        <v>39</v>
      </c>
      <c r="B1337" t="s">
        <v>43</v>
      </c>
      <c r="C1337" t="s">
        <v>36</v>
      </c>
      <c r="D1337" s="2">
        <v>835</v>
      </c>
      <c r="E1337" t="s">
        <v>45</v>
      </c>
      <c r="F1337" s="2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 s="2">
        <v>3902</v>
      </c>
      <c r="T1337">
        <v>5141</v>
      </c>
      <c r="U1337">
        <v>8</v>
      </c>
      <c r="V1337" t="s">
        <v>42</v>
      </c>
      <c r="W1337" t="s">
        <v>43</v>
      </c>
      <c r="X1337" s="2">
        <v>14</v>
      </c>
      <c r="Y1337">
        <v>3</v>
      </c>
      <c r="Z1337">
        <v>2</v>
      </c>
      <c r="AA1337">
        <v>80</v>
      </c>
      <c r="AB1337">
        <v>3</v>
      </c>
      <c r="AC1337" s="2">
        <v>7</v>
      </c>
      <c r="AD1337">
        <v>2</v>
      </c>
      <c r="AE1337">
        <v>3</v>
      </c>
      <c r="AF1337" s="2">
        <v>2</v>
      </c>
      <c r="AG1337">
        <v>2</v>
      </c>
      <c r="AH1337">
        <v>2</v>
      </c>
      <c r="AI1337">
        <v>2</v>
      </c>
      <c r="AJ1337" s="2" t="str">
        <f>IF(A1337 A1337 &lt;= 25, "18-25", IF(A1337 &lt;=35, "26-35", IF(A1337 &lt;=45, "36-45", IF(Table3[[#This Row],[Age]] &lt;=55, "46-55", "56+"))))</f>
        <v>36-45</v>
      </c>
      <c r="AK1337" t="str">
        <f t="shared" si="20"/>
        <v>Low</v>
      </c>
      <c r="AL1337" s="2" t="str">
        <f>IF(AF1337 &lt; 3, "0-2 Years", IF(AF1337 &lt;= 5, "3-5 Years", IF(AF1337 &lt;= 10, "6-10 Years",IF(Table3[[#This Row],[Years At Company]]&lt;=20, "11-20 Years","20+ Years"))))</f>
        <v>0-2 Years</v>
      </c>
    </row>
    <row r="1338" spans="1:38" x14ac:dyDescent="0.25">
      <c r="A1338" s="2">
        <v>55</v>
      </c>
      <c r="B1338" t="s">
        <v>43</v>
      </c>
      <c r="C1338" t="s">
        <v>36</v>
      </c>
      <c r="D1338" s="2">
        <v>836</v>
      </c>
      <c r="E1338" t="s">
        <v>45</v>
      </c>
      <c r="F1338" s="2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 s="2">
        <v>2662</v>
      </c>
      <c r="T1338">
        <v>7975</v>
      </c>
      <c r="U1338">
        <v>8</v>
      </c>
      <c r="V1338" t="s">
        <v>42</v>
      </c>
      <c r="W1338" t="s">
        <v>43</v>
      </c>
      <c r="X1338" s="2">
        <v>20</v>
      </c>
      <c r="Y1338">
        <v>4</v>
      </c>
      <c r="Z1338">
        <v>2</v>
      </c>
      <c r="AA1338">
        <v>80</v>
      </c>
      <c r="AB1338">
        <v>1</v>
      </c>
      <c r="AC1338" s="2">
        <v>19</v>
      </c>
      <c r="AD1338">
        <v>2</v>
      </c>
      <c r="AE1338">
        <v>4</v>
      </c>
      <c r="AF1338" s="2">
        <v>5</v>
      </c>
      <c r="AG1338">
        <v>2</v>
      </c>
      <c r="AH1338">
        <v>0</v>
      </c>
      <c r="AI1338">
        <v>4</v>
      </c>
      <c r="AJ1338" s="2" t="str">
        <f>IF(A1338 A1338 &lt;= 25, "18-25", IF(A1338 &lt;=35, "26-35", IF(A1338 &lt;=45, "36-45", IF(Table3[[#This Row],[Age]] &lt;=55, "46-55", "56+"))))</f>
        <v>46-55</v>
      </c>
      <c r="AK1338" t="str">
        <f t="shared" si="20"/>
        <v>Low</v>
      </c>
      <c r="AL1338" s="2" t="str">
        <f>IF(AF1338 &lt; 3, "0-2 Years", IF(AF1338 &lt;= 5, "3-5 Years", IF(AF1338 &lt;= 10, "6-10 Years",IF(Table3[[#This Row],[Years At Company]]&lt;=20, "11-20 Years","20+ Years"))))</f>
        <v>3-5 Years</v>
      </c>
    </row>
    <row r="1339" spans="1:38" x14ac:dyDescent="0.25">
      <c r="A1339" s="2">
        <v>28</v>
      </c>
      <c r="B1339" t="s">
        <v>43</v>
      </c>
      <c r="C1339" t="s">
        <v>36</v>
      </c>
      <c r="D1339" s="2">
        <v>1172</v>
      </c>
      <c r="E1339" t="s">
        <v>37</v>
      </c>
      <c r="F1339" s="2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 s="2">
        <v>2856</v>
      </c>
      <c r="T1339">
        <v>3692</v>
      </c>
      <c r="U1339">
        <v>1</v>
      </c>
      <c r="V1339" t="s">
        <v>42</v>
      </c>
      <c r="W1339" t="s">
        <v>43</v>
      </c>
      <c r="X1339" s="2">
        <v>19</v>
      </c>
      <c r="Y1339">
        <v>3</v>
      </c>
      <c r="Z1339">
        <v>4</v>
      </c>
      <c r="AA1339">
        <v>80</v>
      </c>
      <c r="AB1339">
        <v>1</v>
      </c>
      <c r="AC1339" s="2">
        <v>1</v>
      </c>
      <c r="AD1339">
        <v>3</v>
      </c>
      <c r="AE1339">
        <v>3</v>
      </c>
      <c r="AF1339" s="2">
        <v>1</v>
      </c>
      <c r="AG1339">
        <v>0</v>
      </c>
      <c r="AH1339">
        <v>0</v>
      </c>
      <c r="AI1339">
        <v>0</v>
      </c>
      <c r="AJ1339" s="2" t="str">
        <f>IF(A1339 A1339 &lt;= 25, "18-25", IF(A1339 &lt;=35, "26-35", IF(A1339 &lt;=45, "36-45", IF(Table3[[#This Row],[Age]] &lt;=55, "46-55", "56+"))))</f>
        <v>26-35</v>
      </c>
      <c r="AK1339" t="str">
        <f t="shared" si="20"/>
        <v>Low</v>
      </c>
      <c r="AL1339" s="2" t="str">
        <f>IF(AF1339 &lt; 3, "0-2 Years", IF(AF1339 &lt;= 5, "3-5 Years", IF(AF1339 &lt;= 10, "6-10 Years",IF(Table3[[#This Row],[Years At Company]]&lt;=20, "11-20 Years","20+ Years"))))</f>
        <v>0-2 Years</v>
      </c>
    </row>
    <row r="1340" spans="1:38" x14ac:dyDescent="0.25">
      <c r="A1340" s="2">
        <v>30</v>
      </c>
      <c r="B1340" t="s">
        <v>35</v>
      </c>
      <c r="C1340" t="s">
        <v>36</v>
      </c>
      <c r="D1340" s="2">
        <v>945</v>
      </c>
      <c r="E1340" t="s">
        <v>37</v>
      </c>
      <c r="F1340" s="2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 s="2">
        <v>1081</v>
      </c>
      <c r="T1340">
        <v>16019</v>
      </c>
      <c r="U1340">
        <v>1</v>
      </c>
      <c r="V1340" t="s">
        <v>42</v>
      </c>
      <c r="W1340" t="s">
        <v>43</v>
      </c>
      <c r="X1340" s="2">
        <v>13</v>
      </c>
      <c r="Y1340">
        <v>3</v>
      </c>
      <c r="Z1340">
        <v>3</v>
      </c>
      <c r="AA1340">
        <v>80</v>
      </c>
      <c r="AB1340">
        <v>0</v>
      </c>
      <c r="AC1340" s="2">
        <v>1</v>
      </c>
      <c r="AD1340">
        <v>3</v>
      </c>
      <c r="AE1340">
        <v>2</v>
      </c>
      <c r="AF1340" s="2">
        <v>1</v>
      </c>
      <c r="AG1340">
        <v>0</v>
      </c>
      <c r="AH1340">
        <v>0</v>
      </c>
      <c r="AI1340">
        <v>0</v>
      </c>
      <c r="AJ1340" s="2" t="str">
        <f>IF(A1340 A1340 &lt;= 25, "18-25", IF(A1340 &lt;=35, "26-35", IF(A1340 &lt;=45, "36-45", IF(Table3[[#This Row],[Age]] &lt;=55, "46-55", "56+"))))</f>
        <v>26-35</v>
      </c>
      <c r="AK1340" t="str">
        <f t="shared" si="20"/>
        <v>Low</v>
      </c>
      <c r="AL1340" s="2" t="str">
        <f>IF(AF1340 &lt; 3, "0-2 Years", IF(AF1340 &lt;= 5, "3-5 Years", IF(AF1340 &lt;= 10, "6-10 Years",IF(Table3[[#This Row],[Years At Company]]&lt;=20, "11-20 Years","20+ Years"))))</f>
        <v>0-2 Years</v>
      </c>
    </row>
    <row r="1341" spans="1:38" x14ac:dyDescent="0.25">
      <c r="A1341" s="2">
        <v>22</v>
      </c>
      <c r="B1341" t="s">
        <v>35</v>
      </c>
      <c r="C1341" t="s">
        <v>36</v>
      </c>
      <c r="D1341" s="2">
        <v>391</v>
      </c>
      <c r="E1341" t="s">
        <v>45</v>
      </c>
      <c r="F1341" s="2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 s="2">
        <v>2472</v>
      </c>
      <c r="T1341">
        <v>26092</v>
      </c>
      <c r="U1341">
        <v>1</v>
      </c>
      <c r="V1341" t="s">
        <v>42</v>
      </c>
      <c r="W1341" t="s">
        <v>35</v>
      </c>
      <c r="X1341" s="2">
        <v>23</v>
      </c>
      <c r="Y1341">
        <v>4</v>
      </c>
      <c r="Z1341">
        <v>1</v>
      </c>
      <c r="AA1341">
        <v>80</v>
      </c>
      <c r="AB1341">
        <v>0</v>
      </c>
      <c r="AC1341" s="2">
        <v>1</v>
      </c>
      <c r="AD1341">
        <v>2</v>
      </c>
      <c r="AE1341">
        <v>3</v>
      </c>
      <c r="AF1341" s="2">
        <v>1</v>
      </c>
      <c r="AG1341">
        <v>0</v>
      </c>
      <c r="AH1341">
        <v>0</v>
      </c>
      <c r="AI1341">
        <v>0</v>
      </c>
      <c r="AJ1341" s="2" t="str">
        <f>IF(A1341 A1341 &lt;= 25, "18-25", IF(A1341 &lt;=35, "26-35", IF(A1341 &lt;=45, "36-45", IF(Table3[[#This Row],[Age]] &lt;=55, "46-55", "56+"))))</f>
        <v>18-25</v>
      </c>
      <c r="AK1341" t="str">
        <f t="shared" si="20"/>
        <v>Low</v>
      </c>
      <c r="AL1341" s="2" t="str">
        <f>IF(AF1341 &lt; 3, "0-2 Years", IF(AF1341 &lt;= 5, "3-5 Years", IF(AF1341 &lt;= 10, "6-10 Years",IF(Table3[[#This Row],[Years At Company]]&lt;=20, "11-20 Years","20+ Years"))))</f>
        <v>0-2 Years</v>
      </c>
    </row>
    <row r="1342" spans="1:38" x14ac:dyDescent="0.25">
      <c r="A1342" s="2">
        <v>36</v>
      </c>
      <c r="B1342" t="s">
        <v>43</v>
      </c>
      <c r="C1342" t="s">
        <v>36</v>
      </c>
      <c r="D1342" s="2">
        <v>1266</v>
      </c>
      <c r="E1342" t="s">
        <v>37</v>
      </c>
      <c r="F1342" s="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 s="2">
        <v>5673</v>
      </c>
      <c r="T1342">
        <v>6060</v>
      </c>
      <c r="U1342">
        <v>1</v>
      </c>
      <c r="V1342" t="s">
        <v>42</v>
      </c>
      <c r="W1342" t="s">
        <v>35</v>
      </c>
      <c r="X1342" s="2">
        <v>13</v>
      </c>
      <c r="Y1342">
        <v>3</v>
      </c>
      <c r="Z1342">
        <v>1</v>
      </c>
      <c r="AA1342">
        <v>80</v>
      </c>
      <c r="AB1342">
        <v>1</v>
      </c>
      <c r="AC1342" s="2">
        <v>10</v>
      </c>
      <c r="AD1342">
        <v>4</v>
      </c>
      <c r="AE1342">
        <v>3</v>
      </c>
      <c r="AF1342" s="2">
        <v>10</v>
      </c>
      <c r="AG1342">
        <v>9</v>
      </c>
      <c r="AH1342">
        <v>1</v>
      </c>
      <c r="AI1342">
        <v>7</v>
      </c>
      <c r="AJ1342" s="2" t="str">
        <f>IF(A1342 A1342 &lt;= 25, "18-25", IF(A1342 &lt;=35, "26-35", IF(A1342 &lt;=45, "36-45", IF(Table3[[#This Row],[Age]] &lt;=55, "46-55", "56+"))))</f>
        <v>36-45</v>
      </c>
      <c r="AK1342" t="str">
        <f t="shared" si="20"/>
        <v>Medium</v>
      </c>
      <c r="AL1342" s="2" t="str">
        <f>IF(AF1342 &lt; 3, "0-2 Years", IF(AF1342 &lt;= 5, "3-5 Years", IF(AF1342 &lt;= 10, "6-10 Years",IF(Table3[[#This Row],[Years At Company]]&lt;=20, "11-20 Years","20+ Years"))))</f>
        <v>6-10 Years</v>
      </c>
    </row>
    <row r="1343" spans="1:38" x14ac:dyDescent="0.25">
      <c r="A1343" s="2">
        <v>31</v>
      </c>
      <c r="B1343" t="s">
        <v>43</v>
      </c>
      <c r="C1343" t="s">
        <v>36</v>
      </c>
      <c r="D1343" s="2">
        <v>311</v>
      </c>
      <c r="E1343" t="s">
        <v>45</v>
      </c>
      <c r="F1343" s="2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 s="2">
        <v>4197</v>
      </c>
      <c r="T1343">
        <v>18624</v>
      </c>
      <c r="U1343">
        <v>1</v>
      </c>
      <c r="V1343" t="s">
        <v>42</v>
      </c>
      <c r="W1343" t="s">
        <v>43</v>
      </c>
      <c r="X1343" s="2">
        <v>11</v>
      </c>
      <c r="Y1343">
        <v>3</v>
      </c>
      <c r="Z1343">
        <v>1</v>
      </c>
      <c r="AA1343">
        <v>80</v>
      </c>
      <c r="AB1343">
        <v>1</v>
      </c>
      <c r="AC1343" s="2">
        <v>10</v>
      </c>
      <c r="AD1343">
        <v>2</v>
      </c>
      <c r="AE1343">
        <v>3</v>
      </c>
      <c r="AF1343" s="2">
        <v>10</v>
      </c>
      <c r="AG1343">
        <v>8</v>
      </c>
      <c r="AH1343">
        <v>0</v>
      </c>
      <c r="AI1343">
        <v>2</v>
      </c>
      <c r="AJ1343" s="2" t="str">
        <f>IF(A1343 A1343 &lt;= 25, "18-25", IF(A1343 &lt;=35, "26-35", IF(A1343 &lt;=45, "36-45", IF(Table3[[#This Row],[Age]] &lt;=55, "46-55", "56+"))))</f>
        <v>26-35</v>
      </c>
      <c r="AK1343" t="str">
        <f t="shared" si="20"/>
        <v>Low</v>
      </c>
      <c r="AL1343" s="2" t="str">
        <f>IF(AF1343 &lt; 3, "0-2 Years", IF(AF1343 &lt;= 5, "3-5 Years", IF(AF1343 &lt;= 10, "6-10 Years",IF(Table3[[#This Row],[Years At Company]]&lt;=20, "11-20 Years","20+ Years"))))</f>
        <v>6-10 Years</v>
      </c>
    </row>
    <row r="1344" spans="1:38" x14ac:dyDescent="0.25">
      <c r="A1344" s="2">
        <v>34</v>
      </c>
      <c r="B1344" t="s">
        <v>43</v>
      </c>
      <c r="C1344" t="s">
        <v>36</v>
      </c>
      <c r="D1344" s="2">
        <v>1480</v>
      </c>
      <c r="E1344" t="s">
        <v>37</v>
      </c>
      <c r="F1344" s="2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 s="2">
        <v>9713</v>
      </c>
      <c r="T1344">
        <v>24444</v>
      </c>
      <c r="U1344">
        <v>2</v>
      </c>
      <c r="V1344" t="s">
        <v>42</v>
      </c>
      <c r="W1344" t="s">
        <v>35</v>
      </c>
      <c r="X1344" s="2">
        <v>13</v>
      </c>
      <c r="Y1344">
        <v>3</v>
      </c>
      <c r="Z1344">
        <v>4</v>
      </c>
      <c r="AA1344">
        <v>80</v>
      </c>
      <c r="AB1344">
        <v>3</v>
      </c>
      <c r="AC1344" s="2">
        <v>9</v>
      </c>
      <c r="AD1344">
        <v>3</v>
      </c>
      <c r="AE1344">
        <v>3</v>
      </c>
      <c r="AF1344" s="2">
        <v>5</v>
      </c>
      <c r="AG1344">
        <v>3</v>
      </c>
      <c r="AH1344">
        <v>1</v>
      </c>
      <c r="AI1344">
        <v>0</v>
      </c>
      <c r="AJ1344" s="2" t="str">
        <f>IF(A1344 A1344 &lt;= 25, "18-25", IF(A1344 &lt;=35, "26-35", IF(A1344 &lt;=45, "36-45", IF(Table3[[#This Row],[Age]] &lt;=55, "46-55", "56+"))))</f>
        <v>26-35</v>
      </c>
      <c r="AK1344" t="str">
        <f t="shared" si="20"/>
        <v>Medium</v>
      </c>
      <c r="AL1344" s="2" t="str">
        <f>IF(AF1344 &lt; 3, "0-2 Years", IF(AF1344 &lt;= 5, "3-5 Years", IF(AF1344 &lt;= 10, "6-10 Years",IF(Table3[[#This Row],[Years At Company]]&lt;=20, "11-20 Years","20+ Years"))))</f>
        <v>3-5 Years</v>
      </c>
    </row>
    <row r="1345" spans="1:38" x14ac:dyDescent="0.25">
      <c r="A1345" s="2">
        <v>29</v>
      </c>
      <c r="B1345" t="s">
        <v>43</v>
      </c>
      <c r="C1345" t="s">
        <v>36</v>
      </c>
      <c r="D1345" s="2">
        <v>592</v>
      </c>
      <c r="E1345" t="s">
        <v>45</v>
      </c>
      <c r="F1345" s="2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 s="2">
        <v>2062</v>
      </c>
      <c r="T1345">
        <v>19384</v>
      </c>
      <c r="U1345">
        <v>3</v>
      </c>
      <c r="V1345" t="s">
        <v>42</v>
      </c>
      <c r="W1345" t="s">
        <v>43</v>
      </c>
      <c r="X1345" s="2">
        <v>14</v>
      </c>
      <c r="Y1345">
        <v>3</v>
      </c>
      <c r="Z1345">
        <v>2</v>
      </c>
      <c r="AA1345">
        <v>80</v>
      </c>
      <c r="AB1345">
        <v>0</v>
      </c>
      <c r="AC1345" s="2">
        <v>11</v>
      </c>
      <c r="AD1345">
        <v>2</v>
      </c>
      <c r="AE1345">
        <v>3</v>
      </c>
      <c r="AF1345" s="2">
        <v>3</v>
      </c>
      <c r="AG1345">
        <v>2</v>
      </c>
      <c r="AH1345">
        <v>1</v>
      </c>
      <c r="AI1345">
        <v>2</v>
      </c>
      <c r="AJ1345" s="2" t="str">
        <f>IF(A1345 A1345 &lt;= 25, "18-25", IF(A1345 &lt;=35, "26-35", IF(A1345 &lt;=45, "36-45", IF(Table3[[#This Row],[Age]] &lt;=55, "46-55", "56+"))))</f>
        <v>26-35</v>
      </c>
      <c r="AK1345" t="str">
        <f t="shared" si="20"/>
        <v>Low</v>
      </c>
      <c r="AL1345" s="2" t="str">
        <f>IF(AF1345 &lt; 3, "0-2 Years", IF(AF1345 &lt;= 5, "3-5 Years", IF(AF1345 &lt;= 10, "6-10 Years",IF(Table3[[#This Row],[Years At Company]]&lt;=20, "11-20 Years","20+ Years"))))</f>
        <v>3-5 Years</v>
      </c>
    </row>
    <row r="1346" spans="1:38" x14ac:dyDescent="0.25">
      <c r="A1346" s="2">
        <v>37</v>
      </c>
      <c r="B1346" t="s">
        <v>43</v>
      </c>
      <c r="C1346" t="s">
        <v>36</v>
      </c>
      <c r="D1346" s="2">
        <v>783</v>
      </c>
      <c r="E1346" t="s">
        <v>45</v>
      </c>
      <c r="F1346" s="2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 s="2">
        <v>4284</v>
      </c>
      <c r="T1346">
        <v>13588</v>
      </c>
      <c r="U1346">
        <v>5</v>
      </c>
      <c r="V1346" t="s">
        <v>42</v>
      </c>
      <c r="W1346" t="s">
        <v>35</v>
      </c>
      <c r="X1346" s="2">
        <v>22</v>
      </c>
      <c r="Y1346">
        <v>4</v>
      </c>
      <c r="Z1346">
        <v>3</v>
      </c>
      <c r="AA1346">
        <v>80</v>
      </c>
      <c r="AB1346">
        <v>1</v>
      </c>
      <c r="AC1346" s="2">
        <v>16</v>
      </c>
      <c r="AD1346">
        <v>2</v>
      </c>
      <c r="AE1346">
        <v>3</v>
      </c>
      <c r="AF1346" s="2">
        <v>5</v>
      </c>
      <c r="AG1346">
        <v>3</v>
      </c>
      <c r="AH1346">
        <v>0</v>
      </c>
      <c r="AI1346">
        <v>4</v>
      </c>
      <c r="AJ1346" s="2" t="str">
        <f>IF(A1346 A1346 &lt;= 25, "18-25", IF(A1346 &lt;=35, "26-35", IF(A1346 &lt;=45, "36-45", IF(Table3[[#This Row],[Age]] &lt;=55, "46-55", "56+"))))</f>
        <v>36-45</v>
      </c>
      <c r="AK1346" t="str">
        <f t="shared" ref="AK1346:AK1409" si="21">IF(S1346 &lt; 5000, "Low",IF(S1346 &lt;=9999, "Medium", "High"))</f>
        <v>Low</v>
      </c>
      <c r="AL1346" s="2" t="str">
        <f>IF(AF1346 &lt; 3, "0-2 Years", IF(AF1346 &lt;= 5, "3-5 Years", IF(AF1346 &lt;= 10, "6-10 Years",IF(Table3[[#This Row],[Years At Company]]&lt;=20, "11-20 Years","20+ Years"))))</f>
        <v>3-5 Years</v>
      </c>
    </row>
    <row r="1347" spans="1:38" x14ac:dyDescent="0.25">
      <c r="A1347" s="2">
        <v>35</v>
      </c>
      <c r="B1347" t="s">
        <v>43</v>
      </c>
      <c r="C1347" t="s">
        <v>36</v>
      </c>
      <c r="D1347" s="2">
        <v>219</v>
      </c>
      <c r="E1347" t="s">
        <v>45</v>
      </c>
      <c r="F1347" s="2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 s="2">
        <v>4788</v>
      </c>
      <c r="T1347">
        <v>25388</v>
      </c>
      <c r="U1347">
        <v>0</v>
      </c>
      <c r="V1347" t="s">
        <v>42</v>
      </c>
      <c r="W1347" t="s">
        <v>35</v>
      </c>
      <c r="X1347" s="2">
        <v>11</v>
      </c>
      <c r="Y1347">
        <v>3</v>
      </c>
      <c r="Z1347">
        <v>4</v>
      </c>
      <c r="AA1347">
        <v>80</v>
      </c>
      <c r="AB1347">
        <v>0</v>
      </c>
      <c r="AC1347" s="2">
        <v>4</v>
      </c>
      <c r="AD1347">
        <v>2</v>
      </c>
      <c r="AE1347">
        <v>3</v>
      </c>
      <c r="AF1347" s="2">
        <v>3</v>
      </c>
      <c r="AG1347">
        <v>2</v>
      </c>
      <c r="AH1347">
        <v>0</v>
      </c>
      <c r="AI1347">
        <v>2</v>
      </c>
      <c r="AJ1347" s="2" t="str">
        <f>IF(A1347 A1347 &lt;= 25, "18-25", IF(A1347 &lt;=35, "26-35", IF(A1347 &lt;=45, "36-45", IF(Table3[[#This Row],[Age]] &lt;=55, "46-55", "56+"))))</f>
        <v>26-35</v>
      </c>
      <c r="AK1347" t="str">
        <f t="shared" si="21"/>
        <v>Low</v>
      </c>
      <c r="AL1347" s="2" t="str">
        <f>IF(AF1347 &lt; 3, "0-2 Years", IF(AF1347 &lt;= 5, "3-5 Years", IF(AF1347 &lt;= 10, "6-10 Years",IF(Table3[[#This Row],[Years At Company]]&lt;=20, "11-20 Years","20+ Years"))))</f>
        <v>3-5 Years</v>
      </c>
    </row>
    <row r="1348" spans="1:38" x14ac:dyDescent="0.25">
      <c r="A1348" s="2">
        <v>45</v>
      </c>
      <c r="B1348" t="s">
        <v>43</v>
      </c>
      <c r="C1348" t="s">
        <v>36</v>
      </c>
      <c r="D1348" s="2">
        <v>556</v>
      </c>
      <c r="E1348" t="s">
        <v>45</v>
      </c>
      <c r="F1348" s="2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 s="2">
        <v>5906</v>
      </c>
      <c r="T1348">
        <v>23888</v>
      </c>
      <c r="U1348">
        <v>0</v>
      </c>
      <c r="V1348" t="s">
        <v>42</v>
      </c>
      <c r="W1348" t="s">
        <v>43</v>
      </c>
      <c r="X1348" s="2">
        <v>13</v>
      </c>
      <c r="Y1348">
        <v>3</v>
      </c>
      <c r="Z1348">
        <v>4</v>
      </c>
      <c r="AA1348">
        <v>80</v>
      </c>
      <c r="AB1348">
        <v>2</v>
      </c>
      <c r="AC1348" s="2">
        <v>10</v>
      </c>
      <c r="AD1348">
        <v>2</v>
      </c>
      <c r="AE1348">
        <v>2</v>
      </c>
      <c r="AF1348" s="2">
        <v>9</v>
      </c>
      <c r="AG1348">
        <v>8</v>
      </c>
      <c r="AH1348">
        <v>3</v>
      </c>
      <c r="AI1348">
        <v>8</v>
      </c>
      <c r="AJ1348" s="2" t="str">
        <f>IF(A1348 A1348 &lt;= 25, "18-25", IF(A1348 &lt;=35, "26-35", IF(A1348 &lt;=45, "36-45", IF(Table3[[#This Row],[Age]] &lt;=55, "46-55", "56+"))))</f>
        <v>36-45</v>
      </c>
      <c r="AK1348" t="str">
        <f t="shared" si="21"/>
        <v>Medium</v>
      </c>
      <c r="AL1348" s="2" t="str">
        <f>IF(AF1348 &lt; 3, "0-2 Years", IF(AF1348 &lt;= 5, "3-5 Years", IF(AF1348 &lt;= 10, "6-10 Years",IF(Table3[[#This Row],[Years At Company]]&lt;=20, "11-20 Years","20+ Years"))))</f>
        <v>6-10 Years</v>
      </c>
    </row>
    <row r="1349" spans="1:38" x14ac:dyDescent="0.25">
      <c r="A1349" s="2">
        <v>36</v>
      </c>
      <c r="B1349" t="s">
        <v>43</v>
      </c>
      <c r="C1349" t="s">
        <v>44</v>
      </c>
      <c r="D1349" s="2">
        <v>1213</v>
      </c>
      <c r="E1349" t="s">
        <v>61</v>
      </c>
      <c r="F1349" s="2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 s="2">
        <v>3886</v>
      </c>
      <c r="T1349">
        <v>4223</v>
      </c>
      <c r="U1349">
        <v>1</v>
      </c>
      <c r="V1349" t="s">
        <v>42</v>
      </c>
      <c r="W1349" t="s">
        <v>43</v>
      </c>
      <c r="X1349" s="2">
        <v>21</v>
      </c>
      <c r="Y1349">
        <v>4</v>
      </c>
      <c r="Z1349">
        <v>4</v>
      </c>
      <c r="AA1349">
        <v>80</v>
      </c>
      <c r="AB1349">
        <v>0</v>
      </c>
      <c r="AC1349" s="2">
        <v>10</v>
      </c>
      <c r="AD1349">
        <v>2</v>
      </c>
      <c r="AE1349">
        <v>2</v>
      </c>
      <c r="AF1349" s="2">
        <v>10</v>
      </c>
      <c r="AG1349">
        <v>1</v>
      </c>
      <c r="AH1349">
        <v>0</v>
      </c>
      <c r="AI1349">
        <v>8</v>
      </c>
      <c r="AJ1349" s="2" t="str">
        <f>IF(A1349 A1349 &lt;= 25, "18-25", IF(A1349 &lt;=35, "26-35", IF(A1349 &lt;=45, "36-45", IF(Table3[[#This Row],[Age]] &lt;=55, "46-55", "56+"))))</f>
        <v>36-45</v>
      </c>
      <c r="AK1349" t="str">
        <f t="shared" si="21"/>
        <v>Low</v>
      </c>
      <c r="AL1349" s="2" t="str">
        <f>IF(AF1349 &lt; 3, "0-2 Years", IF(AF1349 &lt;= 5, "3-5 Years", IF(AF1349 &lt;= 10, "6-10 Years",IF(Table3[[#This Row],[Years At Company]]&lt;=20, "11-20 Years","20+ Years"))))</f>
        <v>6-10 Years</v>
      </c>
    </row>
    <row r="1350" spans="1:38" x14ac:dyDescent="0.25">
      <c r="A1350" s="2">
        <v>40</v>
      </c>
      <c r="B1350" t="s">
        <v>43</v>
      </c>
      <c r="C1350" t="s">
        <v>36</v>
      </c>
      <c r="D1350" s="2">
        <v>1137</v>
      </c>
      <c r="E1350" t="s">
        <v>45</v>
      </c>
      <c r="F1350" s="2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 s="2">
        <v>16823</v>
      </c>
      <c r="T1350">
        <v>18991</v>
      </c>
      <c r="U1350">
        <v>2</v>
      </c>
      <c r="V1350" t="s">
        <v>42</v>
      </c>
      <c r="W1350" t="s">
        <v>43</v>
      </c>
      <c r="X1350" s="2">
        <v>11</v>
      </c>
      <c r="Y1350">
        <v>3</v>
      </c>
      <c r="Z1350">
        <v>1</v>
      </c>
      <c r="AA1350">
        <v>80</v>
      </c>
      <c r="AB1350">
        <v>1</v>
      </c>
      <c r="AC1350" s="2">
        <v>22</v>
      </c>
      <c r="AD1350">
        <v>3</v>
      </c>
      <c r="AE1350">
        <v>3</v>
      </c>
      <c r="AF1350" s="2">
        <v>19</v>
      </c>
      <c r="AG1350">
        <v>7</v>
      </c>
      <c r="AH1350">
        <v>11</v>
      </c>
      <c r="AI1350">
        <v>16</v>
      </c>
      <c r="AJ1350" s="2" t="str">
        <f>IF(A1350 A1350 &lt;= 25, "18-25", IF(A1350 &lt;=35, "26-35", IF(A1350 &lt;=45, "36-45", IF(Table3[[#This Row],[Age]] &lt;=55, "46-55", "56+"))))</f>
        <v>36-45</v>
      </c>
      <c r="AK1350" t="str">
        <f t="shared" si="21"/>
        <v>High</v>
      </c>
      <c r="AL1350" s="2" t="str">
        <f>IF(AF1350 &lt; 3, "0-2 Years", IF(AF1350 &lt;= 5, "3-5 Years", IF(AF1350 &lt;= 10, "6-10 Years",IF(Table3[[#This Row],[Years At Company]]&lt;=20, "11-20 Years","20+ Years"))))</f>
        <v>11-20 Years</v>
      </c>
    </row>
    <row r="1351" spans="1:38" x14ac:dyDescent="0.25">
      <c r="A1351" s="2">
        <v>26</v>
      </c>
      <c r="B1351" t="s">
        <v>43</v>
      </c>
      <c r="C1351" t="s">
        <v>36</v>
      </c>
      <c r="D1351" s="2">
        <v>482</v>
      </c>
      <c r="E1351" t="s">
        <v>45</v>
      </c>
      <c r="F1351" s="2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 s="2">
        <v>2933</v>
      </c>
      <c r="T1351">
        <v>14908</v>
      </c>
      <c r="U1351">
        <v>1</v>
      </c>
      <c r="V1351" t="s">
        <v>42</v>
      </c>
      <c r="W1351" t="s">
        <v>35</v>
      </c>
      <c r="X1351" s="2">
        <v>13</v>
      </c>
      <c r="Y1351">
        <v>3</v>
      </c>
      <c r="Z1351">
        <v>3</v>
      </c>
      <c r="AA1351">
        <v>80</v>
      </c>
      <c r="AB1351">
        <v>1</v>
      </c>
      <c r="AC1351" s="2">
        <v>1</v>
      </c>
      <c r="AD1351">
        <v>3</v>
      </c>
      <c r="AE1351">
        <v>2</v>
      </c>
      <c r="AF1351" s="2">
        <v>1</v>
      </c>
      <c r="AG1351">
        <v>0</v>
      </c>
      <c r="AH1351">
        <v>1</v>
      </c>
      <c r="AI1351">
        <v>0</v>
      </c>
      <c r="AJ1351" s="2" t="str">
        <f>IF(A1351 A1351 &lt;= 25, "18-25", IF(A1351 &lt;=35, "26-35", IF(A1351 &lt;=45, "36-45", IF(Table3[[#This Row],[Age]] &lt;=55, "46-55", "56+"))))</f>
        <v>26-35</v>
      </c>
      <c r="AK1351" t="str">
        <f t="shared" si="21"/>
        <v>Low</v>
      </c>
      <c r="AL1351" s="2" t="str">
        <f>IF(AF1351 &lt; 3, "0-2 Years", IF(AF1351 &lt;= 5, "3-5 Years", IF(AF1351 &lt;= 10, "6-10 Years",IF(Table3[[#This Row],[Years At Company]]&lt;=20, "11-20 Years","20+ Years"))))</f>
        <v>0-2 Years</v>
      </c>
    </row>
    <row r="1352" spans="1:38" x14ac:dyDescent="0.25">
      <c r="A1352" s="2">
        <v>27</v>
      </c>
      <c r="B1352" t="s">
        <v>43</v>
      </c>
      <c r="C1352" t="s">
        <v>36</v>
      </c>
      <c r="D1352" s="2">
        <v>511</v>
      </c>
      <c r="E1352" t="s">
        <v>37</v>
      </c>
      <c r="F1352" s="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 s="2">
        <v>6500</v>
      </c>
      <c r="T1352">
        <v>26997</v>
      </c>
      <c r="U1352">
        <v>0</v>
      </c>
      <c r="V1352" t="s">
        <v>42</v>
      </c>
      <c r="W1352" t="s">
        <v>43</v>
      </c>
      <c r="X1352" s="2">
        <v>14</v>
      </c>
      <c r="Y1352">
        <v>3</v>
      </c>
      <c r="Z1352">
        <v>2</v>
      </c>
      <c r="AA1352">
        <v>80</v>
      </c>
      <c r="AB1352">
        <v>0</v>
      </c>
      <c r="AC1352" s="2">
        <v>9</v>
      </c>
      <c r="AD1352">
        <v>5</v>
      </c>
      <c r="AE1352">
        <v>2</v>
      </c>
      <c r="AF1352" s="2">
        <v>8</v>
      </c>
      <c r="AG1352">
        <v>7</v>
      </c>
      <c r="AH1352">
        <v>0</v>
      </c>
      <c r="AI1352">
        <v>7</v>
      </c>
      <c r="AJ1352" s="2" t="str">
        <f>IF(A1352 A1352 &lt;= 25, "18-25", IF(A1352 &lt;=35, "26-35", IF(A1352 &lt;=45, "36-45", IF(Table3[[#This Row],[Age]] &lt;=55, "46-55", "56+"))))</f>
        <v>26-35</v>
      </c>
      <c r="AK1352" t="str">
        <f t="shared" si="21"/>
        <v>Medium</v>
      </c>
      <c r="AL1352" s="2" t="str">
        <f>IF(AF1352 &lt; 3, "0-2 Years", IF(AF1352 &lt;= 5, "3-5 Years", IF(AF1352 &lt;= 10, "6-10 Years",IF(Table3[[#This Row],[Years At Company]]&lt;=20, "11-20 Years","20+ Years"))))</f>
        <v>6-10 Years</v>
      </c>
    </row>
    <row r="1353" spans="1:38" x14ac:dyDescent="0.25">
      <c r="A1353" s="2">
        <v>48</v>
      </c>
      <c r="B1353" t="s">
        <v>43</v>
      </c>
      <c r="C1353" t="s">
        <v>44</v>
      </c>
      <c r="D1353" s="2">
        <v>117</v>
      </c>
      <c r="E1353" t="s">
        <v>45</v>
      </c>
      <c r="F1353" s="2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 s="2">
        <v>17174</v>
      </c>
      <c r="T1353">
        <v>2437</v>
      </c>
      <c r="U1353">
        <v>3</v>
      </c>
      <c r="V1353" t="s">
        <v>42</v>
      </c>
      <c r="W1353" t="s">
        <v>43</v>
      </c>
      <c r="X1353" s="2">
        <v>11</v>
      </c>
      <c r="Y1353">
        <v>3</v>
      </c>
      <c r="Z1353">
        <v>2</v>
      </c>
      <c r="AA1353">
        <v>80</v>
      </c>
      <c r="AB1353">
        <v>1</v>
      </c>
      <c r="AC1353" s="2">
        <v>24</v>
      </c>
      <c r="AD1353">
        <v>3</v>
      </c>
      <c r="AE1353">
        <v>3</v>
      </c>
      <c r="AF1353" s="2">
        <v>22</v>
      </c>
      <c r="AG1353">
        <v>17</v>
      </c>
      <c r="AH1353">
        <v>4</v>
      </c>
      <c r="AI1353">
        <v>7</v>
      </c>
      <c r="AJ1353" s="2" t="str">
        <f>IF(A1353 A1353 &lt;= 25, "18-25", IF(A1353 &lt;=35, "26-35", IF(A1353 &lt;=45, "36-45", IF(Table3[[#This Row],[Age]] &lt;=55, "46-55", "56+"))))</f>
        <v>46-55</v>
      </c>
      <c r="AK1353" t="str">
        <f t="shared" si="21"/>
        <v>High</v>
      </c>
      <c r="AL1353" s="2" t="str">
        <f>IF(AF1353 &lt; 3, "0-2 Years", IF(AF1353 &lt;= 5, "3-5 Years", IF(AF1353 &lt;= 10, "6-10 Years",IF(Table3[[#This Row],[Years At Company]]&lt;=20, "11-20 Years","20+ Years"))))</f>
        <v>20+ Years</v>
      </c>
    </row>
    <row r="1354" spans="1:38" x14ac:dyDescent="0.25">
      <c r="A1354" s="2">
        <v>44</v>
      </c>
      <c r="B1354" t="s">
        <v>43</v>
      </c>
      <c r="C1354" t="s">
        <v>36</v>
      </c>
      <c r="D1354" s="2">
        <v>170</v>
      </c>
      <c r="E1354" t="s">
        <v>45</v>
      </c>
      <c r="F1354" s="2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 s="2">
        <v>5033</v>
      </c>
      <c r="T1354">
        <v>9364</v>
      </c>
      <c r="U1354">
        <v>2</v>
      </c>
      <c r="V1354" t="s">
        <v>42</v>
      </c>
      <c r="W1354" t="s">
        <v>43</v>
      </c>
      <c r="X1354" s="2">
        <v>15</v>
      </c>
      <c r="Y1354">
        <v>3</v>
      </c>
      <c r="Z1354">
        <v>4</v>
      </c>
      <c r="AA1354">
        <v>80</v>
      </c>
      <c r="AB1354">
        <v>1</v>
      </c>
      <c r="AC1354" s="2">
        <v>10</v>
      </c>
      <c r="AD1354">
        <v>5</v>
      </c>
      <c r="AE1354">
        <v>3</v>
      </c>
      <c r="AF1354" s="2">
        <v>2</v>
      </c>
      <c r="AG1354">
        <v>0</v>
      </c>
      <c r="AH1354">
        <v>2</v>
      </c>
      <c r="AI1354">
        <v>2</v>
      </c>
      <c r="AJ1354" s="2" t="str">
        <f>IF(A1354 A1354 &lt;= 25, "18-25", IF(A1354 &lt;=35, "26-35", IF(A1354 &lt;=45, "36-45", IF(Table3[[#This Row],[Age]] &lt;=55, "46-55", "56+"))))</f>
        <v>36-45</v>
      </c>
      <c r="AK1354" t="str">
        <f t="shared" si="21"/>
        <v>Medium</v>
      </c>
      <c r="AL1354" s="2" t="str">
        <f>IF(AF1354 &lt; 3, "0-2 Years", IF(AF1354 &lt;= 5, "3-5 Years", IF(AF1354 &lt;= 10, "6-10 Years",IF(Table3[[#This Row],[Years At Company]]&lt;=20, "11-20 Years","20+ Years"))))</f>
        <v>0-2 Years</v>
      </c>
    </row>
    <row r="1355" spans="1:38" x14ac:dyDescent="0.25">
      <c r="A1355" s="2">
        <v>34</v>
      </c>
      <c r="B1355" t="s">
        <v>35</v>
      </c>
      <c r="C1355" t="s">
        <v>55</v>
      </c>
      <c r="D1355" s="2">
        <v>967</v>
      </c>
      <c r="E1355" t="s">
        <v>45</v>
      </c>
      <c r="F1355" s="2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 s="2">
        <v>2307</v>
      </c>
      <c r="T1355">
        <v>14460</v>
      </c>
      <c r="U1355">
        <v>1</v>
      </c>
      <c r="V1355" t="s">
        <v>42</v>
      </c>
      <c r="W1355" t="s">
        <v>35</v>
      </c>
      <c r="X1355" s="2">
        <v>23</v>
      </c>
      <c r="Y1355">
        <v>4</v>
      </c>
      <c r="Z1355">
        <v>2</v>
      </c>
      <c r="AA1355">
        <v>80</v>
      </c>
      <c r="AB1355">
        <v>1</v>
      </c>
      <c r="AC1355" s="2">
        <v>5</v>
      </c>
      <c r="AD1355">
        <v>2</v>
      </c>
      <c r="AE1355">
        <v>3</v>
      </c>
      <c r="AF1355" s="2">
        <v>5</v>
      </c>
      <c r="AG1355">
        <v>2</v>
      </c>
      <c r="AH1355">
        <v>3</v>
      </c>
      <c r="AI1355">
        <v>0</v>
      </c>
      <c r="AJ1355" s="2" t="str">
        <f>IF(A1355 A1355 &lt;= 25, "18-25", IF(A1355 &lt;=35, "26-35", IF(A1355 &lt;=45, "36-45", IF(Table3[[#This Row],[Age]] &lt;=55, "46-55", "56+"))))</f>
        <v>26-35</v>
      </c>
      <c r="AK1355" t="str">
        <f t="shared" si="21"/>
        <v>Low</v>
      </c>
      <c r="AL1355" s="2" t="str">
        <f>IF(AF1355 &lt; 3, "0-2 Years", IF(AF1355 &lt;= 5, "3-5 Years", IF(AF1355 &lt;= 10, "6-10 Years",IF(Table3[[#This Row],[Years At Company]]&lt;=20, "11-20 Years","20+ Years"))))</f>
        <v>3-5 Years</v>
      </c>
    </row>
    <row r="1356" spans="1:38" x14ac:dyDescent="0.25">
      <c r="A1356" s="2">
        <v>56</v>
      </c>
      <c r="B1356" t="s">
        <v>35</v>
      </c>
      <c r="C1356" t="s">
        <v>36</v>
      </c>
      <c r="D1356" s="2">
        <v>1162</v>
      </c>
      <c r="E1356" t="s">
        <v>45</v>
      </c>
      <c r="F1356" s="2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 s="2">
        <v>2587</v>
      </c>
      <c r="T1356">
        <v>10261</v>
      </c>
      <c r="U1356">
        <v>1</v>
      </c>
      <c r="V1356" t="s">
        <v>42</v>
      </c>
      <c r="W1356" t="s">
        <v>43</v>
      </c>
      <c r="X1356" s="2">
        <v>16</v>
      </c>
      <c r="Y1356">
        <v>3</v>
      </c>
      <c r="Z1356">
        <v>4</v>
      </c>
      <c r="AA1356">
        <v>80</v>
      </c>
      <c r="AB1356">
        <v>0</v>
      </c>
      <c r="AC1356" s="2">
        <v>5</v>
      </c>
      <c r="AD1356">
        <v>3</v>
      </c>
      <c r="AE1356">
        <v>3</v>
      </c>
      <c r="AF1356" s="2">
        <v>4</v>
      </c>
      <c r="AG1356">
        <v>2</v>
      </c>
      <c r="AH1356">
        <v>1</v>
      </c>
      <c r="AI1356">
        <v>0</v>
      </c>
      <c r="AJ1356" s="2" t="str">
        <f>IF(A1356 A1356 &lt;= 25, "18-25", IF(A1356 &lt;=35, "26-35", IF(A1356 &lt;=45, "36-45", IF(Table3[[#This Row],[Age]] &lt;=55, "46-55", "56+"))))</f>
        <v>56+</v>
      </c>
      <c r="AK1356" t="str">
        <f t="shared" si="21"/>
        <v>Low</v>
      </c>
      <c r="AL1356" s="2" t="str">
        <f>IF(AF1356 &lt; 3, "0-2 Years", IF(AF1356 &lt;= 5, "3-5 Years", IF(AF1356 &lt;= 10, "6-10 Years",IF(Table3[[#This Row],[Years At Company]]&lt;=20, "11-20 Years","20+ Years"))))</f>
        <v>3-5 Years</v>
      </c>
    </row>
    <row r="1357" spans="1:38" x14ac:dyDescent="0.25">
      <c r="A1357" s="2">
        <v>36</v>
      </c>
      <c r="B1357" t="s">
        <v>43</v>
      </c>
      <c r="C1357" t="s">
        <v>36</v>
      </c>
      <c r="D1357" s="2">
        <v>335</v>
      </c>
      <c r="E1357" t="s">
        <v>37</v>
      </c>
      <c r="F1357" s="2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 s="2">
        <v>5507</v>
      </c>
      <c r="T1357">
        <v>16822</v>
      </c>
      <c r="U1357">
        <v>2</v>
      </c>
      <c r="V1357" t="s">
        <v>42</v>
      </c>
      <c r="W1357" t="s">
        <v>43</v>
      </c>
      <c r="X1357" s="2">
        <v>16</v>
      </c>
      <c r="Y1357">
        <v>3</v>
      </c>
      <c r="Z1357">
        <v>3</v>
      </c>
      <c r="AA1357">
        <v>80</v>
      </c>
      <c r="AB1357">
        <v>2</v>
      </c>
      <c r="AC1357" s="2">
        <v>12</v>
      </c>
      <c r="AD1357">
        <v>1</v>
      </c>
      <c r="AE1357">
        <v>1</v>
      </c>
      <c r="AF1357" s="2">
        <v>4</v>
      </c>
      <c r="AG1357">
        <v>2</v>
      </c>
      <c r="AH1357">
        <v>1</v>
      </c>
      <c r="AI1357">
        <v>3</v>
      </c>
      <c r="AJ1357" s="2" t="str">
        <f>IF(A1357 A1357 &lt;= 25, "18-25", IF(A1357 &lt;=35, "26-35", IF(A1357 &lt;=45, "36-45", IF(Table3[[#This Row],[Age]] &lt;=55, "46-55", "56+"))))</f>
        <v>36-45</v>
      </c>
      <c r="AK1357" t="str">
        <f t="shared" si="21"/>
        <v>Medium</v>
      </c>
      <c r="AL1357" s="2" t="str">
        <f>IF(AF1357 &lt; 3, "0-2 Years", IF(AF1357 &lt;= 5, "3-5 Years", IF(AF1357 &lt;= 10, "6-10 Years",IF(Table3[[#This Row],[Years At Company]]&lt;=20, "11-20 Years","20+ Years"))))</f>
        <v>3-5 Years</v>
      </c>
    </row>
    <row r="1358" spans="1:38" x14ac:dyDescent="0.25">
      <c r="A1358" s="2">
        <v>41</v>
      </c>
      <c r="B1358" t="s">
        <v>43</v>
      </c>
      <c r="C1358" t="s">
        <v>36</v>
      </c>
      <c r="D1358" s="2">
        <v>337</v>
      </c>
      <c r="E1358" t="s">
        <v>37</v>
      </c>
      <c r="F1358" s="2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 s="2">
        <v>4393</v>
      </c>
      <c r="T1358">
        <v>26841</v>
      </c>
      <c r="U1358">
        <v>5</v>
      </c>
      <c r="V1358" t="s">
        <v>42</v>
      </c>
      <c r="W1358" t="s">
        <v>43</v>
      </c>
      <c r="X1358" s="2">
        <v>21</v>
      </c>
      <c r="Y1358">
        <v>4</v>
      </c>
      <c r="Z1358">
        <v>3</v>
      </c>
      <c r="AA1358">
        <v>80</v>
      </c>
      <c r="AB1358">
        <v>1</v>
      </c>
      <c r="AC1358" s="2">
        <v>14</v>
      </c>
      <c r="AD1358">
        <v>3</v>
      </c>
      <c r="AE1358">
        <v>3</v>
      </c>
      <c r="AF1358" s="2">
        <v>5</v>
      </c>
      <c r="AG1358">
        <v>4</v>
      </c>
      <c r="AH1358">
        <v>1</v>
      </c>
      <c r="AI1358">
        <v>4</v>
      </c>
      <c r="AJ1358" s="2" t="str">
        <f>IF(A1358 A1358 &lt;= 25, "18-25", IF(A1358 &lt;=35, "26-35", IF(A1358 &lt;=45, "36-45", IF(Table3[[#This Row],[Age]] &lt;=55, "46-55", "56+"))))</f>
        <v>36-45</v>
      </c>
      <c r="AK1358" t="str">
        <f t="shared" si="21"/>
        <v>Low</v>
      </c>
      <c r="AL1358" s="2" t="str">
        <f>IF(AF1358 &lt; 3, "0-2 Years", IF(AF1358 &lt;= 5, "3-5 Years", IF(AF1358 &lt;= 10, "6-10 Years",IF(Table3[[#This Row],[Years At Company]]&lt;=20, "11-20 Years","20+ Years"))))</f>
        <v>3-5 Years</v>
      </c>
    </row>
    <row r="1359" spans="1:38" x14ac:dyDescent="0.25">
      <c r="A1359" s="2">
        <v>42</v>
      </c>
      <c r="B1359" t="s">
        <v>43</v>
      </c>
      <c r="C1359" t="s">
        <v>36</v>
      </c>
      <c r="D1359" s="2">
        <v>1396</v>
      </c>
      <c r="E1359" t="s">
        <v>45</v>
      </c>
      <c r="F1359" s="2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 s="2">
        <v>13348</v>
      </c>
      <c r="T1359">
        <v>14842</v>
      </c>
      <c r="U1359">
        <v>9</v>
      </c>
      <c r="V1359" t="s">
        <v>42</v>
      </c>
      <c r="W1359" t="s">
        <v>43</v>
      </c>
      <c r="X1359" s="2">
        <v>13</v>
      </c>
      <c r="Y1359">
        <v>3</v>
      </c>
      <c r="Z1359">
        <v>2</v>
      </c>
      <c r="AA1359">
        <v>80</v>
      </c>
      <c r="AB1359">
        <v>1</v>
      </c>
      <c r="AC1359" s="2">
        <v>18</v>
      </c>
      <c r="AD1359">
        <v>3</v>
      </c>
      <c r="AE1359">
        <v>4</v>
      </c>
      <c r="AF1359" s="2">
        <v>13</v>
      </c>
      <c r="AG1359">
        <v>7</v>
      </c>
      <c r="AH1359">
        <v>5</v>
      </c>
      <c r="AI1359">
        <v>7</v>
      </c>
      <c r="AJ1359" s="2" t="str">
        <f>IF(A1359 A1359 &lt;= 25, "18-25", IF(A1359 &lt;=35, "26-35", IF(A1359 &lt;=45, "36-45", IF(Table3[[#This Row],[Age]] &lt;=55, "46-55", "56+"))))</f>
        <v>36-45</v>
      </c>
      <c r="AK1359" t="str">
        <f t="shared" si="21"/>
        <v>High</v>
      </c>
      <c r="AL1359" s="2" t="str">
        <f>IF(AF1359 &lt; 3, "0-2 Years", IF(AF1359 &lt;= 5, "3-5 Years", IF(AF1359 &lt;= 10, "6-10 Years",IF(Table3[[#This Row],[Years At Company]]&lt;=20, "11-20 Years","20+ Years"))))</f>
        <v>11-20 Years</v>
      </c>
    </row>
    <row r="1360" spans="1:38" x14ac:dyDescent="0.25">
      <c r="A1360" s="2">
        <v>31</v>
      </c>
      <c r="B1360" t="s">
        <v>43</v>
      </c>
      <c r="C1360" t="s">
        <v>36</v>
      </c>
      <c r="D1360" s="2">
        <v>1079</v>
      </c>
      <c r="E1360" t="s">
        <v>37</v>
      </c>
      <c r="F1360" s="2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 s="2">
        <v>6583</v>
      </c>
      <c r="T1360">
        <v>20115</v>
      </c>
      <c r="U1360">
        <v>2</v>
      </c>
      <c r="V1360" t="s">
        <v>42</v>
      </c>
      <c r="W1360" t="s">
        <v>35</v>
      </c>
      <c r="X1360" s="2">
        <v>11</v>
      </c>
      <c r="Y1360">
        <v>3</v>
      </c>
      <c r="Z1360">
        <v>4</v>
      </c>
      <c r="AA1360">
        <v>80</v>
      </c>
      <c r="AB1360">
        <v>1</v>
      </c>
      <c r="AC1360" s="2">
        <v>8</v>
      </c>
      <c r="AD1360">
        <v>2</v>
      </c>
      <c r="AE1360">
        <v>3</v>
      </c>
      <c r="AF1360" s="2">
        <v>5</v>
      </c>
      <c r="AG1360">
        <v>2</v>
      </c>
      <c r="AH1360">
        <v>1</v>
      </c>
      <c r="AI1360">
        <v>4</v>
      </c>
      <c r="AJ1360" s="2" t="str">
        <f>IF(A1360 A1360 &lt;= 25, "18-25", IF(A1360 &lt;=35, "26-35", IF(A1360 &lt;=45, "36-45", IF(Table3[[#This Row],[Age]] &lt;=55, "46-55", "56+"))))</f>
        <v>26-35</v>
      </c>
      <c r="AK1360" t="str">
        <f t="shared" si="21"/>
        <v>Medium</v>
      </c>
      <c r="AL1360" s="2" t="str">
        <f>IF(AF1360 &lt; 3, "0-2 Years", IF(AF1360 &lt;= 5, "3-5 Years", IF(AF1360 &lt;= 10, "6-10 Years",IF(Table3[[#This Row],[Years At Company]]&lt;=20, "11-20 Years","20+ Years"))))</f>
        <v>3-5 Years</v>
      </c>
    </row>
    <row r="1361" spans="1:38" x14ac:dyDescent="0.25">
      <c r="A1361" s="2">
        <v>34</v>
      </c>
      <c r="B1361" t="s">
        <v>43</v>
      </c>
      <c r="C1361" t="s">
        <v>36</v>
      </c>
      <c r="D1361" s="2">
        <v>735</v>
      </c>
      <c r="E1361" t="s">
        <v>37</v>
      </c>
      <c r="F1361" s="2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 s="2">
        <v>8103</v>
      </c>
      <c r="T1361">
        <v>16495</v>
      </c>
      <c r="U1361">
        <v>3</v>
      </c>
      <c r="V1361" t="s">
        <v>42</v>
      </c>
      <c r="W1361" t="s">
        <v>35</v>
      </c>
      <c r="X1361" s="2">
        <v>12</v>
      </c>
      <c r="Y1361">
        <v>3</v>
      </c>
      <c r="Z1361">
        <v>3</v>
      </c>
      <c r="AA1361">
        <v>80</v>
      </c>
      <c r="AB1361">
        <v>0</v>
      </c>
      <c r="AC1361" s="2">
        <v>9</v>
      </c>
      <c r="AD1361">
        <v>3</v>
      </c>
      <c r="AE1361">
        <v>2</v>
      </c>
      <c r="AF1361" s="2">
        <v>4</v>
      </c>
      <c r="AG1361">
        <v>2</v>
      </c>
      <c r="AH1361">
        <v>0</v>
      </c>
      <c r="AI1361">
        <v>1</v>
      </c>
      <c r="AJ1361" s="2" t="str">
        <f>IF(A1361 A1361 &lt;= 25, "18-25", IF(A1361 &lt;=35, "26-35", IF(A1361 &lt;=45, "36-45", IF(Table3[[#This Row],[Age]] &lt;=55, "46-55", "56+"))))</f>
        <v>26-35</v>
      </c>
      <c r="AK1361" t="str">
        <f t="shared" si="21"/>
        <v>Medium</v>
      </c>
      <c r="AL1361" s="2" t="str">
        <f>IF(AF1361 &lt; 3, "0-2 Years", IF(AF1361 &lt;= 5, "3-5 Years", IF(AF1361 &lt;= 10, "6-10 Years",IF(Table3[[#This Row],[Years At Company]]&lt;=20, "11-20 Years","20+ Years"))))</f>
        <v>3-5 Years</v>
      </c>
    </row>
    <row r="1362" spans="1:38" x14ac:dyDescent="0.25">
      <c r="A1362" s="2">
        <v>31</v>
      </c>
      <c r="B1362" t="s">
        <v>43</v>
      </c>
      <c r="C1362" t="s">
        <v>36</v>
      </c>
      <c r="D1362" s="2">
        <v>471</v>
      </c>
      <c r="E1362" t="s">
        <v>45</v>
      </c>
      <c r="F1362" s="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 s="2">
        <v>3978</v>
      </c>
      <c r="T1362">
        <v>16031</v>
      </c>
      <c r="U1362">
        <v>8</v>
      </c>
      <c r="V1362" t="s">
        <v>42</v>
      </c>
      <c r="W1362" t="s">
        <v>43</v>
      </c>
      <c r="X1362" s="2">
        <v>12</v>
      </c>
      <c r="Y1362">
        <v>3</v>
      </c>
      <c r="Z1362">
        <v>2</v>
      </c>
      <c r="AA1362">
        <v>80</v>
      </c>
      <c r="AB1362">
        <v>1</v>
      </c>
      <c r="AC1362" s="2">
        <v>4</v>
      </c>
      <c r="AD1362">
        <v>0</v>
      </c>
      <c r="AE1362">
        <v>2</v>
      </c>
      <c r="AF1362" s="2">
        <v>2</v>
      </c>
      <c r="AG1362">
        <v>2</v>
      </c>
      <c r="AH1362">
        <v>2</v>
      </c>
      <c r="AI1362">
        <v>2</v>
      </c>
      <c r="AJ1362" s="2" t="str">
        <f>IF(A1362 A1362 &lt;= 25, "18-25", IF(A1362 &lt;=35, "26-35", IF(A1362 &lt;=45, "36-45", IF(Table3[[#This Row],[Age]] &lt;=55, "46-55", "56+"))))</f>
        <v>26-35</v>
      </c>
      <c r="AK1362" t="str">
        <f t="shared" si="21"/>
        <v>Low</v>
      </c>
      <c r="AL1362" s="2" t="str">
        <f>IF(AF1362 &lt; 3, "0-2 Years", IF(AF1362 &lt;= 5, "3-5 Years", IF(AF1362 &lt;= 10, "6-10 Years",IF(Table3[[#This Row],[Years At Company]]&lt;=20, "11-20 Years","20+ Years"))))</f>
        <v>0-2 Years</v>
      </c>
    </row>
    <row r="1363" spans="1:38" x14ac:dyDescent="0.25">
      <c r="A1363" s="2">
        <v>26</v>
      </c>
      <c r="B1363" t="s">
        <v>43</v>
      </c>
      <c r="C1363" t="s">
        <v>44</v>
      </c>
      <c r="D1363" s="2">
        <v>1096</v>
      </c>
      <c r="E1363" t="s">
        <v>45</v>
      </c>
      <c r="F1363" s="2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 s="2">
        <v>2544</v>
      </c>
      <c r="T1363">
        <v>7102</v>
      </c>
      <c r="U1363">
        <v>0</v>
      </c>
      <c r="V1363" t="s">
        <v>42</v>
      </c>
      <c r="W1363" t="s">
        <v>43</v>
      </c>
      <c r="X1363" s="2">
        <v>18</v>
      </c>
      <c r="Y1363">
        <v>3</v>
      </c>
      <c r="Z1363">
        <v>1</v>
      </c>
      <c r="AA1363">
        <v>80</v>
      </c>
      <c r="AB1363">
        <v>1</v>
      </c>
      <c r="AC1363" s="2">
        <v>8</v>
      </c>
      <c r="AD1363">
        <v>3</v>
      </c>
      <c r="AE1363">
        <v>3</v>
      </c>
      <c r="AF1363" s="2">
        <v>7</v>
      </c>
      <c r="AG1363">
        <v>7</v>
      </c>
      <c r="AH1363">
        <v>7</v>
      </c>
      <c r="AI1363">
        <v>7</v>
      </c>
      <c r="AJ1363" s="2" t="str">
        <f>IF(A1363 A1363 &lt;= 25, "18-25", IF(A1363 &lt;=35, "26-35", IF(A1363 &lt;=45, "36-45", IF(Table3[[#This Row],[Age]] &lt;=55, "46-55", "56+"))))</f>
        <v>26-35</v>
      </c>
      <c r="AK1363" t="str">
        <f t="shared" si="21"/>
        <v>Low</v>
      </c>
      <c r="AL1363" s="2" t="str">
        <f>IF(AF1363 &lt; 3, "0-2 Years", IF(AF1363 &lt;= 5, "3-5 Years", IF(AF1363 &lt;= 10, "6-10 Years",IF(Table3[[#This Row],[Years At Company]]&lt;=20, "11-20 Years","20+ Years"))))</f>
        <v>6-10 Years</v>
      </c>
    </row>
    <row r="1364" spans="1:38" x14ac:dyDescent="0.25">
      <c r="A1364" s="2">
        <v>45</v>
      </c>
      <c r="B1364" t="s">
        <v>43</v>
      </c>
      <c r="C1364" t="s">
        <v>44</v>
      </c>
      <c r="D1364" s="2">
        <v>1297</v>
      </c>
      <c r="E1364" t="s">
        <v>45</v>
      </c>
      <c r="F1364" s="2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 s="2">
        <v>5399</v>
      </c>
      <c r="T1364">
        <v>14511</v>
      </c>
      <c r="U1364">
        <v>4</v>
      </c>
      <c r="V1364" t="s">
        <v>42</v>
      </c>
      <c r="W1364" t="s">
        <v>43</v>
      </c>
      <c r="X1364" s="2">
        <v>12</v>
      </c>
      <c r="Y1364">
        <v>3</v>
      </c>
      <c r="Z1364">
        <v>3</v>
      </c>
      <c r="AA1364">
        <v>80</v>
      </c>
      <c r="AB1364">
        <v>0</v>
      </c>
      <c r="AC1364" s="2">
        <v>12</v>
      </c>
      <c r="AD1364">
        <v>3</v>
      </c>
      <c r="AE1364">
        <v>3</v>
      </c>
      <c r="AF1364" s="2">
        <v>4</v>
      </c>
      <c r="AG1364">
        <v>2</v>
      </c>
      <c r="AH1364">
        <v>0</v>
      </c>
      <c r="AI1364">
        <v>3</v>
      </c>
      <c r="AJ1364" s="2" t="str">
        <f>IF(A1364 A1364 &lt;= 25, "18-25", IF(A1364 &lt;=35, "26-35", IF(A1364 &lt;=45, "36-45", IF(Table3[[#This Row],[Age]] &lt;=55, "46-55", "56+"))))</f>
        <v>36-45</v>
      </c>
      <c r="AK1364" t="str">
        <f t="shared" si="21"/>
        <v>Medium</v>
      </c>
      <c r="AL1364" s="2" t="str">
        <f>IF(AF1364 &lt; 3, "0-2 Years", IF(AF1364 &lt;= 5, "3-5 Years", IF(AF1364 &lt;= 10, "6-10 Years",IF(Table3[[#This Row],[Years At Company]]&lt;=20, "11-20 Years","20+ Years"))))</f>
        <v>3-5 Years</v>
      </c>
    </row>
    <row r="1365" spans="1:38" x14ac:dyDescent="0.25">
      <c r="A1365" s="2">
        <v>33</v>
      </c>
      <c r="B1365" t="s">
        <v>43</v>
      </c>
      <c r="C1365" t="s">
        <v>36</v>
      </c>
      <c r="D1365" s="2">
        <v>217</v>
      </c>
      <c r="E1365" t="s">
        <v>37</v>
      </c>
      <c r="F1365" s="2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 s="2">
        <v>5487</v>
      </c>
      <c r="T1365">
        <v>10410</v>
      </c>
      <c r="U1365">
        <v>1</v>
      </c>
      <c r="V1365" t="s">
        <v>42</v>
      </c>
      <c r="W1365" t="s">
        <v>43</v>
      </c>
      <c r="X1365" s="2">
        <v>14</v>
      </c>
      <c r="Y1365">
        <v>3</v>
      </c>
      <c r="Z1365">
        <v>2</v>
      </c>
      <c r="AA1365">
        <v>80</v>
      </c>
      <c r="AB1365">
        <v>0</v>
      </c>
      <c r="AC1365" s="2">
        <v>10</v>
      </c>
      <c r="AD1365">
        <v>2</v>
      </c>
      <c r="AE1365">
        <v>2</v>
      </c>
      <c r="AF1365" s="2">
        <v>10</v>
      </c>
      <c r="AG1365">
        <v>4</v>
      </c>
      <c r="AH1365">
        <v>0</v>
      </c>
      <c r="AI1365">
        <v>9</v>
      </c>
      <c r="AJ1365" s="2" t="str">
        <f>IF(A1365 A1365 &lt;= 25, "18-25", IF(A1365 &lt;=35, "26-35", IF(A1365 &lt;=45, "36-45", IF(Table3[[#This Row],[Age]] &lt;=55, "46-55", "56+"))))</f>
        <v>26-35</v>
      </c>
      <c r="AK1365" t="str">
        <f t="shared" si="21"/>
        <v>Medium</v>
      </c>
      <c r="AL1365" s="2" t="str">
        <f>IF(AF1365 &lt; 3, "0-2 Years", IF(AF1365 &lt;= 5, "3-5 Years", IF(AF1365 &lt;= 10, "6-10 Years",IF(Table3[[#This Row],[Years At Company]]&lt;=20, "11-20 Years","20+ Years"))))</f>
        <v>6-10 Years</v>
      </c>
    </row>
    <row r="1366" spans="1:38" x14ac:dyDescent="0.25">
      <c r="A1366" s="2">
        <v>28</v>
      </c>
      <c r="B1366" t="s">
        <v>43</v>
      </c>
      <c r="C1366" t="s">
        <v>44</v>
      </c>
      <c r="D1366" s="2">
        <v>783</v>
      </c>
      <c r="E1366" t="s">
        <v>37</v>
      </c>
      <c r="F1366" s="2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 s="2">
        <v>6834</v>
      </c>
      <c r="T1366">
        <v>19255</v>
      </c>
      <c r="U1366">
        <v>1</v>
      </c>
      <c r="V1366" t="s">
        <v>42</v>
      </c>
      <c r="W1366" t="s">
        <v>35</v>
      </c>
      <c r="X1366" s="2">
        <v>12</v>
      </c>
      <c r="Y1366">
        <v>3</v>
      </c>
      <c r="Z1366">
        <v>3</v>
      </c>
      <c r="AA1366">
        <v>80</v>
      </c>
      <c r="AB1366">
        <v>1</v>
      </c>
      <c r="AC1366" s="2">
        <v>7</v>
      </c>
      <c r="AD1366">
        <v>2</v>
      </c>
      <c r="AE1366">
        <v>3</v>
      </c>
      <c r="AF1366" s="2">
        <v>7</v>
      </c>
      <c r="AG1366">
        <v>7</v>
      </c>
      <c r="AH1366">
        <v>0</v>
      </c>
      <c r="AI1366">
        <v>7</v>
      </c>
      <c r="AJ1366" s="2" t="str">
        <f>IF(A1366 A1366 &lt;= 25, "18-25", IF(A1366 &lt;=35, "26-35", IF(A1366 &lt;=45, "36-45", IF(Table3[[#This Row],[Age]] &lt;=55, "46-55", "56+"))))</f>
        <v>26-35</v>
      </c>
      <c r="AK1366" t="str">
        <f t="shared" si="21"/>
        <v>Medium</v>
      </c>
      <c r="AL1366" s="2" t="str">
        <f>IF(AF1366 &lt; 3, "0-2 Years", IF(AF1366 &lt;= 5, "3-5 Years", IF(AF1366 &lt;= 10, "6-10 Years",IF(Table3[[#This Row],[Years At Company]]&lt;=20, "11-20 Years","20+ Years"))))</f>
        <v>6-10 Years</v>
      </c>
    </row>
    <row r="1367" spans="1:38" x14ac:dyDescent="0.25">
      <c r="A1367" s="2">
        <v>29</v>
      </c>
      <c r="B1367" t="s">
        <v>35</v>
      </c>
      <c r="C1367" t="s">
        <v>44</v>
      </c>
      <c r="D1367" s="2">
        <v>746</v>
      </c>
      <c r="E1367" t="s">
        <v>37</v>
      </c>
      <c r="F1367" s="2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 s="2">
        <v>1091</v>
      </c>
      <c r="T1367">
        <v>10642</v>
      </c>
      <c r="U1367">
        <v>1</v>
      </c>
      <c r="V1367" t="s">
        <v>42</v>
      </c>
      <c r="W1367" t="s">
        <v>43</v>
      </c>
      <c r="X1367" s="2">
        <v>17</v>
      </c>
      <c r="Y1367">
        <v>3</v>
      </c>
      <c r="Z1367">
        <v>4</v>
      </c>
      <c r="AA1367">
        <v>80</v>
      </c>
      <c r="AB1367">
        <v>0</v>
      </c>
      <c r="AC1367" s="2">
        <v>1</v>
      </c>
      <c r="AD1367">
        <v>3</v>
      </c>
      <c r="AE1367">
        <v>3</v>
      </c>
      <c r="AF1367" s="2">
        <v>1</v>
      </c>
      <c r="AG1367">
        <v>0</v>
      </c>
      <c r="AH1367">
        <v>0</v>
      </c>
      <c r="AI1367">
        <v>0</v>
      </c>
      <c r="AJ1367" s="2" t="str">
        <f>IF(A1367 A1367 &lt;= 25, "18-25", IF(A1367 &lt;=35, "26-35", IF(A1367 &lt;=45, "36-45", IF(Table3[[#This Row],[Age]] &lt;=55, "46-55", "56+"))))</f>
        <v>26-35</v>
      </c>
      <c r="AK1367" t="str">
        <f t="shared" si="21"/>
        <v>Low</v>
      </c>
      <c r="AL1367" s="2" t="str">
        <f>IF(AF1367 &lt; 3, "0-2 Years", IF(AF1367 &lt;= 5, "3-5 Years", IF(AF1367 &lt;= 10, "6-10 Years",IF(Table3[[#This Row],[Years At Company]]&lt;=20, "11-20 Years","20+ Years"))))</f>
        <v>0-2 Years</v>
      </c>
    </row>
    <row r="1368" spans="1:38" x14ac:dyDescent="0.25">
      <c r="A1368" s="2">
        <v>39</v>
      </c>
      <c r="B1368" t="s">
        <v>43</v>
      </c>
      <c r="C1368" t="s">
        <v>55</v>
      </c>
      <c r="D1368" s="2">
        <v>1251</v>
      </c>
      <c r="E1368" t="s">
        <v>37</v>
      </c>
      <c r="F1368" s="2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 s="2">
        <v>5736</v>
      </c>
      <c r="T1368">
        <v>3987</v>
      </c>
      <c r="U1368">
        <v>6</v>
      </c>
      <c r="V1368" t="s">
        <v>42</v>
      </c>
      <c r="W1368" t="s">
        <v>43</v>
      </c>
      <c r="X1368" s="2">
        <v>19</v>
      </c>
      <c r="Y1368">
        <v>3</v>
      </c>
      <c r="Z1368">
        <v>3</v>
      </c>
      <c r="AA1368">
        <v>80</v>
      </c>
      <c r="AB1368">
        <v>1</v>
      </c>
      <c r="AC1368" s="2">
        <v>10</v>
      </c>
      <c r="AD1368">
        <v>1</v>
      </c>
      <c r="AE1368">
        <v>3</v>
      </c>
      <c r="AF1368" s="2">
        <v>3</v>
      </c>
      <c r="AG1368">
        <v>2</v>
      </c>
      <c r="AH1368">
        <v>1</v>
      </c>
      <c r="AI1368">
        <v>2</v>
      </c>
      <c r="AJ1368" s="2" t="str">
        <f>IF(A1368 A1368 &lt;= 25, "18-25", IF(A1368 &lt;=35, "26-35", IF(A1368 &lt;=45, "36-45", IF(Table3[[#This Row],[Age]] &lt;=55, "46-55", "56+"))))</f>
        <v>36-45</v>
      </c>
      <c r="AK1368" t="str">
        <f t="shared" si="21"/>
        <v>Medium</v>
      </c>
      <c r="AL1368" s="2" t="str">
        <f>IF(AF1368 &lt; 3, "0-2 Years", IF(AF1368 &lt;= 5, "3-5 Years", IF(AF1368 &lt;= 10, "6-10 Years",IF(Table3[[#This Row],[Years At Company]]&lt;=20, "11-20 Years","20+ Years"))))</f>
        <v>3-5 Years</v>
      </c>
    </row>
    <row r="1369" spans="1:38" x14ac:dyDescent="0.25">
      <c r="A1369" s="2">
        <v>27</v>
      </c>
      <c r="B1369" t="s">
        <v>43</v>
      </c>
      <c r="C1369" t="s">
        <v>36</v>
      </c>
      <c r="D1369" s="2">
        <v>1354</v>
      </c>
      <c r="E1369" t="s">
        <v>45</v>
      </c>
      <c r="F1369" s="2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 s="2">
        <v>2226</v>
      </c>
      <c r="T1369">
        <v>6073</v>
      </c>
      <c r="U1369">
        <v>1</v>
      </c>
      <c r="V1369" t="s">
        <v>42</v>
      </c>
      <c r="W1369" t="s">
        <v>43</v>
      </c>
      <c r="X1369" s="2">
        <v>11</v>
      </c>
      <c r="Y1369">
        <v>3</v>
      </c>
      <c r="Z1369">
        <v>3</v>
      </c>
      <c r="AA1369">
        <v>80</v>
      </c>
      <c r="AB1369">
        <v>1</v>
      </c>
      <c r="AC1369" s="2">
        <v>6</v>
      </c>
      <c r="AD1369">
        <v>3</v>
      </c>
      <c r="AE1369">
        <v>2</v>
      </c>
      <c r="AF1369" s="2">
        <v>5</v>
      </c>
      <c r="AG1369">
        <v>3</v>
      </c>
      <c r="AH1369">
        <v>1</v>
      </c>
      <c r="AI1369">
        <v>2</v>
      </c>
      <c r="AJ1369" s="2" t="str">
        <f>IF(A1369 A1369 &lt;= 25, "18-25", IF(A1369 &lt;=35, "26-35", IF(A1369 &lt;=45, "36-45", IF(Table3[[#This Row],[Age]] &lt;=55, "46-55", "56+"))))</f>
        <v>26-35</v>
      </c>
      <c r="AK1369" t="str">
        <f t="shared" si="21"/>
        <v>Low</v>
      </c>
      <c r="AL1369" s="2" t="str">
        <f>IF(AF1369 &lt; 3, "0-2 Years", IF(AF1369 &lt;= 5, "3-5 Years", IF(AF1369 &lt;= 10, "6-10 Years",IF(Table3[[#This Row],[Years At Company]]&lt;=20, "11-20 Years","20+ Years"))))</f>
        <v>3-5 Years</v>
      </c>
    </row>
    <row r="1370" spans="1:38" x14ac:dyDescent="0.25">
      <c r="A1370" s="2">
        <v>34</v>
      </c>
      <c r="B1370" t="s">
        <v>43</v>
      </c>
      <c r="C1370" t="s">
        <v>44</v>
      </c>
      <c r="D1370" s="2">
        <v>735</v>
      </c>
      <c r="E1370" t="s">
        <v>45</v>
      </c>
      <c r="F1370" s="2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 s="2">
        <v>5747</v>
      </c>
      <c r="T1370">
        <v>26496</v>
      </c>
      <c r="U1370">
        <v>1</v>
      </c>
      <c r="V1370" t="s">
        <v>42</v>
      </c>
      <c r="W1370" t="s">
        <v>35</v>
      </c>
      <c r="X1370" s="2">
        <v>15</v>
      </c>
      <c r="Y1370">
        <v>3</v>
      </c>
      <c r="Z1370">
        <v>2</v>
      </c>
      <c r="AA1370">
        <v>80</v>
      </c>
      <c r="AB1370">
        <v>0</v>
      </c>
      <c r="AC1370" s="2">
        <v>16</v>
      </c>
      <c r="AD1370">
        <v>3</v>
      </c>
      <c r="AE1370">
        <v>3</v>
      </c>
      <c r="AF1370" s="2">
        <v>15</v>
      </c>
      <c r="AG1370">
        <v>10</v>
      </c>
      <c r="AH1370">
        <v>6</v>
      </c>
      <c r="AI1370">
        <v>11</v>
      </c>
      <c r="AJ1370" s="2" t="str">
        <f>IF(A1370 A1370 &lt;= 25, "18-25", IF(A1370 &lt;=35, "26-35", IF(A1370 &lt;=45, "36-45", IF(Table3[[#This Row],[Age]] &lt;=55, "46-55", "56+"))))</f>
        <v>26-35</v>
      </c>
      <c r="AK1370" t="str">
        <f t="shared" si="21"/>
        <v>Medium</v>
      </c>
      <c r="AL1370" s="2" t="str">
        <f>IF(AF1370 &lt; 3, "0-2 Years", IF(AF1370 &lt;= 5, "3-5 Years", IF(AF1370 &lt;= 10, "6-10 Years",IF(Table3[[#This Row],[Years At Company]]&lt;=20, "11-20 Years","20+ Years"))))</f>
        <v>11-20 Years</v>
      </c>
    </row>
    <row r="1371" spans="1:38" x14ac:dyDescent="0.25">
      <c r="A1371" s="2">
        <v>28</v>
      </c>
      <c r="B1371" t="s">
        <v>35</v>
      </c>
      <c r="C1371" t="s">
        <v>36</v>
      </c>
      <c r="D1371" s="2">
        <v>1475</v>
      </c>
      <c r="E1371" t="s">
        <v>37</v>
      </c>
      <c r="F1371" s="2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 s="2">
        <v>9854</v>
      </c>
      <c r="T1371">
        <v>23352</v>
      </c>
      <c r="U1371">
        <v>3</v>
      </c>
      <c r="V1371" t="s">
        <v>42</v>
      </c>
      <c r="W1371" t="s">
        <v>35</v>
      </c>
      <c r="X1371" s="2">
        <v>11</v>
      </c>
      <c r="Y1371">
        <v>3</v>
      </c>
      <c r="Z1371">
        <v>4</v>
      </c>
      <c r="AA1371">
        <v>80</v>
      </c>
      <c r="AB1371">
        <v>0</v>
      </c>
      <c r="AC1371" s="2">
        <v>6</v>
      </c>
      <c r="AD1371">
        <v>0</v>
      </c>
      <c r="AE1371">
        <v>3</v>
      </c>
      <c r="AF1371" s="2">
        <v>2</v>
      </c>
      <c r="AG1371">
        <v>0</v>
      </c>
      <c r="AH1371">
        <v>2</v>
      </c>
      <c r="AI1371">
        <v>2</v>
      </c>
      <c r="AJ1371" s="2" t="str">
        <f>IF(A1371 A1371 &lt;= 25, "18-25", IF(A1371 &lt;=35, "26-35", IF(A1371 &lt;=45, "36-45", IF(Table3[[#This Row],[Age]] &lt;=55, "46-55", "56+"))))</f>
        <v>26-35</v>
      </c>
      <c r="AK1371" t="str">
        <f t="shared" si="21"/>
        <v>Medium</v>
      </c>
      <c r="AL1371" s="2" t="str">
        <f>IF(AF1371 &lt; 3, "0-2 Years", IF(AF1371 &lt;= 5, "3-5 Years", IF(AF1371 &lt;= 10, "6-10 Years",IF(Table3[[#This Row],[Years At Company]]&lt;=20, "11-20 Years","20+ Years"))))</f>
        <v>0-2 Years</v>
      </c>
    </row>
    <row r="1372" spans="1:38" x14ac:dyDescent="0.25">
      <c r="A1372" s="2">
        <v>47</v>
      </c>
      <c r="B1372" t="s">
        <v>43</v>
      </c>
      <c r="C1372" t="s">
        <v>55</v>
      </c>
      <c r="D1372" s="2">
        <v>1169</v>
      </c>
      <c r="E1372" t="s">
        <v>45</v>
      </c>
      <c r="F1372" s="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 s="2">
        <v>5467</v>
      </c>
      <c r="T1372">
        <v>2125</v>
      </c>
      <c r="U1372">
        <v>8</v>
      </c>
      <c r="V1372" t="s">
        <v>42</v>
      </c>
      <c r="W1372" t="s">
        <v>43</v>
      </c>
      <c r="X1372" s="2">
        <v>18</v>
      </c>
      <c r="Y1372">
        <v>3</v>
      </c>
      <c r="Z1372">
        <v>3</v>
      </c>
      <c r="AA1372">
        <v>80</v>
      </c>
      <c r="AB1372">
        <v>1</v>
      </c>
      <c r="AC1372" s="2">
        <v>16</v>
      </c>
      <c r="AD1372">
        <v>4</v>
      </c>
      <c r="AE1372">
        <v>4</v>
      </c>
      <c r="AF1372" s="2">
        <v>8</v>
      </c>
      <c r="AG1372">
        <v>7</v>
      </c>
      <c r="AH1372">
        <v>1</v>
      </c>
      <c r="AI1372">
        <v>7</v>
      </c>
      <c r="AJ1372" s="2" t="str">
        <f>IF(A1372 A1372 &lt;= 25, "18-25", IF(A1372 &lt;=35, "26-35", IF(A1372 &lt;=45, "36-45", IF(Table3[[#This Row],[Age]] &lt;=55, "46-55", "56+"))))</f>
        <v>46-55</v>
      </c>
      <c r="AK1372" t="str">
        <f t="shared" si="21"/>
        <v>Medium</v>
      </c>
      <c r="AL1372" s="2" t="str">
        <f>IF(AF1372 &lt; 3, "0-2 Years", IF(AF1372 &lt;= 5, "3-5 Years", IF(AF1372 &lt;= 10, "6-10 Years",IF(Table3[[#This Row],[Years At Company]]&lt;=20, "11-20 Years","20+ Years"))))</f>
        <v>6-10 Years</v>
      </c>
    </row>
    <row r="1373" spans="1:38" x14ac:dyDescent="0.25">
      <c r="A1373" s="2">
        <v>56</v>
      </c>
      <c r="B1373" t="s">
        <v>43</v>
      </c>
      <c r="C1373" t="s">
        <v>36</v>
      </c>
      <c r="D1373" s="2">
        <v>1443</v>
      </c>
      <c r="E1373" t="s">
        <v>37</v>
      </c>
      <c r="F1373" s="2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 s="2">
        <v>5380</v>
      </c>
      <c r="T1373">
        <v>20328</v>
      </c>
      <c r="U1373">
        <v>4</v>
      </c>
      <c r="V1373" t="s">
        <v>42</v>
      </c>
      <c r="W1373" t="s">
        <v>43</v>
      </c>
      <c r="X1373" s="2">
        <v>16</v>
      </c>
      <c r="Y1373">
        <v>3</v>
      </c>
      <c r="Z1373">
        <v>3</v>
      </c>
      <c r="AA1373">
        <v>80</v>
      </c>
      <c r="AB1373">
        <v>1</v>
      </c>
      <c r="AC1373" s="2">
        <v>6</v>
      </c>
      <c r="AD1373">
        <v>3</v>
      </c>
      <c r="AE1373">
        <v>3</v>
      </c>
      <c r="AF1373" s="2">
        <v>0</v>
      </c>
      <c r="AG1373">
        <v>0</v>
      </c>
      <c r="AH1373">
        <v>0</v>
      </c>
      <c r="AI1373">
        <v>0</v>
      </c>
      <c r="AJ1373" s="2" t="str">
        <f>IF(A1373 A1373 &lt;= 25, "18-25", IF(A1373 &lt;=35, "26-35", IF(A1373 &lt;=45, "36-45", IF(Table3[[#This Row],[Age]] &lt;=55, "46-55", "56+"))))</f>
        <v>56+</v>
      </c>
      <c r="AK1373" t="str">
        <f t="shared" si="21"/>
        <v>Medium</v>
      </c>
      <c r="AL1373" s="2" t="str">
        <f>IF(AF1373 &lt; 3, "0-2 Years", IF(AF1373 &lt;= 5, "3-5 Years", IF(AF1373 &lt;= 10, "6-10 Years",IF(Table3[[#This Row],[Years At Company]]&lt;=20, "11-20 Years","20+ Years"))))</f>
        <v>0-2 Years</v>
      </c>
    </row>
    <row r="1374" spans="1:38" x14ac:dyDescent="0.25">
      <c r="A1374" s="2">
        <v>39</v>
      </c>
      <c r="B1374" t="s">
        <v>43</v>
      </c>
      <c r="C1374" t="s">
        <v>36</v>
      </c>
      <c r="D1374" s="2">
        <v>867</v>
      </c>
      <c r="E1374" t="s">
        <v>45</v>
      </c>
      <c r="F1374" s="2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 s="2">
        <v>5151</v>
      </c>
      <c r="T1374">
        <v>12315</v>
      </c>
      <c r="U1374">
        <v>1</v>
      </c>
      <c r="V1374" t="s">
        <v>42</v>
      </c>
      <c r="W1374" t="s">
        <v>43</v>
      </c>
      <c r="X1374" s="2">
        <v>25</v>
      </c>
      <c r="Y1374">
        <v>4</v>
      </c>
      <c r="Z1374">
        <v>4</v>
      </c>
      <c r="AA1374">
        <v>80</v>
      </c>
      <c r="AB1374">
        <v>1</v>
      </c>
      <c r="AC1374" s="2">
        <v>10</v>
      </c>
      <c r="AD1374">
        <v>3</v>
      </c>
      <c r="AE1374">
        <v>3</v>
      </c>
      <c r="AF1374" s="2">
        <v>10</v>
      </c>
      <c r="AG1374">
        <v>0</v>
      </c>
      <c r="AH1374">
        <v>7</v>
      </c>
      <c r="AI1374">
        <v>9</v>
      </c>
      <c r="AJ1374" s="2" t="str">
        <f>IF(A1374 A1374 &lt;= 25, "18-25", IF(A1374 &lt;=35, "26-35", IF(A1374 &lt;=45, "36-45", IF(Table3[[#This Row],[Age]] &lt;=55, "46-55", "56+"))))</f>
        <v>36-45</v>
      </c>
      <c r="AK1374" t="str">
        <f t="shared" si="21"/>
        <v>Medium</v>
      </c>
      <c r="AL1374" s="2" t="str">
        <f>IF(AF1374 &lt; 3, "0-2 Years", IF(AF1374 &lt;= 5, "3-5 Years", IF(AF1374 &lt;= 10, "6-10 Years",IF(Table3[[#This Row],[Years At Company]]&lt;=20, "11-20 Years","20+ Years"))))</f>
        <v>6-10 Years</v>
      </c>
    </row>
    <row r="1375" spans="1:38" x14ac:dyDescent="0.25">
      <c r="A1375" s="2">
        <v>38</v>
      </c>
      <c r="B1375" t="s">
        <v>43</v>
      </c>
      <c r="C1375" t="s">
        <v>44</v>
      </c>
      <c r="D1375" s="2">
        <v>1394</v>
      </c>
      <c r="E1375" t="s">
        <v>45</v>
      </c>
      <c r="F1375" s="2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 s="2">
        <v>2133</v>
      </c>
      <c r="T1375">
        <v>18115</v>
      </c>
      <c r="U1375">
        <v>1</v>
      </c>
      <c r="V1375" t="s">
        <v>42</v>
      </c>
      <c r="W1375" t="s">
        <v>35</v>
      </c>
      <c r="X1375" s="2">
        <v>16</v>
      </c>
      <c r="Y1375">
        <v>3</v>
      </c>
      <c r="Z1375">
        <v>3</v>
      </c>
      <c r="AA1375">
        <v>80</v>
      </c>
      <c r="AB1375">
        <v>1</v>
      </c>
      <c r="AC1375" s="2">
        <v>20</v>
      </c>
      <c r="AD1375">
        <v>3</v>
      </c>
      <c r="AE1375">
        <v>3</v>
      </c>
      <c r="AF1375" s="2">
        <v>20</v>
      </c>
      <c r="AG1375">
        <v>11</v>
      </c>
      <c r="AH1375">
        <v>0</v>
      </c>
      <c r="AI1375">
        <v>7</v>
      </c>
      <c r="AJ1375" s="2" t="str">
        <f>IF(A1375 A1375 &lt;= 25, "18-25", IF(A1375 &lt;=35, "26-35", IF(A1375 &lt;=45, "36-45", IF(Table3[[#This Row],[Age]] &lt;=55, "46-55", "56+"))))</f>
        <v>36-45</v>
      </c>
      <c r="AK1375" t="str">
        <f t="shared" si="21"/>
        <v>Low</v>
      </c>
      <c r="AL1375" s="2" t="str">
        <f>IF(AF1375 &lt; 3, "0-2 Years", IF(AF1375 &lt;= 5, "3-5 Years", IF(AF1375 &lt;= 10, "6-10 Years",IF(Table3[[#This Row],[Years At Company]]&lt;=20, "11-20 Years","20+ Years"))))</f>
        <v>11-20 Years</v>
      </c>
    </row>
    <row r="1376" spans="1:38" x14ac:dyDescent="0.25">
      <c r="A1376" s="2">
        <v>58</v>
      </c>
      <c r="B1376" t="s">
        <v>43</v>
      </c>
      <c r="C1376" t="s">
        <v>36</v>
      </c>
      <c r="D1376" s="2">
        <v>605</v>
      </c>
      <c r="E1376" t="s">
        <v>37</v>
      </c>
      <c r="F1376" s="2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 s="2">
        <v>17875</v>
      </c>
      <c r="T1376">
        <v>11761</v>
      </c>
      <c r="U1376">
        <v>4</v>
      </c>
      <c r="V1376" t="s">
        <v>42</v>
      </c>
      <c r="W1376" t="s">
        <v>35</v>
      </c>
      <c r="X1376" s="2">
        <v>13</v>
      </c>
      <c r="Y1376">
        <v>3</v>
      </c>
      <c r="Z1376">
        <v>3</v>
      </c>
      <c r="AA1376">
        <v>80</v>
      </c>
      <c r="AB1376">
        <v>1</v>
      </c>
      <c r="AC1376" s="2">
        <v>29</v>
      </c>
      <c r="AD1376">
        <v>2</v>
      </c>
      <c r="AE1376">
        <v>2</v>
      </c>
      <c r="AF1376" s="2">
        <v>1</v>
      </c>
      <c r="AG1376">
        <v>0</v>
      </c>
      <c r="AH1376">
        <v>0</v>
      </c>
      <c r="AI1376">
        <v>0</v>
      </c>
      <c r="AJ1376" s="2" t="str">
        <f>IF(A1376 A1376 &lt;= 25, "18-25", IF(A1376 &lt;=35, "26-35", IF(A1376 &lt;=45, "36-45", IF(Table3[[#This Row],[Age]] &lt;=55, "46-55", "56+"))))</f>
        <v>56+</v>
      </c>
      <c r="AK1376" t="str">
        <f t="shared" si="21"/>
        <v>High</v>
      </c>
      <c r="AL1376" s="2" t="str">
        <f>IF(AF1376 &lt; 3, "0-2 Years", IF(AF1376 &lt;= 5, "3-5 Years", IF(AF1376 &lt;= 10, "6-10 Years",IF(Table3[[#This Row],[Years At Company]]&lt;=20, "11-20 Years","20+ Years"))))</f>
        <v>0-2 Years</v>
      </c>
    </row>
    <row r="1377" spans="1:38" x14ac:dyDescent="0.25">
      <c r="A1377" s="2">
        <v>32</v>
      </c>
      <c r="B1377" t="s">
        <v>35</v>
      </c>
      <c r="C1377" t="s">
        <v>44</v>
      </c>
      <c r="D1377" s="2">
        <v>238</v>
      </c>
      <c r="E1377" t="s">
        <v>45</v>
      </c>
      <c r="F1377" s="2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 s="2">
        <v>2432</v>
      </c>
      <c r="T1377">
        <v>15318</v>
      </c>
      <c r="U1377">
        <v>3</v>
      </c>
      <c r="V1377" t="s">
        <v>42</v>
      </c>
      <c r="W1377" t="s">
        <v>35</v>
      </c>
      <c r="X1377" s="2">
        <v>14</v>
      </c>
      <c r="Y1377">
        <v>3</v>
      </c>
      <c r="Z1377">
        <v>1</v>
      </c>
      <c r="AA1377">
        <v>80</v>
      </c>
      <c r="AB1377">
        <v>0</v>
      </c>
      <c r="AC1377" s="2">
        <v>8</v>
      </c>
      <c r="AD1377">
        <v>2</v>
      </c>
      <c r="AE1377">
        <v>3</v>
      </c>
      <c r="AF1377" s="2">
        <v>4</v>
      </c>
      <c r="AG1377">
        <v>1</v>
      </c>
      <c r="AH1377">
        <v>0</v>
      </c>
      <c r="AI1377">
        <v>3</v>
      </c>
      <c r="AJ1377" s="2" t="str">
        <f>IF(A1377 A1377 &lt;= 25, "18-25", IF(A1377 &lt;=35, "26-35", IF(A1377 &lt;=45, "36-45", IF(Table3[[#This Row],[Age]] &lt;=55, "46-55", "56+"))))</f>
        <v>26-35</v>
      </c>
      <c r="AK1377" t="str">
        <f t="shared" si="21"/>
        <v>Low</v>
      </c>
      <c r="AL1377" s="2" t="str">
        <f>IF(AF1377 &lt; 3, "0-2 Years", IF(AF1377 &lt;= 5, "3-5 Years", IF(AF1377 &lt;= 10, "6-10 Years",IF(Table3[[#This Row],[Years At Company]]&lt;=20, "11-20 Years","20+ Years"))))</f>
        <v>3-5 Years</v>
      </c>
    </row>
    <row r="1378" spans="1:38" x14ac:dyDescent="0.25">
      <c r="A1378" s="2">
        <v>38</v>
      </c>
      <c r="B1378" t="s">
        <v>43</v>
      </c>
      <c r="C1378" t="s">
        <v>36</v>
      </c>
      <c r="D1378" s="2">
        <v>1206</v>
      </c>
      <c r="E1378" t="s">
        <v>45</v>
      </c>
      <c r="F1378" s="2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 s="2">
        <v>4771</v>
      </c>
      <c r="T1378">
        <v>14293</v>
      </c>
      <c r="U1378">
        <v>2</v>
      </c>
      <c r="V1378" t="s">
        <v>42</v>
      </c>
      <c r="W1378" t="s">
        <v>43</v>
      </c>
      <c r="X1378" s="2">
        <v>19</v>
      </c>
      <c r="Y1378">
        <v>3</v>
      </c>
      <c r="Z1378">
        <v>4</v>
      </c>
      <c r="AA1378">
        <v>80</v>
      </c>
      <c r="AB1378">
        <v>2</v>
      </c>
      <c r="AC1378" s="2">
        <v>10</v>
      </c>
      <c r="AD1378">
        <v>0</v>
      </c>
      <c r="AE1378">
        <v>4</v>
      </c>
      <c r="AF1378" s="2">
        <v>5</v>
      </c>
      <c r="AG1378">
        <v>2</v>
      </c>
      <c r="AH1378">
        <v>0</v>
      </c>
      <c r="AI1378">
        <v>3</v>
      </c>
      <c r="AJ1378" s="2" t="str">
        <f>IF(A1378 A1378 &lt;= 25, "18-25", IF(A1378 &lt;=35, "26-35", IF(A1378 &lt;=45, "36-45", IF(Table3[[#This Row],[Age]] &lt;=55, "46-55", "56+"))))</f>
        <v>36-45</v>
      </c>
      <c r="AK1378" t="str">
        <f t="shared" si="21"/>
        <v>Low</v>
      </c>
      <c r="AL1378" s="2" t="str">
        <f>IF(AF1378 &lt; 3, "0-2 Years", IF(AF1378 &lt;= 5, "3-5 Years", IF(AF1378 &lt;= 10, "6-10 Years",IF(Table3[[#This Row],[Years At Company]]&lt;=20, "11-20 Years","20+ Years"))))</f>
        <v>3-5 Years</v>
      </c>
    </row>
    <row r="1379" spans="1:38" x14ac:dyDescent="0.25">
      <c r="A1379" s="2">
        <v>49</v>
      </c>
      <c r="B1379" t="s">
        <v>43</v>
      </c>
      <c r="C1379" t="s">
        <v>44</v>
      </c>
      <c r="D1379" s="2">
        <v>1064</v>
      </c>
      <c r="E1379" t="s">
        <v>45</v>
      </c>
      <c r="F1379" s="2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 s="2">
        <v>19161</v>
      </c>
      <c r="T1379">
        <v>13738</v>
      </c>
      <c r="U1379">
        <v>3</v>
      </c>
      <c r="V1379" t="s">
        <v>42</v>
      </c>
      <c r="W1379" t="s">
        <v>43</v>
      </c>
      <c r="X1379" s="2">
        <v>15</v>
      </c>
      <c r="Y1379">
        <v>3</v>
      </c>
      <c r="Z1379">
        <v>4</v>
      </c>
      <c r="AA1379">
        <v>80</v>
      </c>
      <c r="AB1379">
        <v>0</v>
      </c>
      <c r="AC1379" s="2">
        <v>28</v>
      </c>
      <c r="AD1379">
        <v>3</v>
      </c>
      <c r="AE1379">
        <v>3</v>
      </c>
      <c r="AF1379" s="2">
        <v>5</v>
      </c>
      <c r="AG1379">
        <v>4</v>
      </c>
      <c r="AH1379">
        <v>4</v>
      </c>
      <c r="AI1379">
        <v>3</v>
      </c>
      <c r="AJ1379" s="2" t="str">
        <f>IF(A1379 A1379 &lt;= 25, "18-25", IF(A1379 &lt;=35, "26-35", IF(A1379 &lt;=45, "36-45", IF(Table3[[#This Row],[Age]] &lt;=55, "46-55", "56+"))))</f>
        <v>46-55</v>
      </c>
      <c r="AK1379" t="str">
        <f t="shared" si="21"/>
        <v>High</v>
      </c>
      <c r="AL1379" s="2" t="str">
        <f>IF(AF1379 &lt; 3, "0-2 Years", IF(AF1379 &lt;= 5, "3-5 Years", IF(AF1379 &lt;= 10, "6-10 Years",IF(Table3[[#This Row],[Years At Company]]&lt;=20, "11-20 Years","20+ Years"))))</f>
        <v>3-5 Years</v>
      </c>
    </row>
    <row r="1380" spans="1:38" x14ac:dyDescent="0.25">
      <c r="A1380" s="2">
        <v>42</v>
      </c>
      <c r="B1380" t="s">
        <v>43</v>
      </c>
      <c r="C1380" t="s">
        <v>36</v>
      </c>
      <c r="D1380" s="2">
        <v>419</v>
      </c>
      <c r="E1380" t="s">
        <v>37</v>
      </c>
      <c r="F1380" s="2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 s="2">
        <v>5087</v>
      </c>
      <c r="T1380">
        <v>2900</v>
      </c>
      <c r="U1380">
        <v>3</v>
      </c>
      <c r="V1380" t="s">
        <v>42</v>
      </c>
      <c r="W1380" t="s">
        <v>35</v>
      </c>
      <c r="X1380" s="2">
        <v>12</v>
      </c>
      <c r="Y1380">
        <v>3</v>
      </c>
      <c r="Z1380">
        <v>3</v>
      </c>
      <c r="AA1380">
        <v>80</v>
      </c>
      <c r="AB1380">
        <v>2</v>
      </c>
      <c r="AC1380" s="2">
        <v>14</v>
      </c>
      <c r="AD1380">
        <v>4</v>
      </c>
      <c r="AE1380">
        <v>3</v>
      </c>
      <c r="AF1380" s="2">
        <v>0</v>
      </c>
      <c r="AG1380">
        <v>0</v>
      </c>
      <c r="AH1380">
        <v>0</v>
      </c>
      <c r="AI1380">
        <v>0</v>
      </c>
      <c r="AJ1380" s="2" t="str">
        <f>IF(A1380 A1380 &lt;= 25, "18-25", IF(A1380 &lt;=35, "26-35", IF(A1380 &lt;=45, "36-45", IF(Table3[[#This Row],[Age]] &lt;=55, "46-55", "56+"))))</f>
        <v>36-45</v>
      </c>
      <c r="AK1380" t="str">
        <f t="shared" si="21"/>
        <v>Medium</v>
      </c>
      <c r="AL1380" s="2" t="str">
        <f>IF(AF1380 &lt; 3, "0-2 Years", IF(AF1380 &lt;= 5, "3-5 Years", IF(AF1380 &lt;= 10, "6-10 Years",IF(Table3[[#This Row],[Years At Company]]&lt;=20, "11-20 Years","20+ Years"))))</f>
        <v>0-2 Years</v>
      </c>
    </row>
    <row r="1381" spans="1:38" x14ac:dyDescent="0.25">
      <c r="A1381" s="2">
        <v>27</v>
      </c>
      <c r="B1381" t="s">
        <v>35</v>
      </c>
      <c r="C1381" t="s">
        <v>44</v>
      </c>
      <c r="D1381" s="2">
        <v>1337</v>
      </c>
      <c r="E1381" t="s">
        <v>61</v>
      </c>
      <c r="F1381" s="2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 s="2">
        <v>2863</v>
      </c>
      <c r="T1381">
        <v>19555</v>
      </c>
      <c r="U1381">
        <v>1</v>
      </c>
      <c r="V1381" t="s">
        <v>42</v>
      </c>
      <c r="W1381" t="s">
        <v>43</v>
      </c>
      <c r="X1381" s="2">
        <v>12</v>
      </c>
      <c r="Y1381">
        <v>3</v>
      </c>
      <c r="Z1381">
        <v>1</v>
      </c>
      <c r="AA1381">
        <v>80</v>
      </c>
      <c r="AB1381">
        <v>0</v>
      </c>
      <c r="AC1381" s="2">
        <v>1</v>
      </c>
      <c r="AD1381">
        <v>2</v>
      </c>
      <c r="AE1381">
        <v>3</v>
      </c>
      <c r="AF1381" s="2">
        <v>1</v>
      </c>
      <c r="AG1381">
        <v>0</v>
      </c>
      <c r="AH1381">
        <v>0</v>
      </c>
      <c r="AI1381">
        <v>0</v>
      </c>
      <c r="AJ1381" s="2" t="str">
        <f>IF(A1381 A1381 &lt;= 25, "18-25", IF(A1381 &lt;=35, "26-35", IF(A1381 &lt;=45, "36-45", IF(Table3[[#This Row],[Age]] &lt;=55, "46-55", "56+"))))</f>
        <v>26-35</v>
      </c>
      <c r="AK1381" t="str">
        <f t="shared" si="21"/>
        <v>Low</v>
      </c>
      <c r="AL1381" s="2" t="str">
        <f>IF(AF1381 &lt; 3, "0-2 Years", IF(AF1381 &lt;= 5, "3-5 Years", IF(AF1381 &lt;= 10, "6-10 Years",IF(Table3[[#This Row],[Years At Company]]&lt;=20, "11-20 Years","20+ Years"))))</f>
        <v>0-2 Years</v>
      </c>
    </row>
    <row r="1382" spans="1:38" x14ac:dyDescent="0.25">
      <c r="A1382" s="2">
        <v>35</v>
      </c>
      <c r="B1382" t="s">
        <v>43</v>
      </c>
      <c r="C1382" t="s">
        <v>36</v>
      </c>
      <c r="D1382" s="2">
        <v>682</v>
      </c>
      <c r="E1382" t="s">
        <v>37</v>
      </c>
      <c r="F1382" s="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 s="2">
        <v>5561</v>
      </c>
      <c r="T1382">
        <v>15975</v>
      </c>
      <c r="U1382">
        <v>0</v>
      </c>
      <c r="V1382" t="s">
        <v>42</v>
      </c>
      <c r="W1382" t="s">
        <v>43</v>
      </c>
      <c r="X1382" s="2">
        <v>16</v>
      </c>
      <c r="Y1382">
        <v>3</v>
      </c>
      <c r="Z1382">
        <v>4</v>
      </c>
      <c r="AA1382">
        <v>80</v>
      </c>
      <c r="AB1382">
        <v>1</v>
      </c>
      <c r="AC1382" s="2">
        <v>6</v>
      </c>
      <c r="AD1382">
        <v>2</v>
      </c>
      <c r="AE1382">
        <v>1</v>
      </c>
      <c r="AF1382" s="2">
        <v>5</v>
      </c>
      <c r="AG1382">
        <v>3</v>
      </c>
      <c r="AH1382">
        <v>0</v>
      </c>
      <c r="AI1382">
        <v>4</v>
      </c>
      <c r="AJ1382" s="2" t="str">
        <f>IF(A1382 A1382 &lt;= 25, "18-25", IF(A1382 &lt;=35, "26-35", IF(A1382 &lt;=45, "36-45", IF(Table3[[#This Row],[Age]] &lt;=55, "46-55", "56+"))))</f>
        <v>26-35</v>
      </c>
      <c r="AK1382" t="str">
        <f t="shared" si="21"/>
        <v>Medium</v>
      </c>
      <c r="AL1382" s="2" t="str">
        <f>IF(AF1382 &lt; 3, "0-2 Years", IF(AF1382 &lt;= 5, "3-5 Years", IF(AF1382 &lt;= 10, "6-10 Years",IF(Table3[[#This Row],[Years At Company]]&lt;=20, "11-20 Years","20+ Years"))))</f>
        <v>3-5 Years</v>
      </c>
    </row>
    <row r="1383" spans="1:38" x14ac:dyDescent="0.25">
      <c r="A1383" s="2">
        <v>28</v>
      </c>
      <c r="B1383" t="s">
        <v>43</v>
      </c>
      <c r="C1383" t="s">
        <v>55</v>
      </c>
      <c r="D1383" s="2">
        <v>1103</v>
      </c>
      <c r="E1383" t="s">
        <v>45</v>
      </c>
      <c r="F1383" s="2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 s="2">
        <v>2144</v>
      </c>
      <c r="T1383">
        <v>2122</v>
      </c>
      <c r="U1383">
        <v>1</v>
      </c>
      <c r="V1383" t="s">
        <v>42</v>
      </c>
      <c r="W1383" t="s">
        <v>43</v>
      </c>
      <c r="X1383" s="2">
        <v>14</v>
      </c>
      <c r="Y1383">
        <v>3</v>
      </c>
      <c r="Z1383">
        <v>3</v>
      </c>
      <c r="AA1383">
        <v>80</v>
      </c>
      <c r="AB1383">
        <v>0</v>
      </c>
      <c r="AC1383" s="2">
        <v>5</v>
      </c>
      <c r="AD1383">
        <v>3</v>
      </c>
      <c r="AE1383">
        <v>2</v>
      </c>
      <c r="AF1383" s="2">
        <v>5</v>
      </c>
      <c r="AG1383">
        <v>3</v>
      </c>
      <c r="AH1383">
        <v>1</v>
      </c>
      <c r="AI1383">
        <v>4</v>
      </c>
      <c r="AJ1383" s="2" t="str">
        <f>IF(A1383 A1383 &lt;= 25, "18-25", IF(A1383 &lt;=35, "26-35", IF(A1383 &lt;=45, "36-45", IF(Table3[[#This Row],[Age]] &lt;=55, "46-55", "56+"))))</f>
        <v>26-35</v>
      </c>
      <c r="AK1383" t="str">
        <f t="shared" si="21"/>
        <v>Low</v>
      </c>
      <c r="AL1383" s="2" t="str">
        <f>IF(AF1383 &lt; 3, "0-2 Years", IF(AF1383 &lt;= 5, "3-5 Years", IF(AF1383 &lt;= 10, "6-10 Years",IF(Table3[[#This Row],[Years At Company]]&lt;=20, "11-20 Years","20+ Years"))))</f>
        <v>3-5 Years</v>
      </c>
    </row>
    <row r="1384" spans="1:38" x14ac:dyDescent="0.25">
      <c r="A1384" s="2">
        <v>31</v>
      </c>
      <c r="B1384" t="s">
        <v>43</v>
      </c>
      <c r="C1384" t="s">
        <v>55</v>
      </c>
      <c r="D1384" s="2">
        <v>976</v>
      </c>
      <c r="E1384" t="s">
        <v>45</v>
      </c>
      <c r="F1384" s="2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 s="2">
        <v>3065</v>
      </c>
      <c r="T1384">
        <v>3995</v>
      </c>
      <c r="U1384">
        <v>1</v>
      </c>
      <c r="V1384" t="s">
        <v>42</v>
      </c>
      <c r="W1384" t="s">
        <v>35</v>
      </c>
      <c r="X1384" s="2">
        <v>13</v>
      </c>
      <c r="Y1384">
        <v>3</v>
      </c>
      <c r="Z1384">
        <v>4</v>
      </c>
      <c r="AA1384">
        <v>80</v>
      </c>
      <c r="AB1384">
        <v>1</v>
      </c>
      <c r="AC1384" s="2">
        <v>4</v>
      </c>
      <c r="AD1384">
        <v>3</v>
      </c>
      <c r="AE1384">
        <v>4</v>
      </c>
      <c r="AF1384" s="2">
        <v>4</v>
      </c>
      <c r="AG1384">
        <v>2</v>
      </c>
      <c r="AH1384">
        <v>2</v>
      </c>
      <c r="AI1384">
        <v>3</v>
      </c>
      <c r="AJ1384" s="2" t="str">
        <f>IF(A1384 A1384 &lt;= 25, "18-25", IF(A1384 &lt;=35, "26-35", IF(A1384 &lt;=45, "36-45", IF(Table3[[#This Row],[Age]] &lt;=55, "46-55", "56+"))))</f>
        <v>26-35</v>
      </c>
      <c r="AK1384" t="str">
        <f t="shared" si="21"/>
        <v>Low</v>
      </c>
      <c r="AL1384" s="2" t="str">
        <f>IF(AF1384 &lt; 3, "0-2 Years", IF(AF1384 &lt;= 5, "3-5 Years", IF(AF1384 &lt;= 10, "6-10 Years",IF(Table3[[#This Row],[Years At Company]]&lt;=20, "11-20 Years","20+ Years"))))</f>
        <v>3-5 Years</v>
      </c>
    </row>
    <row r="1385" spans="1:38" x14ac:dyDescent="0.25">
      <c r="A1385" s="2">
        <v>36</v>
      </c>
      <c r="B1385" t="s">
        <v>43</v>
      </c>
      <c r="C1385" t="s">
        <v>55</v>
      </c>
      <c r="D1385" s="2">
        <v>1351</v>
      </c>
      <c r="E1385" t="s">
        <v>45</v>
      </c>
      <c r="F1385" s="2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 s="2">
        <v>2810</v>
      </c>
      <c r="T1385">
        <v>9238</v>
      </c>
      <c r="U1385">
        <v>1</v>
      </c>
      <c r="V1385" t="s">
        <v>42</v>
      </c>
      <c r="W1385" t="s">
        <v>43</v>
      </c>
      <c r="X1385" s="2">
        <v>22</v>
      </c>
      <c r="Y1385">
        <v>4</v>
      </c>
      <c r="Z1385">
        <v>2</v>
      </c>
      <c r="AA1385">
        <v>80</v>
      </c>
      <c r="AB1385">
        <v>0</v>
      </c>
      <c r="AC1385" s="2">
        <v>5</v>
      </c>
      <c r="AD1385">
        <v>3</v>
      </c>
      <c r="AE1385">
        <v>3</v>
      </c>
      <c r="AF1385" s="2">
        <v>5</v>
      </c>
      <c r="AG1385">
        <v>4</v>
      </c>
      <c r="AH1385">
        <v>0</v>
      </c>
      <c r="AI1385">
        <v>2</v>
      </c>
      <c r="AJ1385" s="2" t="str">
        <f>IF(A1385 A1385 &lt;= 25, "18-25", IF(A1385 &lt;=35, "26-35", IF(A1385 &lt;=45, "36-45", IF(Table3[[#This Row],[Age]] &lt;=55, "46-55", "56+"))))</f>
        <v>36-45</v>
      </c>
      <c r="AK1385" t="str">
        <f t="shared" si="21"/>
        <v>Low</v>
      </c>
      <c r="AL1385" s="2" t="str">
        <f>IF(AF1385 &lt; 3, "0-2 Years", IF(AF1385 &lt;= 5, "3-5 Years", IF(AF1385 &lt;= 10, "6-10 Years",IF(Table3[[#This Row],[Years At Company]]&lt;=20, "11-20 Years","20+ Years"))))</f>
        <v>3-5 Years</v>
      </c>
    </row>
    <row r="1386" spans="1:38" x14ac:dyDescent="0.25">
      <c r="A1386" s="2">
        <v>34</v>
      </c>
      <c r="B1386" t="s">
        <v>43</v>
      </c>
      <c r="C1386" t="s">
        <v>36</v>
      </c>
      <c r="D1386" s="2">
        <v>937</v>
      </c>
      <c r="E1386" t="s">
        <v>37</v>
      </c>
      <c r="F1386" s="2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 s="2">
        <v>9888</v>
      </c>
      <c r="T1386">
        <v>6770</v>
      </c>
      <c r="U1386">
        <v>1</v>
      </c>
      <c r="V1386" t="s">
        <v>42</v>
      </c>
      <c r="W1386" t="s">
        <v>43</v>
      </c>
      <c r="X1386" s="2">
        <v>21</v>
      </c>
      <c r="Y1386">
        <v>4</v>
      </c>
      <c r="Z1386">
        <v>1</v>
      </c>
      <c r="AA1386">
        <v>80</v>
      </c>
      <c r="AB1386">
        <v>0</v>
      </c>
      <c r="AC1386" s="2">
        <v>14</v>
      </c>
      <c r="AD1386">
        <v>3</v>
      </c>
      <c r="AE1386">
        <v>2</v>
      </c>
      <c r="AF1386" s="2">
        <v>14</v>
      </c>
      <c r="AG1386">
        <v>8</v>
      </c>
      <c r="AH1386">
        <v>2</v>
      </c>
      <c r="AI1386">
        <v>1</v>
      </c>
      <c r="AJ1386" s="2" t="str">
        <f>IF(A1386 A1386 &lt;= 25, "18-25", IF(A1386 &lt;=35, "26-35", IF(A1386 &lt;=45, "36-45", IF(Table3[[#This Row],[Age]] &lt;=55, "46-55", "56+"))))</f>
        <v>26-35</v>
      </c>
      <c r="AK1386" t="str">
        <f t="shared" si="21"/>
        <v>Medium</v>
      </c>
      <c r="AL1386" s="2" t="str">
        <f>IF(AF1386 &lt; 3, "0-2 Years", IF(AF1386 &lt;= 5, "3-5 Years", IF(AF1386 &lt;= 10, "6-10 Years",IF(Table3[[#This Row],[Years At Company]]&lt;=20, "11-20 Years","20+ Years"))))</f>
        <v>11-20 Years</v>
      </c>
    </row>
    <row r="1387" spans="1:38" x14ac:dyDescent="0.25">
      <c r="A1387" s="2">
        <v>34</v>
      </c>
      <c r="B1387" t="s">
        <v>43</v>
      </c>
      <c r="C1387" t="s">
        <v>36</v>
      </c>
      <c r="D1387" s="2">
        <v>1239</v>
      </c>
      <c r="E1387" t="s">
        <v>37</v>
      </c>
      <c r="F1387" s="2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 s="2">
        <v>8628</v>
      </c>
      <c r="T1387">
        <v>22914</v>
      </c>
      <c r="U1387">
        <v>1</v>
      </c>
      <c r="V1387" t="s">
        <v>42</v>
      </c>
      <c r="W1387" t="s">
        <v>43</v>
      </c>
      <c r="X1387" s="2">
        <v>18</v>
      </c>
      <c r="Y1387">
        <v>3</v>
      </c>
      <c r="Z1387">
        <v>3</v>
      </c>
      <c r="AA1387">
        <v>80</v>
      </c>
      <c r="AB1387">
        <v>1</v>
      </c>
      <c r="AC1387" s="2">
        <v>9</v>
      </c>
      <c r="AD1387">
        <v>2</v>
      </c>
      <c r="AE1387">
        <v>2</v>
      </c>
      <c r="AF1387" s="2">
        <v>8</v>
      </c>
      <c r="AG1387">
        <v>7</v>
      </c>
      <c r="AH1387">
        <v>1</v>
      </c>
      <c r="AI1387">
        <v>1</v>
      </c>
      <c r="AJ1387" s="2" t="str">
        <f>IF(A1387 A1387 &lt;= 25, "18-25", IF(A1387 &lt;=35, "26-35", IF(A1387 &lt;=45, "36-45", IF(Table3[[#This Row],[Age]] &lt;=55, "46-55", "56+"))))</f>
        <v>26-35</v>
      </c>
      <c r="AK1387" t="str">
        <f t="shared" si="21"/>
        <v>Medium</v>
      </c>
      <c r="AL1387" s="2" t="str">
        <f>IF(AF1387 &lt; 3, "0-2 Years", IF(AF1387 &lt;= 5, "3-5 Years", IF(AF1387 &lt;= 10, "6-10 Years",IF(Table3[[#This Row],[Years At Company]]&lt;=20, "11-20 Years","20+ Years"))))</f>
        <v>6-10 Years</v>
      </c>
    </row>
    <row r="1388" spans="1:38" x14ac:dyDescent="0.25">
      <c r="A1388" s="2">
        <v>26</v>
      </c>
      <c r="B1388" t="s">
        <v>43</v>
      </c>
      <c r="C1388" t="s">
        <v>36</v>
      </c>
      <c r="D1388" s="2">
        <v>157</v>
      </c>
      <c r="E1388" t="s">
        <v>45</v>
      </c>
      <c r="F1388" s="2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 s="2">
        <v>2867</v>
      </c>
      <c r="T1388">
        <v>20006</v>
      </c>
      <c r="U1388">
        <v>0</v>
      </c>
      <c r="V1388" t="s">
        <v>42</v>
      </c>
      <c r="W1388" t="s">
        <v>43</v>
      </c>
      <c r="X1388" s="2">
        <v>13</v>
      </c>
      <c r="Y1388">
        <v>3</v>
      </c>
      <c r="Z1388">
        <v>4</v>
      </c>
      <c r="AA1388">
        <v>80</v>
      </c>
      <c r="AB1388">
        <v>0</v>
      </c>
      <c r="AC1388" s="2">
        <v>8</v>
      </c>
      <c r="AD1388">
        <v>6</v>
      </c>
      <c r="AE1388">
        <v>2</v>
      </c>
      <c r="AF1388" s="2">
        <v>7</v>
      </c>
      <c r="AG1388">
        <v>7</v>
      </c>
      <c r="AH1388">
        <v>7</v>
      </c>
      <c r="AI1388">
        <v>6</v>
      </c>
      <c r="AJ1388" s="2" t="str">
        <f>IF(A1388 A1388 &lt;= 25, "18-25", IF(A1388 &lt;=35, "26-35", IF(A1388 &lt;=45, "36-45", IF(Table3[[#This Row],[Age]] &lt;=55, "46-55", "56+"))))</f>
        <v>26-35</v>
      </c>
      <c r="AK1388" t="str">
        <f t="shared" si="21"/>
        <v>Low</v>
      </c>
      <c r="AL1388" s="2" t="str">
        <f>IF(AF1388 &lt; 3, "0-2 Years", IF(AF1388 &lt;= 5, "3-5 Years", IF(AF1388 &lt;= 10, "6-10 Years",IF(Table3[[#This Row],[Years At Company]]&lt;=20, "11-20 Years","20+ Years"))))</f>
        <v>6-10 Years</v>
      </c>
    </row>
    <row r="1389" spans="1:38" x14ac:dyDescent="0.25">
      <c r="A1389" s="2">
        <v>29</v>
      </c>
      <c r="B1389" t="s">
        <v>43</v>
      </c>
      <c r="C1389" t="s">
        <v>36</v>
      </c>
      <c r="D1389" s="2">
        <v>136</v>
      </c>
      <c r="E1389" t="s">
        <v>45</v>
      </c>
      <c r="F1389" s="2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 s="2">
        <v>5373</v>
      </c>
      <c r="T1389">
        <v>6225</v>
      </c>
      <c r="U1389">
        <v>0</v>
      </c>
      <c r="V1389" t="s">
        <v>42</v>
      </c>
      <c r="W1389" t="s">
        <v>43</v>
      </c>
      <c r="X1389" s="2">
        <v>12</v>
      </c>
      <c r="Y1389">
        <v>3</v>
      </c>
      <c r="Z1389">
        <v>1</v>
      </c>
      <c r="AA1389">
        <v>80</v>
      </c>
      <c r="AB1389">
        <v>1</v>
      </c>
      <c r="AC1389" s="2">
        <v>6</v>
      </c>
      <c r="AD1389">
        <v>5</v>
      </c>
      <c r="AE1389">
        <v>2</v>
      </c>
      <c r="AF1389" s="2">
        <v>5</v>
      </c>
      <c r="AG1389">
        <v>3</v>
      </c>
      <c r="AH1389">
        <v>0</v>
      </c>
      <c r="AI1389">
        <v>2</v>
      </c>
      <c r="AJ1389" s="2" t="str">
        <f>IF(A1389 A1389 &lt;= 25, "18-25", IF(A1389 &lt;=35, "26-35", IF(A1389 &lt;=45, "36-45", IF(Table3[[#This Row],[Age]] &lt;=55, "46-55", "56+"))))</f>
        <v>26-35</v>
      </c>
      <c r="AK1389" t="str">
        <f t="shared" si="21"/>
        <v>Medium</v>
      </c>
      <c r="AL1389" s="2" t="str">
        <f>IF(AF1389 &lt; 3, "0-2 Years", IF(AF1389 &lt;= 5, "3-5 Years", IF(AF1389 &lt;= 10, "6-10 Years",IF(Table3[[#This Row],[Years At Company]]&lt;=20, "11-20 Years","20+ Years"))))</f>
        <v>3-5 Years</v>
      </c>
    </row>
    <row r="1390" spans="1:38" x14ac:dyDescent="0.25">
      <c r="A1390" s="2">
        <v>32</v>
      </c>
      <c r="B1390" t="s">
        <v>43</v>
      </c>
      <c r="C1390" t="s">
        <v>55</v>
      </c>
      <c r="D1390" s="2">
        <v>1146</v>
      </c>
      <c r="E1390" t="s">
        <v>45</v>
      </c>
      <c r="F1390" s="2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 s="2">
        <v>6667</v>
      </c>
      <c r="T1390">
        <v>16542</v>
      </c>
      <c r="U1390">
        <v>5</v>
      </c>
      <c r="V1390" t="s">
        <v>42</v>
      </c>
      <c r="W1390" t="s">
        <v>43</v>
      </c>
      <c r="X1390" s="2">
        <v>18</v>
      </c>
      <c r="Y1390">
        <v>3</v>
      </c>
      <c r="Z1390">
        <v>2</v>
      </c>
      <c r="AA1390">
        <v>80</v>
      </c>
      <c r="AB1390">
        <v>1</v>
      </c>
      <c r="AC1390" s="2">
        <v>9</v>
      </c>
      <c r="AD1390">
        <v>6</v>
      </c>
      <c r="AE1390">
        <v>3</v>
      </c>
      <c r="AF1390" s="2">
        <v>5</v>
      </c>
      <c r="AG1390">
        <v>1</v>
      </c>
      <c r="AH1390">
        <v>1</v>
      </c>
      <c r="AI1390">
        <v>2</v>
      </c>
      <c r="AJ1390" s="2" t="str">
        <f>IF(A1390 A1390 &lt;= 25, "18-25", IF(A1390 &lt;=35, "26-35", IF(A1390 &lt;=45, "36-45", IF(Table3[[#This Row],[Age]] &lt;=55, "46-55", "56+"))))</f>
        <v>26-35</v>
      </c>
      <c r="AK1390" t="str">
        <f t="shared" si="21"/>
        <v>Medium</v>
      </c>
      <c r="AL1390" s="2" t="str">
        <f>IF(AF1390 &lt; 3, "0-2 Years", IF(AF1390 &lt;= 5, "3-5 Years", IF(AF1390 &lt;= 10, "6-10 Years",IF(Table3[[#This Row],[Years At Company]]&lt;=20, "11-20 Years","20+ Years"))))</f>
        <v>3-5 Years</v>
      </c>
    </row>
    <row r="1391" spans="1:38" x14ac:dyDescent="0.25">
      <c r="A1391" s="2">
        <v>31</v>
      </c>
      <c r="B1391" t="s">
        <v>43</v>
      </c>
      <c r="C1391" t="s">
        <v>44</v>
      </c>
      <c r="D1391" s="2">
        <v>1125</v>
      </c>
      <c r="E1391" t="s">
        <v>45</v>
      </c>
      <c r="F1391" s="2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 s="2">
        <v>5003</v>
      </c>
      <c r="T1391">
        <v>5771</v>
      </c>
      <c r="U1391">
        <v>1</v>
      </c>
      <c r="V1391" t="s">
        <v>42</v>
      </c>
      <c r="W1391" t="s">
        <v>43</v>
      </c>
      <c r="X1391" s="2">
        <v>21</v>
      </c>
      <c r="Y1391">
        <v>4</v>
      </c>
      <c r="Z1391">
        <v>2</v>
      </c>
      <c r="AA1391">
        <v>80</v>
      </c>
      <c r="AB1391">
        <v>0</v>
      </c>
      <c r="AC1391" s="2">
        <v>10</v>
      </c>
      <c r="AD1391">
        <v>6</v>
      </c>
      <c r="AE1391">
        <v>3</v>
      </c>
      <c r="AF1391" s="2">
        <v>10</v>
      </c>
      <c r="AG1391">
        <v>8</v>
      </c>
      <c r="AH1391">
        <v>8</v>
      </c>
      <c r="AI1391">
        <v>7</v>
      </c>
      <c r="AJ1391" s="2" t="str">
        <f>IF(A1391 A1391 &lt;= 25, "18-25", IF(A1391 &lt;=35, "26-35", IF(A1391 &lt;=45, "36-45", IF(Table3[[#This Row],[Age]] &lt;=55, "46-55", "56+"))))</f>
        <v>26-35</v>
      </c>
      <c r="AK1391" t="str">
        <f t="shared" si="21"/>
        <v>Medium</v>
      </c>
      <c r="AL1391" s="2" t="str">
        <f>IF(AF1391 &lt; 3, "0-2 Years", IF(AF1391 &lt;= 5, "3-5 Years", IF(AF1391 &lt;= 10, "6-10 Years",IF(Table3[[#This Row],[Years At Company]]&lt;=20, "11-20 Years","20+ Years"))))</f>
        <v>6-10 Years</v>
      </c>
    </row>
    <row r="1392" spans="1:38" x14ac:dyDescent="0.25">
      <c r="A1392" s="2">
        <v>28</v>
      </c>
      <c r="B1392" t="s">
        <v>35</v>
      </c>
      <c r="C1392" t="s">
        <v>36</v>
      </c>
      <c r="D1392" s="2">
        <v>1404</v>
      </c>
      <c r="E1392" t="s">
        <v>45</v>
      </c>
      <c r="F1392" s="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 s="2">
        <v>2367</v>
      </c>
      <c r="T1392">
        <v>18779</v>
      </c>
      <c r="U1392">
        <v>5</v>
      </c>
      <c r="V1392" t="s">
        <v>42</v>
      </c>
      <c r="W1392" t="s">
        <v>43</v>
      </c>
      <c r="X1392" s="2">
        <v>12</v>
      </c>
      <c r="Y1392">
        <v>3</v>
      </c>
      <c r="Z1392">
        <v>1</v>
      </c>
      <c r="AA1392">
        <v>80</v>
      </c>
      <c r="AB1392">
        <v>1</v>
      </c>
      <c r="AC1392" s="2">
        <v>6</v>
      </c>
      <c r="AD1392">
        <v>2</v>
      </c>
      <c r="AE1392">
        <v>2</v>
      </c>
      <c r="AF1392" s="2">
        <v>4</v>
      </c>
      <c r="AG1392">
        <v>1</v>
      </c>
      <c r="AH1392">
        <v>0</v>
      </c>
      <c r="AI1392">
        <v>3</v>
      </c>
      <c r="AJ1392" s="2" t="str">
        <f>IF(A1392 A1392 &lt;= 25, "18-25", IF(A1392 &lt;=35, "26-35", IF(A1392 &lt;=45, "36-45", IF(Table3[[#This Row],[Age]] &lt;=55, "46-55", "56+"))))</f>
        <v>26-35</v>
      </c>
      <c r="AK1392" t="str">
        <f t="shared" si="21"/>
        <v>Low</v>
      </c>
      <c r="AL1392" s="2" t="str">
        <f>IF(AF1392 &lt; 3, "0-2 Years", IF(AF1392 &lt;= 5, "3-5 Years", IF(AF1392 &lt;= 10, "6-10 Years",IF(Table3[[#This Row],[Years At Company]]&lt;=20, "11-20 Years","20+ Years"))))</f>
        <v>3-5 Years</v>
      </c>
    </row>
    <row r="1393" spans="1:38" x14ac:dyDescent="0.25">
      <c r="A1393" s="2">
        <v>38</v>
      </c>
      <c r="B1393" t="s">
        <v>43</v>
      </c>
      <c r="C1393" t="s">
        <v>36</v>
      </c>
      <c r="D1393" s="2">
        <v>1404</v>
      </c>
      <c r="E1393" t="s">
        <v>37</v>
      </c>
      <c r="F1393" s="2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 s="2">
        <v>2858</v>
      </c>
      <c r="T1393">
        <v>11473</v>
      </c>
      <c r="U1393">
        <v>4</v>
      </c>
      <c r="V1393" t="s">
        <v>42</v>
      </c>
      <c r="W1393" t="s">
        <v>43</v>
      </c>
      <c r="X1393" s="2">
        <v>14</v>
      </c>
      <c r="Y1393">
        <v>3</v>
      </c>
      <c r="Z1393">
        <v>1</v>
      </c>
      <c r="AA1393">
        <v>80</v>
      </c>
      <c r="AB1393">
        <v>0</v>
      </c>
      <c r="AC1393" s="2">
        <v>20</v>
      </c>
      <c r="AD1393">
        <v>3</v>
      </c>
      <c r="AE1393">
        <v>2</v>
      </c>
      <c r="AF1393" s="2">
        <v>1</v>
      </c>
      <c r="AG1393">
        <v>0</v>
      </c>
      <c r="AH1393">
        <v>0</v>
      </c>
      <c r="AI1393">
        <v>0</v>
      </c>
      <c r="AJ1393" s="2" t="str">
        <f>IF(A1393 A1393 &lt;= 25, "18-25", IF(A1393 &lt;=35, "26-35", IF(A1393 &lt;=45, "36-45", IF(Table3[[#This Row],[Age]] &lt;=55, "46-55", "56+"))))</f>
        <v>36-45</v>
      </c>
      <c r="AK1393" t="str">
        <f t="shared" si="21"/>
        <v>Low</v>
      </c>
      <c r="AL1393" s="2" t="str">
        <f>IF(AF1393 &lt; 3, "0-2 Years", IF(AF1393 &lt;= 5, "3-5 Years", IF(AF1393 &lt;= 10, "6-10 Years",IF(Table3[[#This Row],[Years At Company]]&lt;=20, "11-20 Years","20+ Years"))))</f>
        <v>0-2 Years</v>
      </c>
    </row>
    <row r="1394" spans="1:38" x14ac:dyDescent="0.25">
      <c r="A1394" s="2">
        <v>35</v>
      </c>
      <c r="B1394" t="s">
        <v>43</v>
      </c>
      <c r="C1394" t="s">
        <v>36</v>
      </c>
      <c r="D1394" s="2">
        <v>1224</v>
      </c>
      <c r="E1394" t="s">
        <v>37</v>
      </c>
      <c r="F1394" s="2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 s="2">
        <v>5204</v>
      </c>
      <c r="T1394">
        <v>13586</v>
      </c>
      <c r="U1394">
        <v>1</v>
      </c>
      <c r="V1394" t="s">
        <v>42</v>
      </c>
      <c r="W1394" t="s">
        <v>35</v>
      </c>
      <c r="X1394" s="2">
        <v>11</v>
      </c>
      <c r="Y1394">
        <v>3</v>
      </c>
      <c r="Z1394">
        <v>4</v>
      </c>
      <c r="AA1394">
        <v>80</v>
      </c>
      <c r="AB1394">
        <v>0</v>
      </c>
      <c r="AC1394" s="2">
        <v>10</v>
      </c>
      <c r="AD1394">
        <v>2</v>
      </c>
      <c r="AE1394">
        <v>3</v>
      </c>
      <c r="AF1394" s="2">
        <v>10</v>
      </c>
      <c r="AG1394">
        <v>8</v>
      </c>
      <c r="AH1394">
        <v>0</v>
      </c>
      <c r="AI1394">
        <v>9</v>
      </c>
      <c r="AJ1394" s="2" t="str">
        <f>IF(A1394 A1394 &lt;= 25, "18-25", IF(A1394 &lt;=35, "26-35", IF(A1394 &lt;=45, "36-45", IF(Table3[[#This Row],[Age]] &lt;=55, "46-55", "56+"))))</f>
        <v>26-35</v>
      </c>
      <c r="AK1394" t="str">
        <f t="shared" si="21"/>
        <v>Medium</v>
      </c>
      <c r="AL1394" s="2" t="str">
        <f>IF(AF1394 &lt; 3, "0-2 Years", IF(AF1394 &lt;= 5, "3-5 Years", IF(AF1394 &lt;= 10, "6-10 Years",IF(Table3[[#This Row],[Years At Company]]&lt;=20, "11-20 Years","20+ Years"))))</f>
        <v>6-10 Years</v>
      </c>
    </row>
    <row r="1395" spans="1:38" x14ac:dyDescent="0.25">
      <c r="A1395" s="2">
        <v>27</v>
      </c>
      <c r="B1395" t="s">
        <v>43</v>
      </c>
      <c r="C1395" t="s">
        <v>36</v>
      </c>
      <c r="D1395" s="2">
        <v>954</v>
      </c>
      <c r="E1395" t="s">
        <v>37</v>
      </c>
      <c r="F1395" s="2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 s="2">
        <v>4105</v>
      </c>
      <c r="T1395">
        <v>5099</v>
      </c>
      <c r="U1395">
        <v>1</v>
      </c>
      <c r="V1395" t="s">
        <v>42</v>
      </c>
      <c r="W1395" t="s">
        <v>43</v>
      </c>
      <c r="X1395" s="2">
        <v>14</v>
      </c>
      <c r="Y1395">
        <v>3</v>
      </c>
      <c r="Z1395">
        <v>1</v>
      </c>
      <c r="AA1395">
        <v>80</v>
      </c>
      <c r="AB1395">
        <v>0</v>
      </c>
      <c r="AC1395" s="2">
        <v>7</v>
      </c>
      <c r="AD1395">
        <v>5</v>
      </c>
      <c r="AE1395">
        <v>3</v>
      </c>
      <c r="AF1395" s="2">
        <v>7</v>
      </c>
      <c r="AG1395">
        <v>7</v>
      </c>
      <c r="AH1395">
        <v>0</v>
      </c>
      <c r="AI1395">
        <v>7</v>
      </c>
      <c r="AJ1395" s="2" t="str">
        <f>IF(A1395 A1395 &lt;= 25, "18-25", IF(A1395 &lt;=35, "26-35", IF(A1395 &lt;=45, "36-45", IF(Table3[[#This Row],[Age]] &lt;=55, "46-55", "56+"))))</f>
        <v>26-35</v>
      </c>
      <c r="AK1395" t="str">
        <f t="shared" si="21"/>
        <v>Low</v>
      </c>
      <c r="AL1395" s="2" t="str">
        <f>IF(AF1395 &lt; 3, "0-2 Years", IF(AF1395 &lt;= 5, "3-5 Years", IF(AF1395 &lt;= 10, "6-10 Years",IF(Table3[[#This Row],[Years At Company]]&lt;=20, "11-20 Years","20+ Years"))))</f>
        <v>6-10 Years</v>
      </c>
    </row>
    <row r="1396" spans="1:38" x14ac:dyDescent="0.25">
      <c r="A1396" s="2">
        <v>32</v>
      </c>
      <c r="B1396" t="s">
        <v>43</v>
      </c>
      <c r="C1396" t="s">
        <v>36</v>
      </c>
      <c r="D1396" s="2">
        <v>1373</v>
      </c>
      <c r="E1396" t="s">
        <v>45</v>
      </c>
      <c r="F1396" s="2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 s="2">
        <v>9679</v>
      </c>
      <c r="T1396">
        <v>10138</v>
      </c>
      <c r="U1396">
        <v>8</v>
      </c>
      <c r="V1396" t="s">
        <v>42</v>
      </c>
      <c r="W1396" t="s">
        <v>43</v>
      </c>
      <c r="X1396" s="2">
        <v>24</v>
      </c>
      <c r="Y1396">
        <v>4</v>
      </c>
      <c r="Z1396">
        <v>2</v>
      </c>
      <c r="AA1396">
        <v>80</v>
      </c>
      <c r="AB1396">
        <v>0</v>
      </c>
      <c r="AC1396" s="2">
        <v>8</v>
      </c>
      <c r="AD1396">
        <v>1</v>
      </c>
      <c r="AE1396">
        <v>3</v>
      </c>
      <c r="AF1396" s="2">
        <v>1</v>
      </c>
      <c r="AG1396">
        <v>0</v>
      </c>
      <c r="AH1396">
        <v>0</v>
      </c>
      <c r="AI1396">
        <v>0</v>
      </c>
      <c r="AJ1396" s="2" t="str">
        <f>IF(A1396 A1396 &lt;= 25, "18-25", IF(A1396 &lt;=35, "26-35", IF(A1396 &lt;=45, "36-45", IF(Table3[[#This Row],[Age]] &lt;=55, "46-55", "56+"))))</f>
        <v>26-35</v>
      </c>
      <c r="AK1396" t="str">
        <f t="shared" si="21"/>
        <v>Medium</v>
      </c>
      <c r="AL1396" s="2" t="str">
        <f>IF(AF1396 &lt; 3, "0-2 Years", IF(AF1396 &lt;= 5, "3-5 Years", IF(AF1396 &lt;= 10, "6-10 Years",IF(Table3[[#This Row],[Years At Company]]&lt;=20, "11-20 Years","20+ Years"))))</f>
        <v>0-2 Years</v>
      </c>
    </row>
    <row r="1397" spans="1:38" x14ac:dyDescent="0.25">
      <c r="A1397" s="2">
        <v>31</v>
      </c>
      <c r="B1397" t="s">
        <v>35</v>
      </c>
      <c r="C1397" t="s">
        <v>44</v>
      </c>
      <c r="D1397" s="2">
        <v>754</v>
      </c>
      <c r="E1397" t="s">
        <v>37</v>
      </c>
      <c r="F1397" s="2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 s="2">
        <v>5617</v>
      </c>
      <c r="T1397">
        <v>21075</v>
      </c>
      <c r="U1397">
        <v>1</v>
      </c>
      <c r="V1397" t="s">
        <v>42</v>
      </c>
      <c r="W1397" t="s">
        <v>35</v>
      </c>
      <c r="X1397" s="2">
        <v>11</v>
      </c>
      <c r="Y1397">
        <v>3</v>
      </c>
      <c r="Z1397">
        <v>3</v>
      </c>
      <c r="AA1397">
        <v>80</v>
      </c>
      <c r="AB1397">
        <v>0</v>
      </c>
      <c r="AC1397" s="2">
        <v>10</v>
      </c>
      <c r="AD1397">
        <v>4</v>
      </c>
      <c r="AE1397">
        <v>3</v>
      </c>
      <c r="AF1397" s="2">
        <v>10</v>
      </c>
      <c r="AG1397">
        <v>7</v>
      </c>
      <c r="AH1397">
        <v>0</v>
      </c>
      <c r="AI1397">
        <v>8</v>
      </c>
      <c r="AJ1397" s="2" t="str">
        <f>IF(A1397 A1397 &lt;= 25, "18-25", IF(A1397 &lt;=35, "26-35", IF(A1397 &lt;=45, "36-45", IF(Table3[[#This Row],[Age]] &lt;=55, "46-55", "56+"))))</f>
        <v>26-35</v>
      </c>
      <c r="AK1397" t="str">
        <f t="shared" si="21"/>
        <v>Medium</v>
      </c>
      <c r="AL1397" s="2" t="str">
        <f>IF(AF1397 &lt; 3, "0-2 Years", IF(AF1397 &lt;= 5, "3-5 Years", IF(AF1397 &lt;= 10, "6-10 Years",IF(Table3[[#This Row],[Years At Company]]&lt;=20, "11-20 Years","20+ Years"))))</f>
        <v>6-10 Years</v>
      </c>
    </row>
    <row r="1398" spans="1:38" x14ac:dyDescent="0.25">
      <c r="A1398" s="2">
        <v>53</v>
      </c>
      <c r="B1398" t="s">
        <v>35</v>
      </c>
      <c r="C1398" t="s">
        <v>36</v>
      </c>
      <c r="D1398" s="2">
        <v>1168</v>
      </c>
      <c r="E1398" t="s">
        <v>37</v>
      </c>
      <c r="F1398" s="2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 s="2">
        <v>10448</v>
      </c>
      <c r="T1398">
        <v>5843</v>
      </c>
      <c r="U1398">
        <v>6</v>
      </c>
      <c r="V1398" t="s">
        <v>42</v>
      </c>
      <c r="W1398" t="s">
        <v>35</v>
      </c>
      <c r="X1398" s="2">
        <v>13</v>
      </c>
      <c r="Y1398">
        <v>3</v>
      </c>
      <c r="Z1398">
        <v>2</v>
      </c>
      <c r="AA1398">
        <v>80</v>
      </c>
      <c r="AB1398">
        <v>0</v>
      </c>
      <c r="AC1398" s="2">
        <v>15</v>
      </c>
      <c r="AD1398">
        <v>2</v>
      </c>
      <c r="AE1398">
        <v>2</v>
      </c>
      <c r="AF1398" s="2">
        <v>2</v>
      </c>
      <c r="AG1398">
        <v>2</v>
      </c>
      <c r="AH1398">
        <v>2</v>
      </c>
      <c r="AI1398">
        <v>2</v>
      </c>
      <c r="AJ1398" s="2" t="str">
        <f>IF(A1398 A1398 &lt;= 25, "18-25", IF(A1398 &lt;=35, "26-35", IF(A1398 &lt;=45, "36-45", IF(Table3[[#This Row],[Age]] &lt;=55, "46-55", "56+"))))</f>
        <v>46-55</v>
      </c>
      <c r="AK1398" t="str">
        <f t="shared" si="21"/>
        <v>High</v>
      </c>
      <c r="AL1398" s="2" t="str">
        <f>IF(AF1398 &lt; 3, "0-2 Years", IF(AF1398 &lt;= 5, "3-5 Years", IF(AF1398 &lt;= 10, "6-10 Years",IF(Table3[[#This Row],[Years At Company]]&lt;=20, "11-20 Years","20+ Years"))))</f>
        <v>0-2 Years</v>
      </c>
    </row>
    <row r="1399" spans="1:38" x14ac:dyDescent="0.25">
      <c r="A1399" s="2">
        <v>54</v>
      </c>
      <c r="B1399" t="s">
        <v>43</v>
      </c>
      <c r="C1399" t="s">
        <v>36</v>
      </c>
      <c r="D1399" s="2">
        <v>155</v>
      </c>
      <c r="E1399" t="s">
        <v>45</v>
      </c>
      <c r="F1399" s="2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 s="2">
        <v>2897</v>
      </c>
      <c r="T1399">
        <v>22474</v>
      </c>
      <c r="U1399">
        <v>3</v>
      </c>
      <c r="V1399" t="s">
        <v>42</v>
      </c>
      <c r="W1399" t="s">
        <v>43</v>
      </c>
      <c r="X1399" s="2">
        <v>11</v>
      </c>
      <c r="Y1399">
        <v>3</v>
      </c>
      <c r="Z1399">
        <v>3</v>
      </c>
      <c r="AA1399">
        <v>80</v>
      </c>
      <c r="AB1399">
        <v>2</v>
      </c>
      <c r="AC1399" s="2">
        <v>9</v>
      </c>
      <c r="AD1399">
        <v>6</v>
      </c>
      <c r="AE1399">
        <v>2</v>
      </c>
      <c r="AF1399" s="2">
        <v>4</v>
      </c>
      <c r="AG1399">
        <v>3</v>
      </c>
      <c r="AH1399">
        <v>2</v>
      </c>
      <c r="AI1399">
        <v>3</v>
      </c>
      <c r="AJ1399" s="2" t="str">
        <f>IF(A1399 A1399 &lt;= 25, "18-25", IF(A1399 &lt;=35, "26-35", IF(A1399 &lt;=45, "36-45", IF(Table3[[#This Row],[Age]] &lt;=55, "46-55", "56+"))))</f>
        <v>46-55</v>
      </c>
      <c r="AK1399" t="str">
        <f t="shared" si="21"/>
        <v>Low</v>
      </c>
      <c r="AL1399" s="2" t="str">
        <f>IF(AF1399 &lt; 3, "0-2 Years", IF(AF1399 &lt;= 5, "3-5 Years", IF(AF1399 &lt;= 10, "6-10 Years",IF(Table3[[#This Row],[Years At Company]]&lt;=20, "11-20 Years","20+ Years"))))</f>
        <v>3-5 Years</v>
      </c>
    </row>
    <row r="1400" spans="1:38" x14ac:dyDescent="0.25">
      <c r="A1400" s="2">
        <v>33</v>
      </c>
      <c r="B1400" t="s">
        <v>43</v>
      </c>
      <c r="C1400" t="s">
        <v>44</v>
      </c>
      <c r="D1400" s="2">
        <v>1303</v>
      </c>
      <c r="E1400" t="s">
        <v>45</v>
      </c>
      <c r="F1400" s="2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 s="2">
        <v>5968</v>
      </c>
      <c r="T1400">
        <v>18079</v>
      </c>
      <c r="U1400">
        <v>1</v>
      </c>
      <c r="V1400" t="s">
        <v>42</v>
      </c>
      <c r="W1400" t="s">
        <v>43</v>
      </c>
      <c r="X1400" s="2">
        <v>20</v>
      </c>
      <c r="Y1400">
        <v>4</v>
      </c>
      <c r="Z1400">
        <v>3</v>
      </c>
      <c r="AA1400">
        <v>80</v>
      </c>
      <c r="AB1400">
        <v>3</v>
      </c>
      <c r="AC1400" s="2">
        <v>9</v>
      </c>
      <c r="AD1400">
        <v>2</v>
      </c>
      <c r="AE1400">
        <v>3</v>
      </c>
      <c r="AF1400" s="2">
        <v>9</v>
      </c>
      <c r="AG1400">
        <v>7</v>
      </c>
      <c r="AH1400">
        <v>2</v>
      </c>
      <c r="AI1400">
        <v>8</v>
      </c>
      <c r="AJ1400" s="2" t="str">
        <f>IF(A1400 A1400 &lt;= 25, "18-25", IF(A1400 &lt;=35, "26-35", IF(A1400 &lt;=45, "36-45", IF(Table3[[#This Row],[Age]] &lt;=55, "46-55", "56+"))))</f>
        <v>26-35</v>
      </c>
      <c r="AK1400" t="str">
        <f t="shared" si="21"/>
        <v>Medium</v>
      </c>
      <c r="AL1400" s="2" t="str">
        <f>IF(AF1400 &lt; 3, "0-2 Years", IF(AF1400 &lt;= 5, "3-5 Years", IF(AF1400 &lt;= 10, "6-10 Years",IF(Table3[[#This Row],[Years At Company]]&lt;=20, "11-20 Years","20+ Years"))))</f>
        <v>6-10 Years</v>
      </c>
    </row>
    <row r="1401" spans="1:38" x14ac:dyDescent="0.25">
      <c r="A1401" s="2">
        <v>43</v>
      </c>
      <c r="B1401" t="s">
        <v>43</v>
      </c>
      <c r="C1401" t="s">
        <v>36</v>
      </c>
      <c r="D1401" s="2">
        <v>574</v>
      </c>
      <c r="E1401" t="s">
        <v>45</v>
      </c>
      <c r="F1401" s="2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 s="2">
        <v>7510</v>
      </c>
      <c r="T1401">
        <v>16873</v>
      </c>
      <c r="U1401">
        <v>1</v>
      </c>
      <c r="V1401" t="s">
        <v>42</v>
      </c>
      <c r="W1401" t="s">
        <v>43</v>
      </c>
      <c r="X1401" s="2">
        <v>17</v>
      </c>
      <c r="Y1401">
        <v>3</v>
      </c>
      <c r="Z1401">
        <v>2</v>
      </c>
      <c r="AA1401">
        <v>80</v>
      </c>
      <c r="AB1401">
        <v>1</v>
      </c>
      <c r="AC1401" s="2">
        <v>10</v>
      </c>
      <c r="AD1401">
        <v>1</v>
      </c>
      <c r="AE1401">
        <v>3</v>
      </c>
      <c r="AF1401" s="2">
        <v>10</v>
      </c>
      <c r="AG1401">
        <v>9</v>
      </c>
      <c r="AH1401">
        <v>0</v>
      </c>
      <c r="AI1401">
        <v>9</v>
      </c>
      <c r="AJ1401" s="2" t="str">
        <f>IF(A1401 A1401 &lt;= 25, "18-25", IF(A1401 &lt;=35, "26-35", IF(A1401 &lt;=45, "36-45", IF(Table3[[#This Row],[Age]] &lt;=55, "46-55", "56+"))))</f>
        <v>36-45</v>
      </c>
      <c r="AK1401" t="str">
        <f t="shared" si="21"/>
        <v>Medium</v>
      </c>
      <c r="AL1401" s="2" t="str">
        <f>IF(AF1401 &lt; 3, "0-2 Years", IF(AF1401 &lt;= 5, "3-5 Years", IF(AF1401 &lt;= 10, "6-10 Years",IF(Table3[[#This Row],[Years At Company]]&lt;=20, "11-20 Years","20+ Years"))))</f>
        <v>6-10 Years</v>
      </c>
    </row>
    <row r="1402" spans="1:38" x14ac:dyDescent="0.25">
      <c r="A1402" s="2">
        <v>38</v>
      </c>
      <c r="B1402" t="s">
        <v>43</v>
      </c>
      <c r="C1402" t="s">
        <v>44</v>
      </c>
      <c r="D1402" s="2">
        <v>1444</v>
      </c>
      <c r="E1402" t="s">
        <v>61</v>
      </c>
      <c r="F1402" s="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 s="2">
        <v>2991</v>
      </c>
      <c r="T1402">
        <v>5224</v>
      </c>
      <c r="U1402">
        <v>0</v>
      </c>
      <c r="V1402" t="s">
        <v>42</v>
      </c>
      <c r="W1402" t="s">
        <v>35</v>
      </c>
      <c r="X1402" s="2">
        <v>11</v>
      </c>
      <c r="Y1402">
        <v>3</v>
      </c>
      <c r="Z1402">
        <v>2</v>
      </c>
      <c r="AA1402">
        <v>80</v>
      </c>
      <c r="AB1402">
        <v>1</v>
      </c>
      <c r="AC1402" s="2">
        <v>7</v>
      </c>
      <c r="AD1402">
        <v>2</v>
      </c>
      <c r="AE1402">
        <v>3</v>
      </c>
      <c r="AF1402" s="2">
        <v>6</v>
      </c>
      <c r="AG1402">
        <v>2</v>
      </c>
      <c r="AH1402">
        <v>1</v>
      </c>
      <c r="AI1402">
        <v>2</v>
      </c>
      <c r="AJ1402" s="2" t="str">
        <f>IF(A1402 A1402 &lt;= 25, "18-25", IF(A1402 &lt;=35, "26-35", IF(A1402 &lt;=45, "36-45", IF(Table3[[#This Row],[Age]] &lt;=55, "46-55", "56+"))))</f>
        <v>36-45</v>
      </c>
      <c r="AK1402" t="str">
        <f t="shared" si="21"/>
        <v>Low</v>
      </c>
      <c r="AL1402" s="2" t="str">
        <f>IF(AF1402 &lt; 3, "0-2 Years", IF(AF1402 &lt;= 5, "3-5 Years", IF(AF1402 &lt;= 10, "6-10 Years",IF(Table3[[#This Row],[Years At Company]]&lt;=20, "11-20 Years","20+ Years"))))</f>
        <v>6-10 Years</v>
      </c>
    </row>
    <row r="1403" spans="1:38" x14ac:dyDescent="0.25">
      <c r="A1403" s="2">
        <v>55</v>
      </c>
      <c r="B1403" t="s">
        <v>43</v>
      </c>
      <c r="C1403" t="s">
        <v>36</v>
      </c>
      <c r="D1403" s="2">
        <v>189</v>
      </c>
      <c r="E1403" t="s">
        <v>61</v>
      </c>
      <c r="F1403" s="2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 s="2">
        <v>19636</v>
      </c>
      <c r="T1403">
        <v>25811</v>
      </c>
      <c r="U1403">
        <v>4</v>
      </c>
      <c r="V1403" t="s">
        <v>42</v>
      </c>
      <c r="W1403" t="s">
        <v>35</v>
      </c>
      <c r="X1403" s="2">
        <v>18</v>
      </c>
      <c r="Y1403">
        <v>3</v>
      </c>
      <c r="Z1403">
        <v>1</v>
      </c>
      <c r="AA1403">
        <v>80</v>
      </c>
      <c r="AB1403">
        <v>1</v>
      </c>
      <c r="AC1403" s="2">
        <v>35</v>
      </c>
      <c r="AD1403">
        <v>0</v>
      </c>
      <c r="AE1403">
        <v>3</v>
      </c>
      <c r="AF1403" s="2">
        <v>10</v>
      </c>
      <c r="AG1403">
        <v>9</v>
      </c>
      <c r="AH1403">
        <v>1</v>
      </c>
      <c r="AI1403">
        <v>4</v>
      </c>
      <c r="AJ1403" s="2" t="str">
        <f>IF(A1403 A1403 &lt;= 25, "18-25", IF(A1403 &lt;=35, "26-35", IF(A1403 &lt;=45, "36-45", IF(Table3[[#This Row],[Age]] &lt;=55, "46-55", "56+"))))</f>
        <v>46-55</v>
      </c>
      <c r="AK1403" t="str">
        <f t="shared" si="21"/>
        <v>High</v>
      </c>
      <c r="AL1403" s="2" t="str">
        <f>IF(AF1403 &lt; 3, "0-2 Years", IF(AF1403 &lt;= 5, "3-5 Years", IF(AF1403 &lt;= 10, "6-10 Years",IF(Table3[[#This Row],[Years At Company]]&lt;=20, "11-20 Years","20+ Years"))))</f>
        <v>6-10 Years</v>
      </c>
    </row>
    <row r="1404" spans="1:38" x14ac:dyDescent="0.25">
      <c r="A1404" s="2">
        <v>31</v>
      </c>
      <c r="B1404" t="s">
        <v>43</v>
      </c>
      <c r="C1404" t="s">
        <v>36</v>
      </c>
      <c r="D1404" s="2">
        <v>1276</v>
      </c>
      <c r="E1404" t="s">
        <v>45</v>
      </c>
      <c r="F1404" s="2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 s="2">
        <v>1129</v>
      </c>
      <c r="T1404">
        <v>17536</v>
      </c>
      <c r="U1404">
        <v>1</v>
      </c>
      <c r="V1404" t="s">
        <v>42</v>
      </c>
      <c r="W1404" t="s">
        <v>35</v>
      </c>
      <c r="X1404" s="2">
        <v>11</v>
      </c>
      <c r="Y1404">
        <v>3</v>
      </c>
      <c r="Z1404">
        <v>3</v>
      </c>
      <c r="AA1404">
        <v>80</v>
      </c>
      <c r="AB1404">
        <v>3</v>
      </c>
      <c r="AC1404" s="2">
        <v>1</v>
      </c>
      <c r="AD1404">
        <v>4</v>
      </c>
      <c r="AE1404">
        <v>3</v>
      </c>
      <c r="AF1404" s="2">
        <v>1</v>
      </c>
      <c r="AG1404">
        <v>0</v>
      </c>
      <c r="AH1404">
        <v>0</v>
      </c>
      <c r="AI1404">
        <v>0</v>
      </c>
      <c r="AJ1404" s="2" t="str">
        <f>IF(A1404 A1404 &lt;= 25, "18-25", IF(A1404 &lt;=35, "26-35", IF(A1404 &lt;=45, "36-45", IF(Table3[[#This Row],[Age]] &lt;=55, "46-55", "56+"))))</f>
        <v>26-35</v>
      </c>
      <c r="AK1404" t="str">
        <f t="shared" si="21"/>
        <v>Low</v>
      </c>
      <c r="AL1404" s="2" t="str">
        <f>IF(AF1404 &lt; 3, "0-2 Years", IF(AF1404 &lt;= 5, "3-5 Years", IF(AF1404 &lt;= 10, "6-10 Years",IF(Table3[[#This Row],[Years At Company]]&lt;=20, "11-20 Years","20+ Years"))))</f>
        <v>0-2 Years</v>
      </c>
    </row>
    <row r="1405" spans="1:38" x14ac:dyDescent="0.25">
      <c r="A1405" s="2">
        <v>39</v>
      </c>
      <c r="B1405" t="s">
        <v>43</v>
      </c>
      <c r="C1405" t="s">
        <v>36</v>
      </c>
      <c r="D1405" s="2">
        <v>119</v>
      </c>
      <c r="E1405" t="s">
        <v>37</v>
      </c>
      <c r="F1405" s="2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 s="2">
        <v>13341</v>
      </c>
      <c r="T1405">
        <v>25098</v>
      </c>
      <c r="U1405">
        <v>0</v>
      </c>
      <c r="V1405" t="s">
        <v>42</v>
      </c>
      <c r="W1405" t="s">
        <v>43</v>
      </c>
      <c r="X1405" s="2">
        <v>12</v>
      </c>
      <c r="Y1405">
        <v>3</v>
      </c>
      <c r="Z1405">
        <v>1</v>
      </c>
      <c r="AA1405">
        <v>80</v>
      </c>
      <c r="AB1405">
        <v>0</v>
      </c>
      <c r="AC1405" s="2">
        <v>21</v>
      </c>
      <c r="AD1405">
        <v>3</v>
      </c>
      <c r="AE1405">
        <v>3</v>
      </c>
      <c r="AF1405" s="2">
        <v>20</v>
      </c>
      <c r="AG1405">
        <v>8</v>
      </c>
      <c r="AH1405">
        <v>11</v>
      </c>
      <c r="AI1405">
        <v>10</v>
      </c>
      <c r="AJ1405" s="2" t="str">
        <f>IF(A1405 A1405 &lt;= 25, "18-25", IF(A1405 &lt;=35, "26-35", IF(A1405 &lt;=45, "36-45", IF(Table3[[#This Row],[Age]] &lt;=55, "46-55", "56+"))))</f>
        <v>36-45</v>
      </c>
      <c r="AK1405" t="str">
        <f t="shared" si="21"/>
        <v>High</v>
      </c>
      <c r="AL1405" s="2" t="str">
        <f>IF(AF1405 &lt; 3, "0-2 Years", IF(AF1405 &lt;= 5, "3-5 Years", IF(AF1405 &lt;= 10, "6-10 Years",IF(Table3[[#This Row],[Years At Company]]&lt;=20, "11-20 Years","20+ Years"))))</f>
        <v>11-20 Years</v>
      </c>
    </row>
    <row r="1406" spans="1:38" x14ac:dyDescent="0.25">
      <c r="A1406" s="2">
        <v>42</v>
      </c>
      <c r="B1406" t="s">
        <v>43</v>
      </c>
      <c r="C1406" t="s">
        <v>55</v>
      </c>
      <c r="D1406" s="2">
        <v>335</v>
      </c>
      <c r="E1406" t="s">
        <v>45</v>
      </c>
      <c r="F1406" s="2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 s="2">
        <v>4332</v>
      </c>
      <c r="T1406">
        <v>14811</v>
      </c>
      <c r="U1406">
        <v>1</v>
      </c>
      <c r="V1406" t="s">
        <v>42</v>
      </c>
      <c r="W1406" t="s">
        <v>43</v>
      </c>
      <c r="X1406" s="2">
        <v>12</v>
      </c>
      <c r="Y1406">
        <v>3</v>
      </c>
      <c r="Z1406">
        <v>4</v>
      </c>
      <c r="AA1406">
        <v>80</v>
      </c>
      <c r="AB1406">
        <v>0</v>
      </c>
      <c r="AC1406" s="2">
        <v>20</v>
      </c>
      <c r="AD1406">
        <v>2</v>
      </c>
      <c r="AE1406">
        <v>3</v>
      </c>
      <c r="AF1406" s="2">
        <v>20</v>
      </c>
      <c r="AG1406">
        <v>9</v>
      </c>
      <c r="AH1406">
        <v>3</v>
      </c>
      <c r="AI1406">
        <v>7</v>
      </c>
      <c r="AJ1406" s="2" t="str">
        <f>IF(A1406 A1406 &lt;= 25, "18-25", IF(A1406 &lt;=35, "26-35", IF(A1406 &lt;=45, "36-45", IF(Table3[[#This Row],[Age]] &lt;=55, "46-55", "56+"))))</f>
        <v>36-45</v>
      </c>
      <c r="AK1406" t="str">
        <f t="shared" si="21"/>
        <v>Low</v>
      </c>
      <c r="AL1406" s="2" t="str">
        <f>IF(AF1406 &lt; 3, "0-2 Years", IF(AF1406 &lt;= 5, "3-5 Years", IF(AF1406 &lt;= 10, "6-10 Years",IF(Table3[[#This Row],[Years At Company]]&lt;=20, "11-20 Years","20+ Years"))))</f>
        <v>11-20 Years</v>
      </c>
    </row>
    <row r="1407" spans="1:38" x14ac:dyDescent="0.25">
      <c r="A1407" s="2">
        <v>31</v>
      </c>
      <c r="B1407" t="s">
        <v>43</v>
      </c>
      <c r="C1407" t="s">
        <v>55</v>
      </c>
      <c r="D1407" s="2">
        <v>697</v>
      </c>
      <c r="E1407" t="s">
        <v>45</v>
      </c>
      <c r="F1407" s="2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 s="2">
        <v>11031</v>
      </c>
      <c r="T1407">
        <v>26862</v>
      </c>
      <c r="U1407">
        <v>4</v>
      </c>
      <c r="V1407" t="s">
        <v>42</v>
      </c>
      <c r="W1407" t="s">
        <v>43</v>
      </c>
      <c r="X1407" s="2">
        <v>20</v>
      </c>
      <c r="Y1407">
        <v>4</v>
      </c>
      <c r="Z1407">
        <v>3</v>
      </c>
      <c r="AA1407">
        <v>80</v>
      </c>
      <c r="AB1407">
        <v>1</v>
      </c>
      <c r="AC1407" s="2">
        <v>13</v>
      </c>
      <c r="AD1407">
        <v>2</v>
      </c>
      <c r="AE1407">
        <v>4</v>
      </c>
      <c r="AF1407" s="2">
        <v>11</v>
      </c>
      <c r="AG1407">
        <v>7</v>
      </c>
      <c r="AH1407">
        <v>4</v>
      </c>
      <c r="AI1407">
        <v>8</v>
      </c>
      <c r="AJ1407" s="2" t="str">
        <f>IF(A1407 A1407 &lt;= 25, "18-25", IF(A1407 &lt;=35, "26-35", IF(A1407 &lt;=45, "36-45", IF(Table3[[#This Row],[Age]] &lt;=55, "46-55", "56+"))))</f>
        <v>26-35</v>
      </c>
      <c r="AK1407" t="str">
        <f t="shared" si="21"/>
        <v>High</v>
      </c>
      <c r="AL1407" s="2" t="str">
        <f>IF(AF1407 &lt; 3, "0-2 Years", IF(AF1407 &lt;= 5, "3-5 Years", IF(AF1407 &lt;= 10, "6-10 Years",IF(Table3[[#This Row],[Years At Company]]&lt;=20, "11-20 Years","20+ Years"))))</f>
        <v>11-20 Years</v>
      </c>
    </row>
    <row r="1408" spans="1:38" x14ac:dyDescent="0.25">
      <c r="A1408" s="2">
        <v>54</v>
      </c>
      <c r="B1408" t="s">
        <v>43</v>
      </c>
      <c r="C1408" t="s">
        <v>36</v>
      </c>
      <c r="D1408" s="2">
        <v>157</v>
      </c>
      <c r="E1408" t="s">
        <v>45</v>
      </c>
      <c r="F1408" s="2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 s="2">
        <v>4440</v>
      </c>
      <c r="T1408">
        <v>25198</v>
      </c>
      <c r="U1408">
        <v>6</v>
      </c>
      <c r="V1408" t="s">
        <v>42</v>
      </c>
      <c r="W1408" t="s">
        <v>35</v>
      </c>
      <c r="X1408" s="2">
        <v>19</v>
      </c>
      <c r="Y1408">
        <v>3</v>
      </c>
      <c r="Z1408">
        <v>4</v>
      </c>
      <c r="AA1408">
        <v>80</v>
      </c>
      <c r="AB1408">
        <v>0</v>
      </c>
      <c r="AC1408" s="2">
        <v>9</v>
      </c>
      <c r="AD1408">
        <v>3</v>
      </c>
      <c r="AE1408">
        <v>3</v>
      </c>
      <c r="AF1408" s="2">
        <v>5</v>
      </c>
      <c r="AG1408">
        <v>2</v>
      </c>
      <c r="AH1408">
        <v>1</v>
      </c>
      <c r="AI1408">
        <v>4</v>
      </c>
      <c r="AJ1408" s="2" t="str">
        <f>IF(A1408 A1408 &lt;= 25, "18-25", IF(A1408 &lt;=35, "26-35", IF(A1408 &lt;=45, "36-45", IF(Table3[[#This Row],[Age]] &lt;=55, "46-55", "56+"))))</f>
        <v>46-55</v>
      </c>
      <c r="AK1408" t="str">
        <f t="shared" si="21"/>
        <v>Low</v>
      </c>
      <c r="AL1408" s="2" t="str">
        <f>IF(AF1408 &lt; 3, "0-2 Years", IF(AF1408 &lt;= 5, "3-5 Years", IF(AF1408 &lt;= 10, "6-10 Years",IF(Table3[[#This Row],[Years At Company]]&lt;=20, "11-20 Years","20+ Years"))))</f>
        <v>3-5 Years</v>
      </c>
    </row>
    <row r="1409" spans="1:38" x14ac:dyDescent="0.25">
      <c r="A1409" s="2">
        <v>24</v>
      </c>
      <c r="B1409" t="s">
        <v>43</v>
      </c>
      <c r="C1409" t="s">
        <v>36</v>
      </c>
      <c r="D1409" s="2">
        <v>771</v>
      </c>
      <c r="E1409" t="s">
        <v>45</v>
      </c>
      <c r="F1409" s="2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 s="2">
        <v>4617</v>
      </c>
      <c r="T1409">
        <v>14120</v>
      </c>
      <c r="U1409">
        <v>1</v>
      </c>
      <c r="V1409" t="s">
        <v>42</v>
      </c>
      <c r="W1409" t="s">
        <v>43</v>
      </c>
      <c r="X1409" s="2">
        <v>12</v>
      </c>
      <c r="Y1409">
        <v>3</v>
      </c>
      <c r="Z1409">
        <v>2</v>
      </c>
      <c r="AA1409">
        <v>80</v>
      </c>
      <c r="AB1409">
        <v>0</v>
      </c>
      <c r="AC1409" s="2">
        <v>4</v>
      </c>
      <c r="AD1409">
        <v>2</v>
      </c>
      <c r="AE1409">
        <v>2</v>
      </c>
      <c r="AF1409" s="2">
        <v>4</v>
      </c>
      <c r="AG1409">
        <v>3</v>
      </c>
      <c r="AH1409">
        <v>1</v>
      </c>
      <c r="AI1409">
        <v>2</v>
      </c>
      <c r="AJ1409" s="2" t="str">
        <f>IF(A1409 A1409 &lt;= 25, "18-25", IF(A1409 &lt;=35, "26-35", IF(A1409 &lt;=45, "36-45", IF(Table3[[#This Row],[Age]] &lt;=55, "46-55", "56+"))))</f>
        <v>18-25</v>
      </c>
      <c r="AK1409" t="str">
        <f t="shared" si="21"/>
        <v>Low</v>
      </c>
      <c r="AL1409" s="2" t="str">
        <f>IF(AF1409 &lt; 3, "0-2 Years", IF(AF1409 &lt;= 5, "3-5 Years", IF(AF1409 &lt;= 10, "6-10 Years",IF(Table3[[#This Row],[Years At Company]]&lt;=20, "11-20 Years","20+ Years"))))</f>
        <v>3-5 Years</v>
      </c>
    </row>
    <row r="1410" spans="1:38" x14ac:dyDescent="0.25">
      <c r="A1410" s="2">
        <v>23</v>
      </c>
      <c r="B1410" t="s">
        <v>43</v>
      </c>
      <c r="C1410" t="s">
        <v>36</v>
      </c>
      <c r="D1410" s="2">
        <v>571</v>
      </c>
      <c r="E1410" t="s">
        <v>45</v>
      </c>
      <c r="F1410" s="2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 s="2">
        <v>2647</v>
      </c>
      <c r="T1410">
        <v>13672</v>
      </c>
      <c r="U1410">
        <v>1</v>
      </c>
      <c r="V1410" t="s">
        <v>42</v>
      </c>
      <c r="W1410" t="s">
        <v>43</v>
      </c>
      <c r="X1410" s="2">
        <v>13</v>
      </c>
      <c r="Y1410">
        <v>3</v>
      </c>
      <c r="Z1410">
        <v>3</v>
      </c>
      <c r="AA1410">
        <v>80</v>
      </c>
      <c r="AB1410">
        <v>0</v>
      </c>
      <c r="AC1410" s="2">
        <v>5</v>
      </c>
      <c r="AD1410">
        <v>6</v>
      </c>
      <c r="AE1410">
        <v>4</v>
      </c>
      <c r="AF1410" s="2">
        <v>5</v>
      </c>
      <c r="AG1410">
        <v>2</v>
      </c>
      <c r="AH1410">
        <v>1</v>
      </c>
      <c r="AI1410">
        <v>4</v>
      </c>
      <c r="AJ1410" s="2" t="str">
        <f>IF(A1410 A1410 &lt;= 25, "18-25", IF(A1410 &lt;=35, "26-35", IF(A1410 &lt;=45, "36-45", IF(Table3[[#This Row],[Age]] &lt;=55, "46-55", "56+"))))</f>
        <v>18-25</v>
      </c>
      <c r="AK1410" t="str">
        <f t="shared" ref="AK1410:AK1471" si="22">IF(S1410 &lt; 5000, "Low",IF(S1410 &lt;=9999, "Medium", "High"))</f>
        <v>Low</v>
      </c>
      <c r="AL1410" s="2" t="str">
        <f>IF(AF1410 &lt; 3, "0-2 Years", IF(AF1410 &lt;= 5, "3-5 Years", IF(AF1410 &lt;= 10, "6-10 Years",IF(Table3[[#This Row],[Years At Company]]&lt;=20, "11-20 Years","20+ Years"))))</f>
        <v>3-5 Years</v>
      </c>
    </row>
    <row r="1411" spans="1:38" x14ac:dyDescent="0.25">
      <c r="A1411" s="2">
        <v>40</v>
      </c>
      <c r="B1411" t="s">
        <v>43</v>
      </c>
      <c r="C1411" t="s">
        <v>44</v>
      </c>
      <c r="D1411" s="2">
        <v>692</v>
      </c>
      <c r="E1411" t="s">
        <v>45</v>
      </c>
      <c r="F1411" s="2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 s="2">
        <v>6323</v>
      </c>
      <c r="T1411">
        <v>26849</v>
      </c>
      <c r="U1411">
        <v>1</v>
      </c>
      <c r="V1411" t="s">
        <v>42</v>
      </c>
      <c r="W1411" t="s">
        <v>43</v>
      </c>
      <c r="X1411" s="2">
        <v>11</v>
      </c>
      <c r="Y1411">
        <v>3</v>
      </c>
      <c r="Z1411">
        <v>1</v>
      </c>
      <c r="AA1411">
        <v>80</v>
      </c>
      <c r="AB1411">
        <v>1</v>
      </c>
      <c r="AC1411" s="2">
        <v>10</v>
      </c>
      <c r="AD1411">
        <v>2</v>
      </c>
      <c r="AE1411">
        <v>4</v>
      </c>
      <c r="AF1411" s="2">
        <v>10</v>
      </c>
      <c r="AG1411">
        <v>9</v>
      </c>
      <c r="AH1411">
        <v>9</v>
      </c>
      <c r="AI1411">
        <v>4</v>
      </c>
      <c r="AJ1411" s="2" t="str">
        <f>IF(A1411 A1411 &lt;= 25, "18-25", IF(A1411 &lt;=35, "26-35", IF(A1411 &lt;=45, "36-45", IF(Table3[[#This Row],[Age]] &lt;=55, "46-55", "56+"))))</f>
        <v>36-45</v>
      </c>
      <c r="AK1411" t="str">
        <f t="shared" si="22"/>
        <v>Medium</v>
      </c>
      <c r="AL1411" s="2" t="str">
        <f>IF(AF1411 &lt; 3, "0-2 Years", IF(AF1411 &lt;= 5, "3-5 Years", IF(AF1411 &lt;= 10, "6-10 Years",IF(Table3[[#This Row],[Years At Company]]&lt;=20, "11-20 Years","20+ Years"))))</f>
        <v>6-10 Years</v>
      </c>
    </row>
    <row r="1412" spans="1:38" x14ac:dyDescent="0.25">
      <c r="A1412" s="2">
        <v>40</v>
      </c>
      <c r="B1412" t="s">
        <v>43</v>
      </c>
      <c r="C1412" t="s">
        <v>36</v>
      </c>
      <c r="D1412" s="2">
        <v>444</v>
      </c>
      <c r="E1412" t="s">
        <v>37</v>
      </c>
      <c r="F1412" s="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 s="2">
        <v>5677</v>
      </c>
      <c r="T1412">
        <v>4258</v>
      </c>
      <c r="U1412">
        <v>3</v>
      </c>
      <c r="V1412" t="s">
        <v>42</v>
      </c>
      <c r="W1412" t="s">
        <v>43</v>
      </c>
      <c r="X1412" s="2">
        <v>14</v>
      </c>
      <c r="Y1412">
        <v>3</v>
      </c>
      <c r="Z1412">
        <v>3</v>
      </c>
      <c r="AA1412">
        <v>80</v>
      </c>
      <c r="AB1412">
        <v>1</v>
      </c>
      <c r="AC1412" s="2">
        <v>15</v>
      </c>
      <c r="AD1412">
        <v>4</v>
      </c>
      <c r="AE1412">
        <v>3</v>
      </c>
      <c r="AF1412" s="2">
        <v>11</v>
      </c>
      <c r="AG1412">
        <v>8</v>
      </c>
      <c r="AH1412">
        <v>5</v>
      </c>
      <c r="AI1412">
        <v>10</v>
      </c>
      <c r="AJ1412" s="2" t="str">
        <f>IF(A1412 A1412 &lt;= 25, "18-25", IF(A1412 &lt;=35, "26-35", IF(A1412 &lt;=45, "36-45", IF(Table3[[#This Row],[Age]] &lt;=55, "46-55", "56+"))))</f>
        <v>36-45</v>
      </c>
      <c r="AK1412" t="str">
        <f t="shared" si="22"/>
        <v>Medium</v>
      </c>
      <c r="AL1412" s="2" t="str">
        <f>IF(AF1412 &lt; 3, "0-2 Years", IF(AF1412 &lt;= 5, "3-5 Years", IF(AF1412 &lt;= 10, "6-10 Years",IF(Table3[[#This Row],[Years At Company]]&lt;=20, "11-20 Years","20+ Years"))))</f>
        <v>11-20 Years</v>
      </c>
    </row>
    <row r="1413" spans="1:38" x14ac:dyDescent="0.25">
      <c r="A1413" s="2">
        <v>25</v>
      </c>
      <c r="B1413" t="s">
        <v>43</v>
      </c>
      <c r="C1413" t="s">
        <v>36</v>
      </c>
      <c r="D1413" s="2">
        <v>309</v>
      </c>
      <c r="E1413" t="s">
        <v>61</v>
      </c>
      <c r="F1413" s="2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 s="2">
        <v>2187</v>
      </c>
      <c r="T1413">
        <v>19655</v>
      </c>
      <c r="U1413">
        <v>4</v>
      </c>
      <c r="V1413" t="s">
        <v>42</v>
      </c>
      <c r="W1413" t="s">
        <v>43</v>
      </c>
      <c r="X1413" s="2">
        <v>14</v>
      </c>
      <c r="Y1413">
        <v>3</v>
      </c>
      <c r="Z1413">
        <v>3</v>
      </c>
      <c r="AA1413">
        <v>80</v>
      </c>
      <c r="AB1413">
        <v>0</v>
      </c>
      <c r="AC1413" s="2">
        <v>6</v>
      </c>
      <c r="AD1413">
        <v>3</v>
      </c>
      <c r="AE1413">
        <v>3</v>
      </c>
      <c r="AF1413" s="2">
        <v>2</v>
      </c>
      <c r="AG1413">
        <v>0</v>
      </c>
      <c r="AH1413">
        <v>1</v>
      </c>
      <c r="AI1413">
        <v>2</v>
      </c>
      <c r="AJ1413" s="2" t="str">
        <f>IF(A1413 A1413 &lt;= 25, "18-25", IF(A1413 &lt;=35, "26-35", IF(A1413 &lt;=45, "36-45", IF(Table3[[#This Row],[Age]] &lt;=55, "46-55", "56+"))))</f>
        <v>18-25</v>
      </c>
      <c r="AK1413" t="str">
        <f t="shared" si="22"/>
        <v>Low</v>
      </c>
      <c r="AL1413" s="2" t="str">
        <f>IF(AF1413 &lt; 3, "0-2 Years", IF(AF1413 &lt;= 5, "3-5 Years", IF(AF1413 &lt;= 10, "6-10 Years",IF(Table3[[#This Row],[Years At Company]]&lt;=20, "11-20 Years","20+ Years"))))</f>
        <v>0-2 Years</v>
      </c>
    </row>
    <row r="1414" spans="1:38" x14ac:dyDescent="0.25">
      <c r="A1414" s="2">
        <v>30</v>
      </c>
      <c r="B1414" t="s">
        <v>43</v>
      </c>
      <c r="C1414" t="s">
        <v>36</v>
      </c>
      <c r="D1414" s="2">
        <v>911</v>
      </c>
      <c r="E1414" t="s">
        <v>45</v>
      </c>
      <c r="F1414" s="2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 s="2">
        <v>3748</v>
      </c>
      <c r="T1414">
        <v>4077</v>
      </c>
      <c r="U1414">
        <v>1</v>
      </c>
      <c r="V1414" t="s">
        <v>42</v>
      </c>
      <c r="W1414" t="s">
        <v>43</v>
      </c>
      <c r="X1414" s="2">
        <v>13</v>
      </c>
      <c r="Y1414">
        <v>3</v>
      </c>
      <c r="Z1414">
        <v>3</v>
      </c>
      <c r="AA1414">
        <v>80</v>
      </c>
      <c r="AB1414">
        <v>0</v>
      </c>
      <c r="AC1414" s="2">
        <v>12</v>
      </c>
      <c r="AD1414">
        <v>6</v>
      </c>
      <c r="AE1414">
        <v>2</v>
      </c>
      <c r="AF1414" s="2">
        <v>12</v>
      </c>
      <c r="AG1414">
        <v>8</v>
      </c>
      <c r="AH1414">
        <v>1</v>
      </c>
      <c r="AI1414">
        <v>7</v>
      </c>
      <c r="AJ1414" s="2" t="str">
        <f>IF(A1414 A1414 &lt;= 25, "18-25", IF(A1414 &lt;=35, "26-35", IF(A1414 &lt;=45, "36-45", IF(Table3[[#This Row],[Age]] &lt;=55, "46-55", "56+"))))</f>
        <v>26-35</v>
      </c>
      <c r="AK1414" t="str">
        <f t="shared" si="22"/>
        <v>Low</v>
      </c>
      <c r="AL1414" s="2" t="str">
        <f>IF(AF1414 &lt; 3, "0-2 Years", IF(AF1414 &lt;= 5, "3-5 Years", IF(AF1414 &lt;= 10, "6-10 Years",IF(Table3[[#This Row],[Years At Company]]&lt;=20, "11-20 Years","20+ Years"))))</f>
        <v>11-20 Years</v>
      </c>
    </row>
    <row r="1415" spans="1:38" x14ac:dyDescent="0.25">
      <c r="A1415" s="2">
        <v>25</v>
      </c>
      <c r="B1415" t="s">
        <v>43</v>
      </c>
      <c r="C1415" t="s">
        <v>36</v>
      </c>
      <c r="D1415" s="2">
        <v>977</v>
      </c>
      <c r="E1415" t="s">
        <v>45</v>
      </c>
      <c r="F1415" s="2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 s="2">
        <v>3977</v>
      </c>
      <c r="T1415">
        <v>7298</v>
      </c>
      <c r="U1415">
        <v>6</v>
      </c>
      <c r="V1415" t="s">
        <v>42</v>
      </c>
      <c r="W1415" t="s">
        <v>35</v>
      </c>
      <c r="X1415" s="2">
        <v>19</v>
      </c>
      <c r="Y1415">
        <v>3</v>
      </c>
      <c r="Z1415">
        <v>3</v>
      </c>
      <c r="AA1415">
        <v>80</v>
      </c>
      <c r="AB1415">
        <v>1</v>
      </c>
      <c r="AC1415" s="2">
        <v>7</v>
      </c>
      <c r="AD1415">
        <v>2</v>
      </c>
      <c r="AE1415">
        <v>2</v>
      </c>
      <c r="AF1415" s="2">
        <v>2</v>
      </c>
      <c r="AG1415">
        <v>2</v>
      </c>
      <c r="AH1415">
        <v>0</v>
      </c>
      <c r="AI1415">
        <v>2</v>
      </c>
      <c r="AJ1415" s="2" t="str">
        <f>IF(A1415 A1415 &lt;= 25, "18-25", IF(A1415 &lt;=35, "26-35", IF(A1415 &lt;=45, "36-45", IF(Table3[[#This Row],[Age]] &lt;=55, "46-55", "56+"))))</f>
        <v>18-25</v>
      </c>
      <c r="AK1415" t="str">
        <f t="shared" si="22"/>
        <v>Low</v>
      </c>
      <c r="AL1415" s="2" t="str">
        <f>IF(AF1415 &lt; 3, "0-2 Years", IF(AF1415 &lt;= 5, "3-5 Years", IF(AF1415 &lt;= 10, "6-10 Years",IF(Table3[[#This Row],[Years At Company]]&lt;=20, "11-20 Years","20+ Years"))))</f>
        <v>0-2 Years</v>
      </c>
    </row>
    <row r="1416" spans="1:38" x14ac:dyDescent="0.25">
      <c r="A1416" s="2">
        <v>47</v>
      </c>
      <c r="B1416" t="s">
        <v>43</v>
      </c>
      <c r="C1416" t="s">
        <v>36</v>
      </c>
      <c r="D1416" s="2">
        <v>1180</v>
      </c>
      <c r="E1416" t="s">
        <v>45</v>
      </c>
      <c r="F1416" s="2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 s="2">
        <v>8633</v>
      </c>
      <c r="T1416">
        <v>13084</v>
      </c>
      <c r="U1416">
        <v>2</v>
      </c>
      <c r="V1416" t="s">
        <v>42</v>
      </c>
      <c r="W1416" t="s">
        <v>43</v>
      </c>
      <c r="X1416" s="2">
        <v>23</v>
      </c>
      <c r="Y1416">
        <v>4</v>
      </c>
      <c r="Z1416">
        <v>2</v>
      </c>
      <c r="AA1416">
        <v>80</v>
      </c>
      <c r="AB1416">
        <v>0</v>
      </c>
      <c r="AC1416" s="2">
        <v>25</v>
      </c>
      <c r="AD1416">
        <v>3</v>
      </c>
      <c r="AE1416">
        <v>3</v>
      </c>
      <c r="AF1416" s="2">
        <v>17</v>
      </c>
      <c r="AG1416">
        <v>14</v>
      </c>
      <c r="AH1416">
        <v>12</v>
      </c>
      <c r="AI1416">
        <v>11</v>
      </c>
      <c r="AJ1416" s="2" t="str">
        <f>IF(A1416 A1416 &lt;= 25, "18-25", IF(A1416 &lt;=35, "26-35", IF(A1416 &lt;=45, "36-45", IF(Table3[[#This Row],[Age]] &lt;=55, "46-55", "56+"))))</f>
        <v>46-55</v>
      </c>
      <c r="AK1416" t="str">
        <f t="shared" si="22"/>
        <v>Medium</v>
      </c>
      <c r="AL1416" s="2" t="str">
        <f>IF(AF1416 &lt; 3, "0-2 Years", IF(AF1416 &lt;= 5, "3-5 Years", IF(AF1416 &lt;= 10, "6-10 Years",IF(Table3[[#This Row],[Years At Company]]&lt;=20, "11-20 Years","20+ Years"))))</f>
        <v>11-20 Years</v>
      </c>
    </row>
    <row r="1417" spans="1:38" x14ac:dyDescent="0.25">
      <c r="A1417" s="2">
        <v>33</v>
      </c>
      <c r="B1417" t="s">
        <v>43</v>
      </c>
      <c r="C1417" t="s">
        <v>55</v>
      </c>
      <c r="D1417" s="2">
        <v>1313</v>
      </c>
      <c r="E1417" t="s">
        <v>45</v>
      </c>
      <c r="F1417" s="2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 s="2">
        <v>2008</v>
      </c>
      <c r="T1417">
        <v>20439</v>
      </c>
      <c r="U1417">
        <v>1</v>
      </c>
      <c r="V1417" t="s">
        <v>42</v>
      </c>
      <c r="W1417" t="s">
        <v>43</v>
      </c>
      <c r="X1417" s="2">
        <v>12</v>
      </c>
      <c r="Y1417">
        <v>3</v>
      </c>
      <c r="Z1417">
        <v>3</v>
      </c>
      <c r="AA1417">
        <v>80</v>
      </c>
      <c r="AB1417">
        <v>3</v>
      </c>
      <c r="AC1417" s="2">
        <v>1</v>
      </c>
      <c r="AD1417">
        <v>2</v>
      </c>
      <c r="AE1417">
        <v>2</v>
      </c>
      <c r="AF1417" s="2">
        <v>1</v>
      </c>
      <c r="AG1417">
        <v>1</v>
      </c>
      <c r="AH1417">
        <v>0</v>
      </c>
      <c r="AI1417">
        <v>0</v>
      </c>
      <c r="AJ1417" s="2" t="str">
        <f>IF(A1417 A1417 &lt;= 25, "18-25", IF(A1417 &lt;=35, "26-35", IF(A1417 &lt;=45, "36-45", IF(Table3[[#This Row],[Age]] &lt;=55, "46-55", "56+"))))</f>
        <v>26-35</v>
      </c>
      <c r="AK1417" t="str">
        <f t="shared" si="22"/>
        <v>Low</v>
      </c>
      <c r="AL1417" s="2" t="str">
        <f>IF(AF1417 &lt; 3, "0-2 Years", IF(AF1417 &lt;= 5, "3-5 Years", IF(AF1417 &lt;= 10, "6-10 Years",IF(Table3[[#This Row],[Years At Company]]&lt;=20, "11-20 Years","20+ Years"))))</f>
        <v>0-2 Years</v>
      </c>
    </row>
    <row r="1418" spans="1:38" x14ac:dyDescent="0.25">
      <c r="A1418" s="2">
        <v>38</v>
      </c>
      <c r="B1418" t="s">
        <v>43</v>
      </c>
      <c r="C1418" t="s">
        <v>36</v>
      </c>
      <c r="D1418" s="2">
        <v>1321</v>
      </c>
      <c r="E1418" t="s">
        <v>37</v>
      </c>
      <c r="F1418" s="2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 s="2">
        <v>4440</v>
      </c>
      <c r="T1418">
        <v>7636</v>
      </c>
      <c r="U1418">
        <v>0</v>
      </c>
      <c r="V1418" t="s">
        <v>42</v>
      </c>
      <c r="W1418" t="s">
        <v>43</v>
      </c>
      <c r="X1418" s="2">
        <v>15</v>
      </c>
      <c r="Y1418">
        <v>3</v>
      </c>
      <c r="Z1418">
        <v>1</v>
      </c>
      <c r="AA1418">
        <v>80</v>
      </c>
      <c r="AB1418">
        <v>2</v>
      </c>
      <c r="AC1418" s="2">
        <v>16</v>
      </c>
      <c r="AD1418">
        <v>3</v>
      </c>
      <c r="AE1418">
        <v>3</v>
      </c>
      <c r="AF1418" s="2">
        <v>15</v>
      </c>
      <c r="AG1418">
        <v>13</v>
      </c>
      <c r="AH1418">
        <v>5</v>
      </c>
      <c r="AI1418">
        <v>8</v>
      </c>
      <c r="AJ1418" s="2" t="str">
        <f>IF(A1418 A1418 &lt;= 25, "18-25", IF(A1418 &lt;=35, "26-35", IF(A1418 &lt;=45, "36-45", IF(Table3[[#This Row],[Age]] &lt;=55, "46-55", "56+"))))</f>
        <v>36-45</v>
      </c>
      <c r="AK1418" t="str">
        <f t="shared" si="22"/>
        <v>Low</v>
      </c>
      <c r="AL1418" s="2" t="str">
        <f>IF(AF1418 &lt; 3, "0-2 Years", IF(AF1418 &lt;= 5, "3-5 Years", IF(AF1418 &lt;= 10, "6-10 Years",IF(Table3[[#This Row],[Years At Company]]&lt;=20, "11-20 Years","20+ Years"))))</f>
        <v>11-20 Years</v>
      </c>
    </row>
    <row r="1419" spans="1:38" x14ac:dyDescent="0.25">
      <c r="A1419" s="2">
        <v>31</v>
      </c>
      <c r="B1419" t="s">
        <v>43</v>
      </c>
      <c r="C1419" t="s">
        <v>36</v>
      </c>
      <c r="D1419" s="2">
        <v>1154</v>
      </c>
      <c r="E1419" t="s">
        <v>37</v>
      </c>
      <c r="F1419" s="2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 s="2">
        <v>3067</v>
      </c>
      <c r="T1419">
        <v>6393</v>
      </c>
      <c r="U1419">
        <v>0</v>
      </c>
      <c r="V1419" t="s">
        <v>42</v>
      </c>
      <c r="W1419" t="s">
        <v>43</v>
      </c>
      <c r="X1419" s="2">
        <v>19</v>
      </c>
      <c r="Y1419">
        <v>3</v>
      </c>
      <c r="Z1419">
        <v>3</v>
      </c>
      <c r="AA1419">
        <v>80</v>
      </c>
      <c r="AB1419">
        <v>1</v>
      </c>
      <c r="AC1419" s="2">
        <v>3</v>
      </c>
      <c r="AD1419">
        <v>1</v>
      </c>
      <c r="AE1419">
        <v>3</v>
      </c>
      <c r="AF1419" s="2">
        <v>2</v>
      </c>
      <c r="AG1419">
        <v>2</v>
      </c>
      <c r="AH1419">
        <v>1</v>
      </c>
      <c r="AI1419">
        <v>2</v>
      </c>
      <c r="AJ1419" s="2" t="str">
        <f>IF(A1419 A1419 &lt;= 25, "18-25", IF(A1419 &lt;=35, "26-35", IF(A1419 &lt;=45, "36-45", IF(Table3[[#This Row],[Age]] &lt;=55, "46-55", "56+"))))</f>
        <v>26-35</v>
      </c>
      <c r="AK1419" t="str">
        <f t="shared" si="22"/>
        <v>Low</v>
      </c>
      <c r="AL1419" s="2" t="str">
        <f>IF(AF1419 &lt; 3, "0-2 Years", IF(AF1419 &lt;= 5, "3-5 Years", IF(AF1419 &lt;= 10, "6-10 Years",IF(Table3[[#This Row],[Years At Company]]&lt;=20, "11-20 Years","20+ Years"))))</f>
        <v>0-2 Years</v>
      </c>
    </row>
    <row r="1420" spans="1:38" x14ac:dyDescent="0.25">
      <c r="A1420" s="2">
        <v>38</v>
      </c>
      <c r="B1420" t="s">
        <v>43</v>
      </c>
      <c r="C1420" t="s">
        <v>44</v>
      </c>
      <c r="D1420" s="2">
        <v>508</v>
      </c>
      <c r="E1420" t="s">
        <v>45</v>
      </c>
      <c r="F1420" s="2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 s="2">
        <v>5321</v>
      </c>
      <c r="T1420">
        <v>14284</v>
      </c>
      <c r="U1420">
        <v>2</v>
      </c>
      <c r="V1420" t="s">
        <v>42</v>
      </c>
      <c r="W1420" t="s">
        <v>43</v>
      </c>
      <c r="X1420" s="2">
        <v>11</v>
      </c>
      <c r="Y1420">
        <v>3</v>
      </c>
      <c r="Z1420">
        <v>4</v>
      </c>
      <c r="AA1420">
        <v>80</v>
      </c>
      <c r="AB1420">
        <v>1</v>
      </c>
      <c r="AC1420" s="2">
        <v>10</v>
      </c>
      <c r="AD1420">
        <v>1</v>
      </c>
      <c r="AE1420">
        <v>3</v>
      </c>
      <c r="AF1420" s="2">
        <v>8</v>
      </c>
      <c r="AG1420">
        <v>3</v>
      </c>
      <c r="AH1420">
        <v>7</v>
      </c>
      <c r="AI1420">
        <v>7</v>
      </c>
      <c r="AJ1420" s="2" t="str">
        <f>IF(A1420 A1420 &lt;= 25, "18-25", IF(A1420 &lt;=35, "26-35", IF(A1420 &lt;=45, "36-45", IF(Table3[[#This Row],[Age]] &lt;=55, "46-55", "56+"))))</f>
        <v>36-45</v>
      </c>
      <c r="AK1420" t="str">
        <f t="shared" si="22"/>
        <v>Medium</v>
      </c>
      <c r="AL1420" s="2" t="str">
        <f>IF(AF1420 &lt; 3, "0-2 Years", IF(AF1420 &lt;= 5, "3-5 Years", IF(AF1420 &lt;= 10, "6-10 Years",IF(Table3[[#This Row],[Years At Company]]&lt;=20, "11-20 Years","20+ Years"))))</f>
        <v>6-10 Years</v>
      </c>
    </row>
    <row r="1421" spans="1:38" x14ac:dyDescent="0.25">
      <c r="A1421" s="2">
        <v>42</v>
      </c>
      <c r="B1421" t="s">
        <v>43</v>
      </c>
      <c r="C1421" t="s">
        <v>36</v>
      </c>
      <c r="D1421" s="2">
        <v>557</v>
      </c>
      <c r="E1421" t="s">
        <v>45</v>
      </c>
      <c r="F1421" s="2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 s="2">
        <v>5410</v>
      </c>
      <c r="T1421">
        <v>11189</v>
      </c>
      <c r="U1421">
        <v>6</v>
      </c>
      <c r="V1421" t="s">
        <v>42</v>
      </c>
      <c r="W1421" t="s">
        <v>35</v>
      </c>
      <c r="X1421" s="2">
        <v>17</v>
      </c>
      <c r="Y1421">
        <v>3</v>
      </c>
      <c r="Z1421">
        <v>3</v>
      </c>
      <c r="AA1421">
        <v>80</v>
      </c>
      <c r="AB1421">
        <v>1</v>
      </c>
      <c r="AC1421" s="2">
        <v>9</v>
      </c>
      <c r="AD1421">
        <v>3</v>
      </c>
      <c r="AE1421">
        <v>2</v>
      </c>
      <c r="AF1421" s="2">
        <v>4</v>
      </c>
      <c r="AG1421">
        <v>3</v>
      </c>
      <c r="AH1421">
        <v>1</v>
      </c>
      <c r="AI1421">
        <v>2</v>
      </c>
      <c r="AJ1421" s="2" t="str">
        <f>IF(A1421 A1421 &lt;= 25, "18-25", IF(A1421 &lt;=35, "26-35", IF(A1421 &lt;=45, "36-45", IF(Table3[[#This Row],[Age]] &lt;=55, "46-55", "56+"))))</f>
        <v>36-45</v>
      </c>
      <c r="AK1421" t="str">
        <f t="shared" si="22"/>
        <v>Medium</v>
      </c>
      <c r="AL1421" s="2" t="str">
        <f>IF(AF1421 &lt; 3, "0-2 Years", IF(AF1421 &lt;= 5, "3-5 Years", IF(AF1421 &lt;= 10, "6-10 Years",IF(Table3[[#This Row],[Years At Company]]&lt;=20, "11-20 Years","20+ Years"))))</f>
        <v>3-5 Years</v>
      </c>
    </row>
    <row r="1422" spans="1:38" x14ac:dyDescent="0.25">
      <c r="A1422" s="2">
        <v>41</v>
      </c>
      <c r="B1422" t="s">
        <v>43</v>
      </c>
      <c r="C1422" t="s">
        <v>36</v>
      </c>
      <c r="D1422" s="2">
        <v>642</v>
      </c>
      <c r="E1422" t="s">
        <v>45</v>
      </c>
      <c r="F1422" s="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 s="2">
        <v>2782</v>
      </c>
      <c r="T1422">
        <v>21412</v>
      </c>
      <c r="U1422">
        <v>3</v>
      </c>
      <c r="V1422" t="s">
        <v>42</v>
      </c>
      <c r="W1422" t="s">
        <v>43</v>
      </c>
      <c r="X1422" s="2">
        <v>22</v>
      </c>
      <c r="Y1422">
        <v>4</v>
      </c>
      <c r="Z1422">
        <v>1</v>
      </c>
      <c r="AA1422">
        <v>80</v>
      </c>
      <c r="AB1422">
        <v>1</v>
      </c>
      <c r="AC1422" s="2">
        <v>12</v>
      </c>
      <c r="AD1422">
        <v>3</v>
      </c>
      <c r="AE1422">
        <v>3</v>
      </c>
      <c r="AF1422" s="2">
        <v>5</v>
      </c>
      <c r="AG1422">
        <v>3</v>
      </c>
      <c r="AH1422">
        <v>1</v>
      </c>
      <c r="AI1422">
        <v>0</v>
      </c>
      <c r="AJ1422" s="2" t="str">
        <f>IF(A1422 A1422 &lt;= 25, "18-25", IF(A1422 &lt;=35, "26-35", IF(A1422 &lt;=45, "36-45", IF(Table3[[#This Row],[Age]] &lt;=55, "46-55", "56+"))))</f>
        <v>36-45</v>
      </c>
      <c r="AK1422" t="str">
        <f t="shared" si="22"/>
        <v>Low</v>
      </c>
      <c r="AL1422" s="2" t="str">
        <f>IF(AF1422 &lt; 3, "0-2 Years", IF(AF1422 &lt;= 5, "3-5 Years", IF(AF1422 &lt;= 10, "6-10 Years",IF(Table3[[#This Row],[Years At Company]]&lt;=20, "11-20 Years","20+ Years"))))</f>
        <v>3-5 Years</v>
      </c>
    </row>
    <row r="1423" spans="1:38" x14ac:dyDescent="0.25">
      <c r="A1423" s="2">
        <v>47</v>
      </c>
      <c r="B1423" t="s">
        <v>43</v>
      </c>
      <c r="C1423" t="s">
        <v>55</v>
      </c>
      <c r="D1423" s="2">
        <v>1162</v>
      </c>
      <c r="E1423" t="s">
        <v>45</v>
      </c>
      <c r="F1423" s="2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 s="2">
        <v>11957</v>
      </c>
      <c r="T1423">
        <v>17231</v>
      </c>
      <c r="U1423">
        <v>0</v>
      </c>
      <c r="V1423" t="s">
        <v>42</v>
      </c>
      <c r="W1423" t="s">
        <v>43</v>
      </c>
      <c r="X1423" s="2">
        <v>18</v>
      </c>
      <c r="Y1423">
        <v>3</v>
      </c>
      <c r="Z1423">
        <v>1</v>
      </c>
      <c r="AA1423">
        <v>80</v>
      </c>
      <c r="AB1423">
        <v>2</v>
      </c>
      <c r="AC1423" s="2">
        <v>14</v>
      </c>
      <c r="AD1423">
        <v>3</v>
      </c>
      <c r="AE1423">
        <v>1</v>
      </c>
      <c r="AF1423" s="2">
        <v>13</v>
      </c>
      <c r="AG1423">
        <v>8</v>
      </c>
      <c r="AH1423">
        <v>5</v>
      </c>
      <c r="AI1423">
        <v>12</v>
      </c>
      <c r="AJ1423" s="2" t="str">
        <f>IF(A1423 A1423 &lt;= 25, "18-25", IF(A1423 &lt;=35, "26-35", IF(A1423 &lt;=45, "36-45", IF(Table3[[#This Row],[Age]] &lt;=55, "46-55", "56+"))))</f>
        <v>46-55</v>
      </c>
      <c r="AK1423" t="str">
        <f t="shared" si="22"/>
        <v>High</v>
      </c>
      <c r="AL1423" s="2" t="str">
        <f>IF(AF1423 &lt; 3, "0-2 Years", IF(AF1423 &lt;= 5, "3-5 Years", IF(AF1423 &lt;= 10, "6-10 Years",IF(Table3[[#This Row],[Years At Company]]&lt;=20, "11-20 Years","20+ Years"))))</f>
        <v>11-20 Years</v>
      </c>
    </row>
    <row r="1424" spans="1:38" x14ac:dyDescent="0.25">
      <c r="A1424" s="2">
        <v>35</v>
      </c>
      <c r="B1424" t="s">
        <v>43</v>
      </c>
      <c r="C1424" t="s">
        <v>36</v>
      </c>
      <c r="D1424" s="2">
        <v>1490</v>
      </c>
      <c r="E1424" t="s">
        <v>45</v>
      </c>
      <c r="F1424" s="2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 s="2">
        <v>2660</v>
      </c>
      <c r="T1424">
        <v>20232</v>
      </c>
      <c r="U1424">
        <v>7</v>
      </c>
      <c r="V1424" t="s">
        <v>42</v>
      </c>
      <c r="W1424" t="s">
        <v>35</v>
      </c>
      <c r="X1424" s="2">
        <v>11</v>
      </c>
      <c r="Y1424">
        <v>3</v>
      </c>
      <c r="Z1424">
        <v>3</v>
      </c>
      <c r="AA1424">
        <v>80</v>
      </c>
      <c r="AB1424">
        <v>1</v>
      </c>
      <c r="AC1424" s="2">
        <v>5</v>
      </c>
      <c r="AD1424">
        <v>3</v>
      </c>
      <c r="AE1424">
        <v>3</v>
      </c>
      <c r="AF1424" s="2">
        <v>2</v>
      </c>
      <c r="AG1424">
        <v>2</v>
      </c>
      <c r="AH1424">
        <v>2</v>
      </c>
      <c r="AI1424">
        <v>2</v>
      </c>
      <c r="AJ1424" s="2" t="str">
        <f>IF(A1424 A1424 &lt;= 25, "18-25", IF(A1424 &lt;=35, "26-35", IF(A1424 &lt;=45, "36-45", IF(Table3[[#This Row],[Age]] &lt;=55, "46-55", "56+"))))</f>
        <v>26-35</v>
      </c>
      <c r="AK1424" t="str">
        <f t="shared" si="22"/>
        <v>Low</v>
      </c>
      <c r="AL1424" s="2" t="str">
        <f>IF(AF1424 &lt; 3, "0-2 Years", IF(AF1424 &lt;= 5, "3-5 Years", IF(AF1424 &lt;= 10, "6-10 Years",IF(Table3[[#This Row],[Years At Company]]&lt;=20, "11-20 Years","20+ Years"))))</f>
        <v>0-2 Years</v>
      </c>
    </row>
    <row r="1425" spans="1:38" x14ac:dyDescent="0.25">
      <c r="A1425" s="2">
        <v>22</v>
      </c>
      <c r="B1425" t="s">
        <v>43</v>
      </c>
      <c r="C1425" t="s">
        <v>36</v>
      </c>
      <c r="D1425" s="2">
        <v>581</v>
      </c>
      <c r="E1425" t="s">
        <v>45</v>
      </c>
      <c r="F1425" s="2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 s="2">
        <v>3375</v>
      </c>
      <c r="T1425">
        <v>17624</v>
      </c>
      <c r="U1425">
        <v>0</v>
      </c>
      <c r="V1425" t="s">
        <v>42</v>
      </c>
      <c r="W1425" t="s">
        <v>43</v>
      </c>
      <c r="X1425" s="2">
        <v>12</v>
      </c>
      <c r="Y1425">
        <v>3</v>
      </c>
      <c r="Z1425">
        <v>4</v>
      </c>
      <c r="AA1425">
        <v>80</v>
      </c>
      <c r="AB1425">
        <v>0</v>
      </c>
      <c r="AC1425" s="2">
        <v>4</v>
      </c>
      <c r="AD1425">
        <v>2</v>
      </c>
      <c r="AE1425">
        <v>4</v>
      </c>
      <c r="AF1425" s="2">
        <v>3</v>
      </c>
      <c r="AG1425">
        <v>2</v>
      </c>
      <c r="AH1425">
        <v>1</v>
      </c>
      <c r="AI1425">
        <v>2</v>
      </c>
      <c r="AJ1425" s="2" t="str">
        <f>IF(A1425 A1425 &lt;= 25, "18-25", IF(A1425 &lt;=35, "26-35", IF(A1425 &lt;=45, "36-45", IF(Table3[[#This Row],[Age]] &lt;=55, "46-55", "56+"))))</f>
        <v>18-25</v>
      </c>
      <c r="AK1425" t="str">
        <f t="shared" si="22"/>
        <v>Low</v>
      </c>
      <c r="AL1425" s="2" t="str">
        <f>IF(AF1425 &lt; 3, "0-2 Years", IF(AF1425 &lt;= 5, "3-5 Years", IF(AF1425 &lt;= 10, "6-10 Years",IF(Table3[[#This Row],[Years At Company]]&lt;=20, "11-20 Years","20+ Years"))))</f>
        <v>3-5 Years</v>
      </c>
    </row>
    <row r="1426" spans="1:38" x14ac:dyDescent="0.25">
      <c r="A1426" s="2">
        <v>35</v>
      </c>
      <c r="B1426" t="s">
        <v>43</v>
      </c>
      <c r="C1426" t="s">
        <v>36</v>
      </c>
      <c r="D1426" s="2">
        <v>1395</v>
      </c>
      <c r="E1426" t="s">
        <v>45</v>
      </c>
      <c r="F1426" s="2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 s="2">
        <v>5098</v>
      </c>
      <c r="T1426">
        <v>18698</v>
      </c>
      <c r="U1426">
        <v>1</v>
      </c>
      <c r="V1426" t="s">
        <v>42</v>
      </c>
      <c r="W1426" t="s">
        <v>43</v>
      </c>
      <c r="X1426" s="2">
        <v>19</v>
      </c>
      <c r="Y1426">
        <v>3</v>
      </c>
      <c r="Z1426">
        <v>2</v>
      </c>
      <c r="AA1426">
        <v>80</v>
      </c>
      <c r="AB1426">
        <v>0</v>
      </c>
      <c r="AC1426" s="2">
        <v>10</v>
      </c>
      <c r="AD1426">
        <v>5</v>
      </c>
      <c r="AE1426">
        <v>3</v>
      </c>
      <c r="AF1426" s="2">
        <v>10</v>
      </c>
      <c r="AG1426">
        <v>7</v>
      </c>
      <c r="AH1426">
        <v>0</v>
      </c>
      <c r="AI1426">
        <v>8</v>
      </c>
      <c r="AJ1426" s="2" t="str">
        <f>IF(A1426 A1426 &lt;= 25, "18-25", IF(A1426 &lt;=35, "26-35", IF(A1426 &lt;=45, "36-45", IF(Table3[[#This Row],[Age]] &lt;=55, "46-55", "56+"))))</f>
        <v>26-35</v>
      </c>
      <c r="AK1426" t="str">
        <f t="shared" si="22"/>
        <v>Medium</v>
      </c>
      <c r="AL1426" s="2" t="str">
        <f>IF(AF1426 &lt; 3, "0-2 Years", IF(AF1426 &lt;= 5, "3-5 Years", IF(AF1426 &lt;= 10, "6-10 Years",IF(Table3[[#This Row],[Years At Company]]&lt;=20, "11-20 Years","20+ Years"))))</f>
        <v>6-10 Years</v>
      </c>
    </row>
    <row r="1427" spans="1:38" x14ac:dyDescent="0.25">
      <c r="A1427" s="2">
        <v>33</v>
      </c>
      <c r="B1427" t="s">
        <v>43</v>
      </c>
      <c r="C1427" t="s">
        <v>36</v>
      </c>
      <c r="D1427" s="2">
        <v>501</v>
      </c>
      <c r="E1427" t="s">
        <v>45</v>
      </c>
      <c r="F1427" s="2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 s="2">
        <v>4878</v>
      </c>
      <c r="T1427">
        <v>21653</v>
      </c>
      <c r="U1427">
        <v>0</v>
      </c>
      <c r="V1427" t="s">
        <v>42</v>
      </c>
      <c r="W1427" t="s">
        <v>35</v>
      </c>
      <c r="X1427" s="2">
        <v>13</v>
      </c>
      <c r="Y1427">
        <v>3</v>
      </c>
      <c r="Z1427">
        <v>1</v>
      </c>
      <c r="AA1427">
        <v>80</v>
      </c>
      <c r="AB1427">
        <v>1</v>
      </c>
      <c r="AC1427" s="2">
        <v>10</v>
      </c>
      <c r="AD1427">
        <v>6</v>
      </c>
      <c r="AE1427">
        <v>3</v>
      </c>
      <c r="AF1427" s="2">
        <v>9</v>
      </c>
      <c r="AG1427">
        <v>7</v>
      </c>
      <c r="AH1427">
        <v>8</v>
      </c>
      <c r="AI1427">
        <v>1</v>
      </c>
      <c r="AJ1427" s="2" t="str">
        <f>IF(A1427 A1427 &lt;= 25, "18-25", IF(A1427 &lt;=35, "26-35", IF(A1427 &lt;=45, "36-45", IF(Table3[[#This Row],[Age]] &lt;=55, "46-55", "56+"))))</f>
        <v>26-35</v>
      </c>
      <c r="AK1427" t="str">
        <f t="shared" si="22"/>
        <v>Low</v>
      </c>
      <c r="AL1427" s="2" t="str">
        <f>IF(AF1427 &lt; 3, "0-2 Years", IF(AF1427 &lt;= 5, "3-5 Years", IF(AF1427 &lt;= 10, "6-10 Years",IF(Table3[[#This Row],[Years At Company]]&lt;=20, "11-20 Years","20+ Years"))))</f>
        <v>6-10 Years</v>
      </c>
    </row>
    <row r="1428" spans="1:38" x14ac:dyDescent="0.25">
      <c r="A1428" s="2">
        <v>32</v>
      </c>
      <c r="B1428" t="s">
        <v>43</v>
      </c>
      <c r="C1428" t="s">
        <v>36</v>
      </c>
      <c r="D1428" s="2">
        <v>267</v>
      </c>
      <c r="E1428" t="s">
        <v>45</v>
      </c>
      <c r="F1428" s="2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 s="2">
        <v>2837</v>
      </c>
      <c r="T1428">
        <v>15919</v>
      </c>
      <c r="U1428">
        <v>1</v>
      </c>
      <c r="V1428" t="s">
        <v>42</v>
      </c>
      <c r="W1428" t="s">
        <v>43</v>
      </c>
      <c r="X1428" s="2">
        <v>13</v>
      </c>
      <c r="Y1428">
        <v>3</v>
      </c>
      <c r="Z1428">
        <v>3</v>
      </c>
      <c r="AA1428">
        <v>80</v>
      </c>
      <c r="AB1428">
        <v>0</v>
      </c>
      <c r="AC1428" s="2">
        <v>6</v>
      </c>
      <c r="AD1428">
        <v>3</v>
      </c>
      <c r="AE1428">
        <v>3</v>
      </c>
      <c r="AF1428" s="2">
        <v>6</v>
      </c>
      <c r="AG1428">
        <v>2</v>
      </c>
      <c r="AH1428">
        <v>4</v>
      </c>
      <c r="AI1428">
        <v>1</v>
      </c>
      <c r="AJ1428" s="2" t="str">
        <f>IF(A1428 A1428 &lt;= 25, "18-25", IF(A1428 &lt;=35, "26-35", IF(A1428 &lt;=45, "36-45", IF(Table3[[#This Row],[Age]] &lt;=55, "46-55", "56+"))))</f>
        <v>26-35</v>
      </c>
      <c r="AK1428" t="str">
        <f t="shared" si="22"/>
        <v>Low</v>
      </c>
      <c r="AL1428" s="2" t="str">
        <f>IF(AF1428 &lt; 3, "0-2 Years", IF(AF1428 &lt;= 5, "3-5 Years", IF(AF1428 &lt;= 10, "6-10 Years",IF(Table3[[#This Row],[Years At Company]]&lt;=20, "11-20 Years","20+ Years"))))</f>
        <v>6-10 Years</v>
      </c>
    </row>
    <row r="1429" spans="1:38" x14ac:dyDescent="0.25">
      <c r="A1429" s="2">
        <v>40</v>
      </c>
      <c r="B1429" t="s">
        <v>43</v>
      </c>
      <c r="C1429" t="s">
        <v>36</v>
      </c>
      <c r="D1429" s="2">
        <v>543</v>
      </c>
      <c r="E1429" t="s">
        <v>45</v>
      </c>
      <c r="F1429" s="2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 s="2">
        <v>2406</v>
      </c>
      <c r="T1429">
        <v>4060</v>
      </c>
      <c r="U1429">
        <v>8</v>
      </c>
      <c r="V1429" t="s">
        <v>42</v>
      </c>
      <c r="W1429" t="s">
        <v>43</v>
      </c>
      <c r="X1429" s="2">
        <v>19</v>
      </c>
      <c r="Y1429">
        <v>3</v>
      </c>
      <c r="Z1429">
        <v>3</v>
      </c>
      <c r="AA1429">
        <v>80</v>
      </c>
      <c r="AB1429">
        <v>2</v>
      </c>
      <c r="AC1429" s="2">
        <v>8</v>
      </c>
      <c r="AD1429">
        <v>3</v>
      </c>
      <c r="AE1429">
        <v>2</v>
      </c>
      <c r="AF1429" s="2">
        <v>1</v>
      </c>
      <c r="AG1429">
        <v>0</v>
      </c>
      <c r="AH1429">
        <v>0</v>
      </c>
      <c r="AI1429">
        <v>0</v>
      </c>
      <c r="AJ1429" s="2" t="str">
        <f>IF(A1429 A1429 &lt;= 25, "18-25", IF(A1429 &lt;=35, "26-35", IF(A1429 &lt;=45, "36-45", IF(Table3[[#This Row],[Age]] &lt;=55, "46-55", "56+"))))</f>
        <v>36-45</v>
      </c>
      <c r="AK1429" t="str">
        <f t="shared" si="22"/>
        <v>Low</v>
      </c>
      <c r="AL1429" s="2" t="str">
        <f>IF(AF1429 &lt; 3, "0-2 Years", IF(AF1429 &lt;= 5, "3-5 Years", IF(AF1429 &lt;= 10, "6-10 Years",IF(Table3[[#This Row],[Years At Company]]&lt;=20, "11-20 Years","20+ Years"))))</f>
        <v>0-2 Years</v>
      </c>
    </row>
    <row r="1430" spans="1:38" x14ac:dyDescent="0.25">
      <c r="A1430" s="2">
        <v>32</v>
      </c>
      <c r="B1430" t="s">
        <v>43</v>
      </c>
      <c r="C1430" t="s">
        <v>36</v>
      </c>
      <c r="D1430" s="2">
        <v>234</v>
      </c>
      <c r="E1430" t="s">
        <v>37</v>
      </c>
      <c r="F1430" s="2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 s="2">
        <v>2269</v>
      </c>
      <c r="T1430">
        <v>18024</v>
      </c>
      <c r="U1430">
        <v>0</v>
      </c>
      <c r="V1430" t="s">
        <v>42</v>
      </c>
      <c r="W1430" t="s">
        <v>43</v>
      </c>
      <c r="X1430" s="2">
        <v>14</v>
      </c>
      <c r="Y1430">
        <v>3</v>
      </c>
      <c r="Z1430">
        <v>2</v>
      </c>
      <c r="AA1430">
        <v>80</v>
      </c>
      <c r="AB1430">
        <v>1</v>
      </c>
      <c r="AC1430" s="2">
        <v>3</v>
      </c>
      <c r="AD1430">
        <v>2</v>
      </c>
      <c r="AE1430">
        <v>3</v>
      </c>
      <c r="AF1430" s="2">
        <v>2</v>
      </c>
      <c r="AG1430">
        <v>2</v>
      </c>
      <c r="AH1430">
        <v>2</v>
      </c>
      <c r="AI1430">
        <v>2</v>
      </c>
      <c r="AJ1430" s="2" t="str">
        <f>IF(A1430 A1430 &lt;= 25, "18-25", IF(A1430 &lt;=35, "26-35", IF(A1430 &lt;=45, "36-45", IF(Table3[[#This Row],[Age]] &lt;=55, "46-55", "56+"))))</f>
        <v>26-35</v>
      </c>
      <c r="AK1430" t="str">
        <f t="shared" si="22"/>
        <v>Low</v>
      </c>
      <c r="AL1430" s="2" t="str">
        <f>IF(AF1430 &lt; 3, "0-2 Years", IF(AF1430 &lt;= 5, "3-5 Years", IF(AF1430 &lt;= 10, "6-10 Years",IF(Table3[[#This Row],[Years At Company]]&lt;=20, "11-20 Years","20+ Years"))))</f>
        <v>0-2 Years</v>
      </c>
    </row>
    <row r="1431" spans="1:38" x14ac:dyDescent="0.25">
      <c r="A1431" s="2">
        <v>39</v>
      </c>
      <c r="B1431" t="s">
        <v>43</v>
      </c>
      <c r="C1431" t="s">
        <v>36</v>
      </c>
      <c r="D1431" s="2">
        <v>116</v>
      </c>
      <c r="E1431" t="s">
        <v>45</v>
      </c>
      <c r="F1431" s="2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 s="2">
        <v>4108</v>
      </c>
      <c r="T1431">
        <v>5340</v>
      </c>
      <c r="U1431">
        <v>7</v>
      </c>
      <c r="V1431" t="s">
        <v>42</v>
      </c>
      <c r="W1431" t="s">
        <v>43</v>
      </c>
      <c r="X1431" s="2">
        <v>13</v>
      </c>
      <c r="Y1431">
        <v>3</v>
      </c>
      <c r="Z1431">
        <v>1</v>
      </c>
      <c r="AA1431">
        <v>80</v>
      </c>
      <c r="AB1431">
        <v>0</v>
      </c>
      <c r="AC1431" s="2">
        <v>18</v>
      </c>
      <c r="AD1431">
        <v>2</v>
      </c>
      <c r="AE1431">
        <v>3</v>
      </c>
      <c r="AF1431" s="2">
        <v>7</v>
      </c>
      <c r="AG1431">
        <v>7</v>
      </c>
      <c r="AH1431">
        <v>1</v>
      </c>
      <c r="AI1431">
        <v>7</v>
      </c>
      <c r="AJ1431" s="2" t="str">
        <f>IF(A1431 A1431 &lt;= 25, "18-25", IF(A1431 &lt;=35, "26-35", IF(A1431 &lt;=45, "36-45", IF(Table3[[#This Row],[Age]] &lt;=55, "46-55", "56+"))))</f>
        <v>36-45</v>
      </c>
      <c r="AK1431" t="str">
        <f t="shared" si="22"/>
        <v>Low</v>
      </c>
      <c r="AL1431" s="2" t="str">
        <f>IF(AF1431 &lt; 3, "0-2 Years", IF(AF1431 &lt;= 5, "3-5 Years", IF(AF1431 &lt;= 10, "6-10 Years",IF(Table3[[#This Row],[Years At Company]]&lt;=20, "11-20 Years","20+ Years"))))</f>
        <v>6-10 Years</v>
      </c>
    </row>
    <row r="1432" spans="1:38" x14ac:dyDescent="0.25">
      <c r="A1432" s="2">
        <v>38</v>
      </c>
      <c r="B1432" t="s">
        <v>43</v>
      </c>
      <c r="C1432" t="s">
        <v>36</v>
      </c>
      <c r="D1432" s="2">
        <v>201</v>
      </c>
      <c r="E1432" t="s">
        <v>45</v>
      </c>
      <c r="F1432" s="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 s="2">
        <v>13206</v>
      </c>
      <c r="T1432">
        <v>3376</v>
      </c>
      <c r="U1432">
        <v>3</v>
      </c>
      <c r="V1432" t="s">
        <v>42</v>
      </c>
      <c r="W1432" t="s">
        <v>43</v>
      </c>
      <c r="X1432" s="2">
        <v>12</v>
      </c>
      <c r="Y1432">
        <v>3</v>
      </c>
      <c r="Z1432">
        <v>1</v>
      </c>
      <c r="AA1432">
        <v>80</v>
      </c>
      <c r="AB1432">
        <v>1</v>
      </c>
      <c r="AC1432" s="2">
        <v>20</v>
      </c>
      <c r="AD1432">
        <v>3</v>
      </c>
      <c r="AE1432">
        <v>3</v>
      </c>
      <c r="AF1432" s="2">
        <v>18</v>
      </c>
      <c r="AG1432">
        <v>16</v>
      </c>
      <c r="AH1432">
        <v>1</v>
      </c>
      <c r="AI1432">
        <v>11</v>
      </c>
      <c r="AJ1432" s="2" t="str">
        <f>IF(A1432 A1432 &lt;= 25, "18-25", IF(A1432 &lt;=35, "26-35", IF(A1432 &lt;=45, "36-45", IF(Table3[[#This Row],[Age]] &lt;=55, "46-55", "56+"))))</f>
        <v>36-45</v>
      </c>
      <c r="AK1432" t="str">
        <f t="shared" si="22"/>
        <v>High</v>
      </c>
      <c r="AL1432" s="2" t="str">
        <f>IF(AF1432 &lt; 3, "0-2 Years", IF(AF1432 &lt;= 5, "3-5 Years", IF(AF1432 &lt;= 10, "6-10 Years",IF(Table3[[#This Row],[Years At Company]]&lt;=20, "11-20 Years","20+ Years"))))</f>
        <v>11-20 Years</v>
      </c>
    </row>
    <row r="1433" spans="1:38" x14ac:dyDescent="0.25">
      <c r="A1433" s="2">
        <v>32</v>
      </c>
      <c r="B1433" t="s">
        <v>43</v>
      </c>
      <c r="C1433" t="s">
        <v>36</v>
      </c>
      <c r="D1433" s="2">
        <v>801</v>
      </c>
      <c r="E1433" t="s">
        <v>37</v>
      </c>
      <c r="F1433" s="2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 s="2">
        <v>10422</v>
      </c>
      <c r="T1433">
        <v>24032</v>
      </c>
      <c r="U1433">
        <v>1</v>
      </c>
      <c r="V1433" t="s">
        <v>42</v>
      </c>
      <c r="W1433" t="s">
        <v>43</v>
      </c>
      <c r="X1433" s="2">
        <v>19</v>
      </c>
      <c r="Y1433">
        <v>3</v>
      </c>
      <c r="Z1433">
        <v>3</v>
      </c>
      <c r="AA1433">
        <v>80</v>
      </c>
      <c r="AB1433">
        <v>2</v>
      </c>
      <c r="AC1433" s="2">
        <v>14</v>
      </c>
      <c r="AD1433">
        <v>3</v>
      </c>
      <c r="AE1433">
        <v>3</v>
      </c>
      <c r="AF1433" s="2">
        <v>14</v>
      </c>
      <c r="AG1433">
        <v>10</v>
      </c>
      <c r="AH1433">
        <v>5</v>
      </c>
      <c r="AI1433">
        <v>7</v>
      </c>
      <c r="AJ1433" s="2" t="str">
        <f>IF(A1433 A1433 &lt;= 25, "18-25", IF(A1433 &lt;=35, "26-35", IF(A1433 &lt;=45, "36-45", IF(Table3[[#This Row],[Age]] &lt;=55, "46-55", "56+"))))</f>
        <v>26-35</v>
      </c>
      <c r="AK1433" t="str">
        <f t="shared" si="22"/>
        <v>High</v>
      </c>
      <c r="AL1433" s="2" t="str">
        <f>IF(AF1433 &lt; 3, "0-2 Years", IF(AF1433 &lt;= 5, "3-5 Years", IF(AF1433 &lt;= 10, "6-10 Years",IF(Table3[[#This Row],[Years At Company]]&lt;=20, "11-20 Years","20+ Years"))))</f>
        <v>11-20 Years</v>
      </c>
    </row>
    <row r="1434" spans="1:38" x14ac:dyDescent="0.25">
      <c r="A1434" s="2">
        <v>37</v>
      </c>
      <c r="B1434" t="s">
        <v>43</v>
      </c>
      <c r="C1434" t="s">
        <v>36</v>
      </c>
      <c r="D1434" s="2">
        <v>161</v>
      </c>
      <c r="E1434" t="s">
        <v>45</v>
      </c>
      <c r="F1434" s="2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 s="2">
        <v>13744</v>
      </c>
      <c r="T1434">
        <v>15471</v>
      </c>
      <c r="U1434">
        <v>1</v>
      </c>
      <c r="V1434" t="s">
        <v>42</v>
      </c>
      <c r="W1434" t="s">
        <v>35</v>
      </c>
      <c r="X1434" s="2">
        <v>25</v>
      </c>
      <c r="Y1434">
        <v>4</v>
      </c>
      <c r="Z1434">
        <v>1</v>
      </c>
      <c r="AA1434">
        <v>80</v>
      </c>
      <c r="AB1434">
        <v>1</v>
      </c>
      <c r="AC1434" s="2">
        <v>16</v>
      </c>
      <c r="AD1434">
        <v>2</v>
      </c>
      <c r="AE1434">
        <v>3</v>
      </c>
      <c r="AF1434" s="2">
        <v>16</v>
      </c>
      <c r="AG1434">
        <v>11</v>
      </c>
      <c r="AH1434">
        <v>6</v>
      </c>
      <c r="AI1434">
        <v>8</v>
      </c>
      <c r="AJ1434" s="2" t="str">
        <f>IF(A1434 A1434 &lt;= 25, "18-25", IF(A1434 &lt;=35, "26-35", IF(A1434 &lt;=45, "36-45", IF(Table3[[#This Row],[Age]] &lt;=55, "46-55", "56+"))))</f>
        <v>36-45</v>
      </c>
      <c r="AK1434" t="str">
        <f t="shared" si="22"/>
        <v>High</v>
      </c>
      <c r="AL1434" s="2" t="str">
        <f>IF(AF1434 &lt; 3, "0-2 Years", IF(AF1434 &lt;= 5, "3-5 Years", IF(AF1434 &lt;= 10, "6-10 Years",IF(Table3[[#This Row],[Years At Company]]&lt;=20, "11-20 Years","20+ Years"))))</f>
        <v>11-20 Years</v>
      </c>
    </row>
    <row r="1435" spans="1:38" x14ac:dyDescent="0.25">
      <c r="A1435" s="2">
        <v>25</v>
      </c>
      <c r="B1435" t="s">
        <v>43</v>
      </c>
      <c r="C1435" t="s">
        <v>36</v>
      </c>
      <c r="D1435" s="2">
        <v>1382</v>
      </c>
      <c r="E1435" t="s">
        <v>37</v>
      </c>
      <c r="F1435" s="2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 s="2">
        <v>4907</v>
      </c>
      <c r="T1435">
        <v>13684</v>
      </c>
      <c r="U1435">
        <v>0</v>
      </c>
      <c r="V1435" t="s">
        <v>42</v>
      </c>
      <c r="W1435" t="s">
        <v>35</v>
      </c>
      <c r="X1435" s="2">
        <v>22</v>
      </c>
      <c r="Y1435">
        <v>4</v>
      </c>
      <c r="Z1435">
        <v>2</v>
      </c>
      <c r="AA1435">
        <v>80</v>
      </c>
      <c r="AB1435">
        <v>1</v>
      </c>
      <c r="AC1435" s="2">
        <v>6</v>
      </c>
      <c r="AD1435">
        <v>3</v>
      </c>
      <c r="AE1435">
        <v>2</v>
      </c>
      <c r="AF1435" s="2">
        <v>5</v>
      </c>
      <c r="AG1435">
        <v>3</v>
      </c>
      <c r="AH1435">
        <v>0</v>
      </c>
      <c r="AI1435">
        <v>4</v>
      </c>
      <c r="AJ1435" s="2" t="str">
        <f>IF(A1435 A1435 &lt;= 25, "18-25", IF(A1435 &lt;=35, "26-35", IF(A1435 &lt;=45, "36-45", IF(Table3[[#This Row],[Age]] &lt;=55, "46-55", "56+"))))</f>
        <v>18-25</v>
      </c>
      <c r="AK1435" t="str">
        <f t="shared" si="22"/>
        <v>Low</v>
      </c>
      <c r="AL1435" s="2" t="str">
        <f>IF(AF1435 &lt; 3, "0-2 Years", IF(AF1435 &lt;= 5, "3-5 Years", IF(AF1435 &lt;= 10, "6-10 Years",IF(Table3[[#This Row],[Years At Company]]&lt;=20, "11-20 Years","20+ Years"))))</f>
        <v>3-5 Years</v>
      </c>
    </row>
    <row r="1436" spans="1:38" x14ac:dyDescent="0.25">
      <c r="A1436" s="2">
        <v>52</v>
      </c>
      <c r="B1436" t="s">
        <v>43</v>
      </c>
      <c r="C1436" t="s">
        <v>55</v>
      </c>
      <c r="D1436" s="2">
        <v>585</v>
      </c>
      <c r="E1436" t="s">
        <v>37</v>
      </c>
      <c r="F1436" s="2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 s="2">
        <v>3482</v>
      </c>
      <c r="T1436">
        <v>19788</v>
      </c>
      <c r="U1436">
        <v>2</v>
      </c>
      <c r="V1436" t="s">
        <v>42</v>
      </c>
      <c r="W1436" t="s">
        <v>43</v>
      </c>
      <c r="X1436" s="2">
        <v>15</v>
      </c>
      <c r="Y1436">
        <v>3</v>
      </c>
      <c r="Z1436">
        <v>2</v>
      </c>
      <c r="AA1436">
        <v>80</v>
      </c>
      <c r="AB1436">
        <v>2</v>
      </c>
      <c r="AC1436" s="2">
        <v>16</v>
      </c>
      <c r="AD1436">
        <v>3</v>
      </c>
      <c r="AE1436">
        <v>2</v>
      </c>
      <c r="AF1436" s="2">
        <v>9</v>
      </c>
      <c r="AG1436">
        <v>8</v>
      </c>
      <c r="AH1436">
        <v>0</v>
      </c>
      <c r="AI1436">
        <v>0</v>
      </c>
      <c r="AJ1436" s="2" t="str">
        <f>IF(A1436 A1436 &lt;= 25, "18-25", IF(A1436 &lt;=35, "26-35", IF(A1436 &lt;=45, "36-45", IF(Table3[[#This Row],[Age]] &lt;=55, "46-55", "56+"))))</f>
        <v>46-55</v>
      </c>
      <c r="AK1436" t="str">
        <f t="shared" si="22"/>
        <v>Low</v>
      </c>
      <c r="AL1436" s="2" t="str">
        <f>IF(AF1436 &lt; 3, "0-2 Years", IF(AF1436 &lt;= 5, "3-5 Years", IF(AF1436 &lt;= 10, "6-10 Years",IF(Table3[[#This Row],[Years At Company]]&lt;=20, "11-20 Years","20+ Years"))))</f>
        <v>6-10 Years</v>
      </c>
    </row>
    <row r="1437" spans="1:38" x14ac:dyDescent="0.25">
      <c r="A1437" s="2">
        <v>44</v>
      </c>
      <c r="B1437" t="s">
        <v>43</v>
      </c>
      <c r="C1437" t="s">
        <v>36</v>
      </c>
      <c r="D1437" s="2">
        <v>1037</v>
      </c>
      <c r="E1437" t="s">
        <v>45</v>
      </c>
      <c r="F1437" s="2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 s="2">
        <v>2436</v>
      </c>
      <c r="T1437">
        <v>13422</v>
      </c>
      <c r="U1437">
        <v>6</v>
      </c>
      <c r="V1437" t="s">
        <v>42</v>
      </c>
      <c r="W1437" t="s">
        <v>35</v>
      </c>
      <c r="X1437" s="2">
        <v>12</v>
      </c>
      <c r="Y1437">
        <v>3</v>
      </c>
      <c r="Z1437">
        <v>3</v>
      </c>
      <c r="AA1437">
        <v>80</v>
      </c>
      <c r="AB1437">
        <v>0</v>
      </c>
      <c r="AC1437" s="2">
        <v>6</v>
      </c>
      <c r="AD1437">
        <v>2</v>
      </c>
      <c r="AE1437">
        <v>3</v>
      </c>
      <c r="AF1437" s="2">
        <v>4</v>
      </c>
      <c r="AG1437">
        <v>3</v>
      </c>
      <c r="AH1437">
        <v>1</v>
      </c>
      <c r="AI1437">
        <v>2</v>
      </c>
      <c r="AJ1437" s="2" t="str">
        <f>IF(A1437 A1437 &lt;= 25, "18-25", IF(A1437 &lt;=35, "26-35", IF(A1437 &lt;=45, "36-45", IF(Table3[[#This Row],[Age]] &lt;=55, "46-55", "56+"))))</f>
        <v>36-45</v>
      </c>
      <c r="AK1437" t="str">
        <f t="shared" si="22"/>
        <v>Low</v>
      </c>
      <c r="AL1437" s="2" t="str">
        <f>IF(AF1437 &lt; 3, "0-2 Years", IF(AF1437 &lt;= 5, "3-5 Years", IF(AF1437 &lt;= 10, "6-10 Years",IF(Table3[[#This Row],[Years At Company]]&lt;=20, "11-20 Years","20+ Years"))))</f>
        <v>3-5 Years</v>
      </c>
    </row>
    <row r="1438" spans="1:38" x14ac:dyDescent="0.25">
      <c r="A1438" s="2">
        <v>21</v>
      </c>
      <c r="B1438" t="s">
        <v>43</v>
      </c>
      <c r="C1438" t="s">
        <v>36</v>
      </c>
      <c r="D1438" s="2">
        <v>501</v>
      </c>
      <c r="E1438" t="s">
        <v>37</v>
      </c>
      <c r="F1438" s="2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 s="2">
        <v>2380</v>
      </c>
      <c r="T1438">
        <v>25479</v>
      </c>
      <c r="U1438">
        <v>1</v>
      </c>
      <c r="V1438" t="s">
        <v>42</v>
      </c>
      <c r="W1438" t="s">
        <v>35</v>
      </c>
      <c r="X1438" s="2">
        <v>11</v>
      </c>
      <c r="Y1438">
        <v>3</v>
      </c>
      <c r="Z1438">
        <v>4</v>
      </c>
      <c r="AA1438">
        <v>80</v>
      </c>
      <c r="AB1438">
        <v>0</v>
      </c>
      <c r="AC1438" s="2">
        <v>2</v>
      </c>
      <c r="AD1438">
        <v>6</v>
      </c>
      <c r="AE1438">
        <v>3</v>
      </c>
      <c r="AF1438" s="2">
        <v>2</v>
      </c>
      <c r="AG1438">
        <v>2</v>
      </c>
      <c r="AH1438">
        <v>1</v>
      </c>
      <c r="AI1438">
        <v>2</v>
      </c>
      <c r="AJ1438" s="2" t="str">
        <f>IF(A1438 A1438 &lt;= 25, "18-25", IF(A1438 &lt;=35, "26-35", IF(A1438 &lt;=45, "36-45", IF(Table3[[#This Row],[Age]] &lt;=55, "46-55", "56+"))))</f>
        <v>18-25</v>
      </c>
      <c r="AK1438" t="str">
        <f t="shared" si="22"/>
        <v>Low</v>
      </c>
      <c r="AL1438" s="2" t="str">
        <f>IF(AF1438 &lt; 3, "0-2 Years", IF(AF1438 &lt;= 5, "3-5 Years", IF(AF1438 &lt;= 10, "6-10 Years",IF(Table3[[#This Row],[Years At Company]]&lt;=20, "11-20 Years","20+ Years"))))</f>
        <v>0-2 Years</v>
      </c>
    </row>
    <row r="1439" spans="1:38" x14ac:dyDescent="0.25">
      <c r="A1439" s="2">
        <v>39</v>
      </c>
      <c r="B1439" t="s">
        <v>43</v>
      </c>
      <c r="C1439" t="s">
        <v>55</v>
      </c>
      <c r="D1439" s="2">
        <v>105</v>
      </c>
      <c r="E1439" t="s">
        <v>45</v>
      </c>
      <c r="F1439" s="2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 s="2">
        <v>19431</v>
      </c>
      <c r="T1439">
        <v>15302</v>
      </c>
      <c r="U1439">
        <v>2</v>
      </c>
      <c r="V1439" t="s">
        <v>42</v>
      </c>
      <c r="W1439" t="s">
        <v>43</v>
      </c>
      <c r="X1439" s="2">
        <v>13</v>
      </c>
      <c r="Y1439">
        <v>3</v>
      </c>
      <c r="Z1439">
        <v>3</v>
      </c>
      <c r="AA1439">
        <v>80</v>
      </c>
      <c r="AB1439">
        <v>0</v>
      </c>
      <c r="AC1439" s="2">
        <v>21</v>
      </c>
      <c r="AD1439">
        <v>3</v>
      </c>
      <c r="AE1439">
        <v>2</v>
      </c>
      <c r="AF1439" s="2">
        <v>6</v>
      </c>
      <c r="AG1439">
        <v>0</v>
      </c>
      <c r="AH1439">
        <v>1</v>
      </c>
      <c r="AI1439">
        <v>3</v>
      </c>
      <c r="AJ1439" s="2" t="str">
        <f>IF(A1439 A1439 &lt;= 25, "18-25", IF(A1439 &lt;=35, "26-35", IF(A1439 &lt;=45, "36-45", IF(Table3[[#This Row],[Age]] &lt;=55, "46-55", "56+"))))</f>
        <v>36-45</v>
      </c>
      <c r="AK1439" t="str">
        <f t="shared" si="22"/>
        <v>High</v>
      </c>
      <c r="AL1439" s="2" t="str">
        <f>IF(AF1439 &lt; 3, "0-2 Years", IF(AF1439 &lt;= 5, "3-5 Years", IF(AF1439 &lt;= 10, "6-10 Years",IF(Table3[[#This Row],[Years At Company]]&lt;=20, "11-20 Years","20+ Years"))))</f>
        <v>6-10 Years</v>
      </c>
    </row>
    <row r="1440" spans="1:38" x14ac:dyDescent="0.25">
      <c r="A1440" s="2">
        <v>23</v>
      </c>
      <c r="B1440" t="s">
        <v>35</v>
      </c>
      <c r="C1440" t="s">
        <v>44</v>
      </c>
      <c r="D1440" s="2">
        <v>638</v>
      </c>
      <c r="E1440" t="s">
        <v>37</v>
      </c>
      <c r="F1440" s="2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 s="2">
        <v>1790</v>
      </c>
      <c r="T1440">
        <v>26956</v>
      </c>
      <c r="U1440">
        <v>1</v>
      </c>
      <c r="V1440" t="s">
        <v>42</v>
      </c>
      <c r="W1440" t="s">
        <v>43</v>
      </c>
      <c r="X1440" s="2">
        <v>19</v>
      </c>
      <c r="Y1440">
        <v>3</v>
      </c>
      <c r="Z1440">
        <v>1</v>
      </c>
      <c r="AA1440">
        <v>80</v>
      </c>
      <c r="AB1440">
        <v>1</v>
      </c>
      <c r="AC1440" s="2">
        <v>1</v>
      </c>
      <c r="AD1440">
        <v>3</v>
      </c>
      <c r="AE1440">
        <v>2</v>
      </c>
      <c r="AF1440" s="2">
        <v>1</v>
      </c>
      <c r="AG1440">
        <v>0</v>
      </c>
      <c r="AH1440">
        <v>1</v>
      </c>
      <c r="AI1440">
        <v>0</v>
      </c>
      <c r="AJ1440" s="2" t="str">
        <f>IF(A1440 A1440 &lt;= 25, "18-25", IF(A1440 &lt;=35, "26-35", IF(A1440 &lt;=45, "36-45", IF(Table3[[#This Row],[Age]] &lt;=55, "46-55", "56+"))))</f>
        <v>18-25</v>
      </c>
      <c r="AK1440" t="str">
        <f t="shared" si="22"/>
        <v>Low</v>
      </c>
      <c r="AL1440" s="2" t="str">
        <f>IF(AF1440 &lt; 3, "0-2 Years", IF(AF1440 &lt;= 5, "3-5 Years", IF(AF1440 &lt;= 10, "6-10 Years",IF(Table3[[#This Row],[Years At Company]]&lt;=20, "11-20 Years","20+ Years"))))</f>
        <v>0-2 Years</v>
      </c>
    </row>
    <row r="1441" spans="1:38" x14ac:dyDescent="0.25">
      <c r="A1441" s="2">
        <v>36</v>
      </c>
      <c r="B1441" t="s">
        <v>43</v>
      </c>
      <c r="C1441" t="s">
        <v>36</v>
      </c>
      <c r="D1441" s="2">
        <v>557</v>
      </c>
      <c r="E1441" t="s">
        <v>37</v>
      </c>
      <c r="F1441" s="2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 s="2">
        <v>7644</v>
      </c>
      <c r="T1441">
        <v>12695</v>
      </c>
      <c r="U1441">
        <v>0</v>
      </c>
      <c r="V1441" t="s">
        <v>42</v>
      </c>
      <c r="W1441" t="s">
        <v>43</v>
      </c>
      <c r="X1441" s="2">
        <v>19</v>
      </c>
      <c r="Y1441">
        <v>3</v>
      </c>
      <c r="Z1441">
        <v>3</v>
      </c>
      <c r="AA1441">
        <v>80</v>
      </c>
      <c r="AB1441">
        <v>2</v>
      </c>
      <c r="AC1441" s="2">
        <v>10</v>
      </c>
      <c r="AD1441">
        <v>2</v>
      </c>
      <c r="AE1441">
        <v>3</v>
      </c>
      <c r="AF1441" s="2">
        <v>9</v>
      </c>
      <c r="AG1441">
        <v>7</v>
      </c>
      <c r="AH1441">
        <v>3</v>
      </c>
      <c r="AI1441">
        <v>4</v>
      </c>
      <c r="AJ1441" s="2" t="str">
        <f>IF(A1441 A1441 &lt;= 25, "18-25", IF(A1441 &lt;=35, "26-35", IF(A1441 &lt;=45, "36-45", IF(Table3[[#This Row],[Age]] &lt;=55, "46-55", "56+"))))</f>
        <v>36-45</v>
      </c>
      <c r="AK1441" t="str">
        <f t="shared" si="22"/>
        <v>Medium</v>
      </c>
      <c r="AL1441" s="2" t="str">
        <f>IF(AF1441 &lt; 3, "0-2 Years", IF(AF1441 &lt;= 5, "3-5 Years", IF(AF1441 &lt;= 10, "6-10 Years",IF(Table3[[#This Row],[Years At Company]]&lt;=20, "11-20 Years","20+ Years"))))</f>
        <v>6-10 Years</v>
      </c>
    </row>
    <row r="1442" spans="1:38" x14ac:dyDescent="0.25">
      <c r="A1442" s="2">
        <v>36</v>
      </c>
      <c r="B1442" t="s">
        <v>43</v>
      </c>
      <c r="C1442" t="s">
        <v>44</v>
      </c>
      <c r="D1442" s="2">
        <v>688</v>
      </c>
      <c r="E1442" t="s">
        <v>45</v>
      </c>
      <c r="F1442" s="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 s="2">
        <v>5131</v>
      </c>
      <c r="T1442">
        <v>9192</v>
      </c>
      <c r="U1442">
        <v>7</v>
      </c>
      <c r="V1442" t="s">
        <v>42</v>
      </c>
      <c r="W1442" t="s">
        <v>43</v>
      </c>
      <c r="X1442" s="2">
        <v>13</v>
      </c>
      <c r="Y1442">
        <v>3</v>
      </c>
      <c r="Z1442">
        <v>2</v>
      </c>
      <c r="AA1442">
        <v>80</v>
      </c>
      <c r="AB1442">
        <v>3</v>
      </c>
      <c r="AC1442" s="2">
        <v>18</v>
      </c>
      <c r="AD1442">
        <v>3</v>
      </c>
      <c r="AE1442">
        <v>3</v>
      </c>
      <c r="AF1442" s="2">
        <v>4</v>
      </c>
      <c r="AG1442">
        <v>2</v>
      </c>
      <c r="AH1442">
        <v>0</v>
      </c>
      <c r="AI1442">
        <v>2</v>
      </c>
      <c r="AJ1442" s="2" t="str">
        <f>IF(A1442 A1442 &lt;= 25, "18-25", IF(A1442 &lt;=35, "26-35", IF(A1442 &lt;=45, "36-45", IF(Table3[[#This Row],[Age]] &lt;=55, "46-55", "56+"))))</f>
        <v>36-45</v>
      </c>
      <c r="AK1442" t="str">
        <f t="shared" si="22"/>
        <v>Medium</v>
      </c>
      <c r="AL1442" s="2" t="str">
        <f>IF(AF1442 &lt; 3, "0-2 Years", IF(AF1442 &lt;= 5, "3-5 Years", IF(AF1442 &lt;= 10, "6-10 Years",IF(Table3[[#This Row],[Years At Company]]&lt;=20, "11-20 Years","20+ Years"))))</f>
        <v>3-5 Years</v>
      </c>
    </row>
    <row r="1443" spans="1:38" x14ac:dyDescent="0.25">
      <c r="A1443" s="2">
        <v>56</v>
      </c>
      <c r="B1443" t="s">
        <v>43</v>
      </c>
      <c r="C1443" t="s">
        <v>55</v>
      </c>
      <c r="D1443" s="2">
        <v>667</v>
      </c>
      <c r="E1443" t="s">
        <v>45</v>
      </c>
      <c r="F1443" s="2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 s="2">
        <v>6306</v>
      </c>
      <c r="T1443">
        <v>26236</v>
      </c>
      <c r="U1443">
        <v>1</v>
      </c>
      <c r="V1443" t="s">
        <v>42</v>
      </c>
      <c r="W1443" t="s">
        <v>43</v>
      </c>
      <c r="X1443" s="2">
        <v>21</v>
      </c>
      <c r="Y1443">
        <v>4</v>
      </c>
      <c r="Z1443">
        <v>1</v>
      </c>
      <c r="AA1443">
        <v>80</v>
      </c>
      <c r="AB1443">
        <v>1</v>
      </c>
      <c r="AC1443" s="2">
        <v>13</v>
      </c>
      <c r="AD1443">
        <v>2</v>
      </c>
      <c r="AE1443">
        <v>2</v>
      </c>
      <c r="AF1443" s="2">
        <v>13</v>
      </c>
      <c r="AG1443">
        <v>12</v>
      </c>
      <c r="AH1443">
        <v>1</v>
      </c>
      <c r="AI1443">
        <v>9</v>
      </c>
      <c r="AJ1443" s="2" t="str">
        <f>IF(A1443 A1443 &lt;= 25, "18-25", IF(A1443 &lt;=35, "26-35", IF(A1443 &lt;=45, "36-45", IF(Table3[[#This Row],[Age]] &lt;=55, "46-55", "56+"))))</f>
        <v>56+</v>
      </c>
      <c r="AK1443" t="str">
        <f t="shared" si="22"/>
        <v>Medium</v>
      </c>
      <c r="AL1443" s="2" t="str">
        <f>IF(AF1443 &lt; 3, "0-2 Years", IF(AF1443 &lt;= 5, "3-5 Years", IF(AF1443 &lt;= 10, "6-10 Years",IF(Table3[[#This Row],[Years At Company]]&lt;=20, "11-20 Years","20+ Years"))))</f>
        <v>11-20 Years</v>
      </c>
    </row>
    <row r="1444" spans="1:38" x14ac:dyDescent="0.25">
      <c r="A1444" s="2">
        <v>29</v>
      </c>
      <c r="B1444" t="s">
        <v>35</v>
      </c>
      <c r="C1444" t="s">
        <v>36</v>
      </c>
      <c r="D1444" s="2">
        <v>1092</v>
      </c>
      <c r="E1444" t="s">
        <v>45</v>
      </c>
      <c r="F1444" s="2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 s="2">
        <v>4787</v>
      </c>
      <c r="T1444">
        <v>26124</v>
      </c>
      <c r="U1444">
        <v>9</v>
      </c>
      <c r="V1444" t="s">
        <v>42</v>
      </c>
      <c r="W1444" t="s">
        <v>35</v>
      </c>
      <c r="X1444" s="2">
        <v>14</v>
      </c>
      <c r="Y1444">
        <v>3</v>
      </c>
      <c r="Z1444">
        <v>2</v>
      </c>
      <c r="AA1444">
        <v>80</v>
      </c>
      <c r="AB1444">
        <v>3</v>
      </c>
      <c r="AC1444" s="2">
        <v>4</v>
      </c>
      <c r="AD1444">
        <v>3</v>
      </c>
      <c r="AE1444">
        <v>4</v>
      </c>
      <c r="AF1444" s="2">
        <v>2</v>
      </c>
      <c r="AG1444">
        <v>2</v>
      </c>
      <c r="AH1444">
        <v>2</v>
      </c>
      <c r="AI1444">
        <v>2</v>
      </c>
      <c r="AJ1444" s="2" t="str">
        <f>IF(A1444 A1444 &lt;= 25, "18-25", IF(A1444 &lt;=35, "26-35", IF(A1444 &lt;=45, "36-45", IF(Table3[[#This Row],[Age]] &lt;=55, "46-55", "56+"))))</f>
        <v>26-35</v>
      </c>
      <c r="AK1444" t="str">
        <f t="shared" si="22"/>
        <v>Low</v>
      </c>
      <c r="AL1444" s="2" t="str">
        <f>IF(AF1444 &lt; 3, "0-2 Years", IF(AF1444 &lt;= 5, "3-5 Years", IF(AF1444 &lt;= 10, "6-10 Years",IF(Table3[[#This Row],[Years At Company]]&lt;=20, "11-20 Years","20+ Years"))))</f>
        <v>0-2 Years</v>
      </c>
    </row>
    <row r="1445" spans="1:38" x14ac:dyDescent="0.25">
      <c r="A1445" s="2">
        <v>42</v>
      </c>
      <c r="B1445" t="s">
        <v>43</v>
      </c>
      <c r="C1445" t="s">
        <v>36</v>
      </c>
      <c r="D1445" s="2">
        <v>300</v>
      </c>
      <c r="E1445" t="s">
        <v>45</v>
      </c>
      <c r="F1445" s="2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 s="2">
        <v>18880</v>
      </c>
      <c r="T1445">
        <v>17312</v>
      </c>
      <c r="U1445">
        <v>5</v>
      </c>
      <c r="V1445" t="s">
        <v>42</v>
      </c>
      <c r="W1445" t="s">
        <v>43</v>
      </c>
      <c r="X1445" s="2">
        <v>11</v>
      </c>
      <c r="Y1445">
        <v>3</v>
      </c>
      <c r="Z1445">
        <v>1</v>
      </c>
      <c r="AA1445">
        <v>80</v>
      </c>
      <c r="AB1445">
        <v>0</v>
      </c>
      <c r="AC1445" s="2">
        <v>24</v>
      </c>
      <c r="AD1445">
        <v>2</v>
      </c>
      <c r="AE1445">
        <v>2</v>
      </c>
      <c r="AF1445" s="2">
        <v>22</v>
      </c>
      <c r="AG1445">
        <v>6</v>
      </c>
      <c r="AH1445">
        <v>4</v>
      </c>
      <c r="AI1445">
        <v>14</v>
      </c>
      <c r="AJ1445" s="2" t="str">
        <f>IF(A1445 A1445 &lt;= 25, "18-25", IF(A1445 &lt;=35, "26-35", IF(A1445 &lt;=45, "36-45", IF(Table3[[#This Row],[Age]] &lt;=55, "46-55", "56+"))))</f>
        <v>36-45</v>
      </c>
      <c r="AK1445" t="str">
        <f t="shared" si="22"/>
        <v>High</v>
      </c>
      <c r="AL1445" s="2" t="str">
        <f>IF(AF1445 &lt; 3, "0-2 Years", IF(AF1445 &lt;= 5, "3-5 Years", IF(AF1445 &lt;= 10, "6-10 Years",IF(Table3[[#This Row],[Years At Company]]&lt;=20, "11-20 Years","20+ Years"))))</f>
        <v>20+ Years</v>
      </c>
    </row>
    <row r="1446" spans="1:38" x14ac:dyDescent="0.25">
      <c r="A1446" s="2">
        <v>56</v>
      </c>
      <c r="B1446" t="s">
        <v>35</v>
      </c>
      <c r="C1446" t="s">
        <v>36</v>
      </c>
      <c r="D1446" s="2">
        <v>310</v>
      </c>
      <c r="E1446" t="s">
        <v>45</v>
      </c>
      <c r="F1446" s="2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 s="2">
        <v>2339</v>
      </c>
      <c r="T1446">
        <v>3666</v>
      </c>
      <c r="U1446">
        <v>8</v>
      </c>
      <c r="V1446" t="s">
        <v>42</v>
      </c>
      <c r="W1446" t="s">
        <v>43</v>
      </c>
      <c r="X1446" s="2">
        <v>11</v>
      </c>
      <c r="Y1446">
        <v>3</v>
      </c>
      <c r="Z1446">
        <v>4</v>
      </c>
      <c r="AA1446">
        <v>80</v>
      </c>
      <c r="AB1446">
        <v>1</v>
      </c>
      <c r="AC1446" s="2">
        <v>14</v>
      </c>
      <c r="AD1446">
        <v>4</v>
      </c>
      <c r="AE1446">
        <v>1</v>
      </c>
      <c r="AF1446" s="2">
        <v>10</v>
      </c>
      <c r="AG1446">
        <v>9</v>
      </c>
      <c r="AH1446">
        <v>9</v>
      </c>
      <c r="AI1446">
        <v>8</v>
      </c>
      <c r="AJ1446" s="2" t="str">
        <f>IF(A1446 A1446 &lt;= 25, "18-25", IF(A1446 &lt;=35, "26-35", IF(A1446 &lt;=45, "36-45", IF(Table3[[#This Row],[Age]] &lt;=55, "46-55", "56+"))))</f>
        <v>56+</v>
      </c>
      <c r="AK1446" t="str">
        <f t="shared" si="22"/>
        <v>Low</v>
      </c>
      <c r="AL1446" s="2" t="str">
        <f>IF(AF1446 &lt; 3, "0-2 Years", IF(AF1446 &lt;= 5, "3-5 Years", IF(AF1446 &lt;= 10, "6-10 Years",IF(Table3[[#This Row],[Years At Company]]&lt;=20, "11-20 Years","20+ Years"))))</f>
        <v>6-10 Years</v>
      </c>
    </row>
    <row r="1447" spans="1:38" x14ac:dyDescent="0.25">
      <c r="A1447" s="2">
        <v>41</v>
      </c>
      <c r="B1447" t="s">
        <v>43</v>
      </c>
      <c r="C1447" t="s">
        <v>36</v>
      </c>
      <c r="D1447" s="2">
        <v>582</v>
      </c>
      <c r="E1447" t="s">
        <v>45</v>
      </c>
      <c r="F1447" s="2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 s="2">
        <v>13570</v>
      </c>
      <c r="T1447">
        <v>5640</v>
      </c>
      <c r="U1447">
        <v>0</v>
      </c>
      <c r="V1447" t="s">
        <v>42</v>
      </c>
      <c r="W1447" t="s">
        <v>43</v>
      </c>
      <c r="X1447" s="2">
        <v>23</v>
      </c>
      <c r="Y1447">
        <v>4</v>
      </c>
      <c r="Z1447">
        <v>3</v>
      </c>
      <c r="AA1447">
        <v>80</v>
      </c>
      <c r="AB1447">
        <v>1</v>
      </c>
      <c r="AC1447" s="2">
        <v>21</v>
      </c>
      <c r="AD1447">
        <v>3</v>
      </c>
      <c r="AE1447">
        <v>3</v>
      </c>
      <c r="AF1447" s="2">
        <v>20</v>
      </c>
      <c r="AG1447">
        <v>7</v>
      </c>
      <c r="AH1447">
        <v>0</v>
      </c>
      <c r="AI1447">
        <v>10</v>
      </c>
      <c r="AJ1447" s="2" t="str">
        <f>IF(A1447 A1447 &lt;= 25, "18-25", IF(A1447 &lt;=35, "26-35", IF(A1447 &lt;=45, "36-45", IF(Table3[[#This Row],[Age]] &lt;=55, "46-55", "56+"))))</f>
        <v>36-45</v>
      </c>
      <c r="AK1447" t="str">
        <f t="shared" si="22"/>
        <v>High</v>
      </c>
      <c r="AL1447" s="2" t="str">
        <f>IF(AF1447 &lt; 3, "0-2 Years", IF(AF1447 &lt;= 5, "3-5 Years", IF(AF1447 &lt;= 10, "6-10 Years",IF(Table3[[#This Row],[Years At Company]]&lt;=20, "11-20 Years","20+ Years"))))</f>
        <v>11-20 Years</v>
      </c>
    </row>
    <row r="1448" spans="1:38" x14ac:dyDescent="0.25">
      <c r="A1448" s="2">
        <v>34</v>
      </c>
      <c r="B1448" t="s">
        <v>43</v>
      </c>
      <c r="C1448" t="s">
        <v>36</v>
      </c>
      <c r="D1448" s="2">
        <v>704</v>
      </c>
      <c r="E1448" t="s">
        <v>37</v>
      </c>
      <c r="F1448" s="2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 s="2">
        <v>6712</v>
      </c>
      <c r="T1448">
        <v>8978</v>
      </c>
      <c r="U1448">
        <v>1</v>
      </c>
      <c r="V1448" t="s">
        <v>42</v>
      </c>
      <c r="W1448" t="s">
        <v>43</v>
      </c>
      <c r="X1448" s="2">
        <v>21</v>
      </c>
      <c r="Y1448">
        <v>4</v>
      </c>
      <c r="Z1448">
        <v>4</v>
      </c>
      <c r="AA1448">
        <v>80</v>
      </c>
      <c r="AB1448">
        <v>2</v>
      </c>
      <c r="AC1448" s="2">
        <v>8</v>
      </c>
      <c r="AD1448">
        <v>2</v>
      </c>
      <c r="AE1448">
        <v>3</v>
      </c>
      <c r="AF1448" s="2">
        <v>8</v>
      </c>
      <c r="AG1448">
        <v>7</v>
      </c>
      <c r="AH1448">
        <v>1</v>
      </c>
      <c r="AI1448">
        <v>7</v>
      </c>
      <c r="AJ1448" s="2" t="str">
        <f>IF(A1448 A1448 &lt;= 25, "18-25", IF(A1448 &lt;=35, "26-35", IF(A1448 &lt;=45, "36-45", IF(Table3[[#This Row],[Age]] &lt;=55, "46-55", "56+"))))</f>
        <v>26-35</v>
      </c>
      <c r="AK1448" t="str">
        <f t="shared" si="22"/>
        <v>Medium</v>
      </c>
      <c r="AL1448" s="2" t="str">
        <f>IF(AF1448 &lt; 3, "0-2 Years", IF(AF1448 &lt;= 5, "3-5 Years", IF(AF1448 &lt;= 10, "6-10 Years",IF(Table3[[#This Row],[Years At Company]]&lt;=20, "11-20 Years","20+ Years"))))</f>
        <v>6-10 Years</v>
      </c>
    </row>
    <row r="1449" spans="1:38" x14ac:dyDescent="0.25">
      <c r="A1449" s="2">
        <v>36</v>
      </c>
      <c r="B1449" t="s">
        <v>43</v>
      </c>
      <c r="C1449" t="s">
        <v>55</v>
      </c>
      <c r="D1449" s="2">
        <v>301</v>
      </c>
      <c r="E1449" t="s">
        <v>37</v>
      </c>
      <c r="F1449" s="2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 s="2">
        <v>5406</v>
      </c>
      <c r="T1449">
        <v>10436</v>
      </c>
      <c r="U1449">
        <v>1</v>
      </c>
      <c r="V1449" t="s">
        <v>42</v>
      </c>
      <c r="W1449" t="s">
        <v>43</v>
      </c>
      <c r="X1449" s="2">
        <v>24</v>
      </c>
      <c r="Y1449">
        <v>4</v>
      </c>
      <c r="Z1449">
        <v>1</v>
      </c>
      <c r="AA1449">
        <v>80</v>
      </c>
      <c r="AB1449">
        <v>1</v>
      </c>
      <c r="AC1449" s="2">
        <v>15</v>
      </c>
      <c r="AD1449">
        <v>4</v>
      </c>
      <c r="AE1449">
        <v>2</v>
      </c>
      <c r="AF1449" s="2">
        <v>15</v>
      </c>
      <c r="AG1449">
        <v>12</v>
      </c>
      <c r="AH1449">
        <v>11</v>
      </c>
      <c r="AI1449">
        <v>11</v>
      </c>
      <c r="AJ1449" s="2" t="str">
        <f>IF(A1449 A1449 &lt;= 25, "18-25", IF(A1449 &lt;=35, "26-35", IF(A1449 &lt;=45, "36-45", IF(Table3[[#This Row],[Age]] &lt;=55, "46-55", "56+"))))</f>
        <v>36-45</v>
      </c>
      <c r="AK1449" t="str">
        <f t="shared" si="22"/>
        <v>Medium</v>
      </c>
      <c r="AL1449" s="2" t="str">
        <f>IF(AF1449 &lt; 3, "0-2 Years", IF(AF1449 &lt;= 5, "3-5 Years", IF(AF1449 &lt;= 10, "6-10 Years",IF(Table3[[#This Row],[Years At Company]]&lt;=20, "11-20 Years","20+ Years"))))</f>
        <v>11-20 Years</v>
      </c>
    </row>
    <row r="1450" spans="1:38" x14ac:dyDescent="0.25">
      <c r="A1450" s="2">
        <v>41</v>
      </c>
      <c r="B1450" t="s">
        <v>43</v>
      </c>
      <c r="C1450" t="s">
        <v>36</v>
      </c>
      <c r="D1450" s="2">
        <v>930</v>
      </c>
      <c r="E1450" t="s">
        <v>37</v>
      </c>
      <c r="F1450" s="2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 s="2">
        <v>8938</v>
      </c>
      <c r="T1450">
        <v>12227</v>
      </c>
      <c r="U1450">
        <v>2</v>
      </c>
      <c r="V1450" t="s">
        <v>42</v>
      </c>
      <c r="W1450" t="s">
        <v>43</v>
      </c>
      <c r="X1450" s="2">
        <v>11</v>
      </c>
      <c r="Y1450">
        <v>3</v>
      </c>
      <c r="Z1450">
        <v>3</v>
      </c>
      <c r="AA1450">
        <v>80</v>
      </c>
      <c r="AB1450">
        <v>1</v>
      </c>
      <c r="AC1450" s="2">
        <v>14</v>
      </c>
      <c r="AD1450">
        <v>5</v>
      </c>
      <c r="AE1450">
        <v>3</v>
      </c>
      <c r="AF1450" s="2">
        <v>5</v>
      </c>
      <c r="AG1450">
        <v>4</v>
      </c>
      <c r="AH1450">
        <v>0</v>
      </c>
      <c r="AI1450">
        <v>4</v>
      </c>
      <c r="AJ1450" s="2" t="str">
        <f>IF(A1450 A1450 &lt;= 25, "18-25", IF(A1450 &lt;=35, "26-35", IF(A1450 &lt;=45, "36-45", IF(Table3[[#This Row],[Age]] &lt;=55, "46-55", "56+"))))</f>
        <v>36-45</v>
      </c>
      <c r="AK1450" t="str">
        <f t="shared" si="22"/>
        <v>Medium</v>
      </c>
      <c r="AL1450" s="2" t="str">
        <f>IF(AF1450 &lt; 3, "0-2 Years", IF(AF1450 &lt;= 5, "3-5 Years", IF(AF1450 &lt;= 10, "6-10 Years",IF(Table3[[#This Row],[Years At Company]]&lt;=20, "11-20 Years","20+ Years"))))</f>
        <v>3-5 Years</v>
      </c>
    </row>
    <row r="1451" spans="1:38" x14ac:dyDescent="0.25">
      <c r="A1451" s="2">
        <v>32</v>
      </c>
      <c r="B1451" t="s">
        <v>43</v>
      </c>
      <c r="C1451" t="s">
        <v>36</v>
      </c>
      <c r="D1451" s="2">
        <v>529</v>
      </c>
      <c r="E1451" t="s">
        <v>45</v>
      </c>
      <c r="F1451" s="2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 s="2">
        <v>2439</v>
      </c>
      <c r="T1451">
        <v>11288</v>
      </c>
      <c r="U1451">
        <v>1</v>
      </c>
      <c r="V1451" t="s">
        <v>42</v>
      </c>
      <c r="W1451" t="s">
        <v>43</v>
      </c>
      <c r="X1451" s="2">
        <v>14</v>
      </c>
      <c r="Y1451">
        <v>3</v>
      </c>
      <c r="Z1451">
        <v>4</v>
      </c>
      <c r="AA1451">
        <v>80</v>
      </c>
      <c r="AB1451">
        <v>0</v>
      </c>
      <c r="AC1451" s="2">
        <v>4</v>
      </c>
      <c r="AD1451">
        <v>4</v>
      </c>
      <c r="AE1451">
        <v>3</v>
      </c>
      <c r="AF1451" s="2">
        <v>4</v>
      </c>
      <c r="AG1451">
        <v>2</v>
      </c>
      <c r="AH1451">
        <v>1</v>
      </c>
      <c r="AI1451">
        <v>2</v>
      </c>
      <c r="AJ1451" s="2" t="str">
        <f>IF(A1451 A1451 &lt;= 25, "18-25", IF(A1451 &lt;=35, "26-35", IF(A1451 &lt;=45, "36-45", IF(Table3[[#This Row],[Age]] &lt;=55, "46-55", "56+"))))</f>
        <v>26-35</v>
      </c>
      <c r="AK1451" t="str">
        <f t="shared" si="22"/>
        <v>Low</v>
      </c>
      <c r="AL1451" s="2" t="str">
        <f>IF(AF1451 &lt; 3, "0-2 Years", IF(AF1451 &lt;= 5, "3-5 Years", IF(AF1451 &lt;= 10, "6-10 Years",IF(Table3[[#This Row],[Years At Company]]&lt;=20, "11-20 Years","20+ Years"))))</f>
        <v>3-5 Years</v>
      </c>
    </row>
    <row r="1452" spans="1:38" x14ac:dyDescent="0.25">
      <c r="A1452" s="2">
        <v>35</v>
      </c>
      <c r="B1452" t="s">
        <v>43</v>
      </c>
      <c r="C1452" t="s">
        <v>36</v>
      </c>
      <c r="D1452" s="2">
        <v>1146</v>
      </c>
      <c r="E1452" t="s">
        <v>61</v>
      </c>
      <c r="F1452" s="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 s="2">
        <v>8837</v>
      </c>
      <c r="T1452">
        <v>16642</v>
      </c>
      <c r="U1452">
        <v>1</v>
      </c>
      <c r="V1452" t="s">
        <v>42</v>
      </c>
      <c r="W1452" t="s">
        <v>35</v>
      </c>
      <c r="X1452" s="2">
        <v>16</v>
      </c>
      <c r="Y1452">
        <v>3</v>
      </c>
      <c r="Z1452">
        <v>3</v>
      </c>
      <c r="AA1452">
        <v>80</v>
      </c>
      <c r="AB1452">
        <v>0</v>
      </c>
      <c r="AC1452" s="2">
        <v>9</v>
      </c>
      <c r="AD1452">
        <v>2</v>
      </c>
      <c r="AE1452">
        <v>3</v>
      </c>
      <c r="AF1452" s="2">
        <v>9</v>
      </c>
      <c r="AG1452">
        <v>0</v>
      </c>
      <c r="AH1452">
        <v>1</v>
      </c>
      <c r="AI1452">
        <v>7</v>
      </c>
      <c r="AJ1452" s="2" t="str">
        <f>IF(A1452 A1452 &lt;= 25, "18-25", IF(A1452 &lt;=35, "26-35", IF(A1452 &lt;=45, "36-45", IF(Table3[[#This Row],[Age]] &lt;=55, "46-55", "56+"))))</f>
        <v>26-35</v>
      </c>
      <c r="AK1452" t="str">
        <f t="shared" si="22"/>
        <v>Medium</v>
      </c>
      <c r="AL1452" s="2" t="str">
        <f>IF(AF1452 &lt; 3, "0-2 Years", IF(AF1452 &lt;= 5, "3-5 Years", IF(AF1452 &lt;= 10, "6-10 Years",IF(Table3[[#This Row],[Years At Company]]&lt;=20, "11-20 Years","20+ Years"))))</f>
        <v>6-10 Years</v>
      </c>
    </row>
    <row r="1453" spans="1:38" x14ac:dyDescent="0.25">
      <c r="A1453" s="2">
        <v>38</v>
      </c>
      <c r="B1453" t="s">
        <v>43</v>
      </c>
      <c r="C1453" t="s">
        <v>36</v>
      </c>
      <c r="D1453" s="2">
        <v>345</v>
      </c>
      <c r="E1453" t="s">
        <v>37</v>
      </c>
      <c r="F1453" s="2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 s="2">
        <v>5343</v>
      </c>
      <c r="T1453">
        <v>5982</v>
      </c>
      <c r="U1453">
        <v>1</v>
      </c>
      <c r="V1453" t="s">
        <v>42</v>
      </c>
      <c r="W1453" t="s">
        <v>43</v>
      </c>
      <c r="X1453" s="2">
        <v>11</v>
      </c>
      <c r="Y1453">
        <v>3</v>
      </c>
      <c r="Z1453">
        <v>3</v>
      </c>
      <c r="AA1453">
        <v>80</v>
      </c>
      <c r="AB1453">
        <v>1</v>
      </c>
      <c r="AC1453" s="2">
        <v>10</v>
      </c>
      <c r="AD1453">
        <v>1</v>
      </c>
      <c r="AE1453">
        <v>3</v>
      </c>
      <c r="AF1453" s="2">
        <v>10</v>
      </c>
      <c r="AG1453">
        <v>7</v>
      </c>
      <c r="AH1453">
        <v>1</v>
      </c>
      <c r="AI1453">
        <v>9</v>
      </c>
      <c r="AJ1453" s="2" t="str">
        <f>IF(A1453 A1453 &lt;= 25, "18-25", IF(A1453 &lt;=35, "26-35", IF(A1453 &lt;=45, "36-45", IF(Table3[[#This Row],[Age]] &lt;=55, "46-55", "56+"))))</f>
        <v>36-45</v>
      </c>
      <c r="AK1453" t="str">
        <f t="shared" si="22"/>
        <v>Medium</v>
      </c>
      <c r="AL1453" s="2" t="str">
        <f>IF(AF1453 &lt; 3, "0-2 Years", IF(AF1453 &lt;= 5, "3-5 Years", IF(AF1453 &lt;= 10, "6-10 Years",IF(Table3[[#This Row],[Years At Company]]&lt;=20, "11-20 Years","20+ Years"))))</f>
        <v>6-10 Years</v>
      </c>
    </row>
    <row r="1454" spans="1:38" x14ac:dyDescent="0.25">
      <c r="A1454" s="2">
        <v>50</v>
      </c>
      <c r="B1454" t="s">
        <v>35</v>
      </c>
      <c r="C1454" t="s">
        <v>44</v>
      </c>
      <c r="D1454" s="2">
        <v>878</v>
      </c>
      <c r="E1454" t="s">
        <v>37</v>
      </c>
      <c r="F1454" s="2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 s="2">
        <v>6728</v>
      </c>
      <c r="T1454">
        <v>14255</v>
      </c>
      <c r="U1454">
        <v>7</v>
      </c>
      <c r="V1454" t="s">
        <v>42</v>
      </c>
      <c r="W1454" t="s">
        <v>43</v>
      </c>
      <c r="X1454" s="2">
        <v>12</v>
      </c>
      <c r="Y1454">
        <v>3</v>
      </c>
      <c r="Z1454">
        <v>4</v>
      </c>
      <c r="AA1454">
        <v>80</v>
      </c>
      <c r="AB1454">
        <v>2</v>
      </c>
      <c r="AC1454" s="2">
        <v>12</v>
      </c>
      <c r="AD1454">
        <v>3</v>
      </c>
      <c r="AE1454">
        <v>3</v>
      </c>
      <c r="AF1454" s="2">
        <v>6</v>
      </c>
      <c r="AG1454">
        <v>3</v>
      </c>
      <c r="AH1454">
        <v>0</v>
      </c>
      <c r="AI1454">
        <v>1</v>
      </c>
      <c r="AJ1454" s="2" t="str">
        <f>IF(A1454 A1454 &lt;= 25, "18-25", IF(A1454 &lt;=35, "26-35", IF(A1454 &lt;=45, "36-45", IF(Table3[[#This Row],[Age]] &lt;=55, "46-55", "56+"))))</f>
        <v>46-55</v>
      </c>
      <c r="AK1454" t="str">
        <f t="shared" si="22"/>
        <v>Medium</v>
      </c>
      <c r="AL1454" s="2" t="str">
        <f>IF(AF1454 &lt; 3, "0-2 Years", IF(AF1454 &lt;= 5, "3-5 Years", IF(AF1454 &lt;= 10, "6-10 Years",IF(Table3[[#This Row],[Years At Company]]&lt;=20, "11-20 Years","20+ Years"))))</f>
        <v>6-10 Years</v>
      </c>
    </row>
    <row r="1455" spans="1:38" x14ac:dyDescent="0.25">
      <c r="A1455" s="2">
        <v>36</v>
      </c>
      <c r="B1455" t="s">
        <v>43</v>
      </c>
      <c r="C1455" t="s">
        <v>36</v>
      </c>
      <c r="D1455" s="2">
        <v>1120</v>
      </c>
      <c r="E1455" t="s">
        <v>37</v>
      </c>
      <c r="F1455" s="2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 s="2">
        <v>6652</v>
      </c>
      <c r="T1455">
        <v>14369</v>
      </c>
      <c r="U1455">
        <v>4</v>
      </c>
      <c r="V1455" t="s">
        <v>42</v>
      </c>
      <c r="W1455" t="s">
        <v>43</v>
      </c>
      <c r="X1455" s="2">
        <v>13</v>
      </c>
      <c r="Y1455">
        <v>3</v>
      </c>
      <c r="Z1455">
        <v>1</v>
      </c>
      <c r="AA1455">
        <v>80</v>
      </c>
      <c r="AB1455">
        <v>1</v>
      </c>
      <c r="AC1455" s="2">
        <v>8</v>
      </c>
      <c r="AD1455">
        <v>2</v>
      </c>
      <c r="AE1455">
        <v>2</v>
      </c>
      <c r="AF1455" s="2">
        <v>6</v>
      </c>
      <c r="AG1455">
        <v>3</v>
      </c>
      <c r="AH1455">
        <v>0</v>
      </c>
      <c r="AI1455">
        <v>0</v>
      </c>
      <c r="AJ1455" s="2" t="str">
        <f>IF(A1455 A1455 &lt;= 25, "18-25", IF(A1455 &lt;=35, "26-35", IF(A1455 &lt;=45, "36-45", IF(Table3[[#This Row],[Age]] &lt;=55, "46-55", "56+"))))</f>
        <v>36-45</v>
      </c>
      <c r="AK1455" t="str">
        <f t="shared" si="22"/>
        <v>Medium</v>
      </c>
      <c r="AL1455" s="2" t="str">
        <f>IF(AF1455 &lt; 3, "0-2 Years", IF(AF1455 &lt;= 5, "3-5 Years", IF(AF1455 &lt;= 10, "6-10 Years",IF(Table3[[#This Row],[Years At Company]]&lt;=20, "11-20 Years","20+ Years"))))</f>
        <v>6-10 Years</v>
      </c>
    </row>
    <row r="1456" spans="1:38" x14ac:dyDescent="0.25">
      <c r="A1456" s="2">
        <v>45</v>
      </c>
      <c r="B1456" t="s">
        <v>43</v>
      </c>
      <c r="C1456" t="s">
        <v>36</v>
      </c>
      <c r="D1456" s="2">
        <v>374</v>
      </c>
      <c r="E1456" t="s">
        <v>37</v>
      </c>
      <c r="F1456" s="2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 s="2">
        <v>4850</v>
      </c>
      <c r="T1456">
        <v>23333</v>
      </c>
      <c r="U1456">
        <v>8</v>
      </c>
      <c r="V1456" t="s">
        <v>42</v>
      </c>
      <c r="W1456" t="s">
        <v>43</v>
      </c>
      <c r="X1456" s="2">
        <v>15</v>
      </c>
      <c r="Y1456">
        <v>3</v>
      </c>
      <c r="Z1456">
        <v>3</v>
      </c>
      <c r="AA1456">
        <v>80</v>
      </c>
      <c r="AB1456">
        <v>0</v>
      </c>
      <c r="AC1456" s="2">
        <v>8</v>
      </c>
      <c r="AD1456">
        <v>3</v>
      </c>
      <c r="AE1456">
        <v>3</v>
      </c>
      <c r="AF1456" s="2">
        <v>5</v>
      </c>
      <c r="AG1456">
        <v>3</v>
      </c>
      <c r="AH1456">
        <v>0</v>
      </c>
      <c r="AI1456">
        <v>1</v>
      </c>
      <c r="AJ1456" s="2" t="str">
        <f>IF(A1456 A1456 &lt;= 25, "18-25", IF(A1456 &lt;=35, "26-35", IF(A1456 &lt;=45, "36-45", IF(Table3[[#This Row],[Age]] &lt;=55, "46-55", "56+"))))</f>
        <v>36-45</v>
      </c>
      <c r="AK1456" t="str">
        <f t="shared" si="22"/>
        <v>Low</v>
      </c>
      <c r="AL1456" s="2" t="str">
        <f>IF(AF1456 &lt; 3, "0-2 Years", IF(AF1456 &lt;= 5, "3-5 Years", IF(AF1456 &lt;= 10, "6-10 Years",IF(Table3[[#This Row],[Years At Company]]&lt;=20, "11-20 Years","20+ Years"))))</f>
        <v>3-5 Years</v>
      </c>
    </row>
    <row r="1457" spans="1:38" x14ac:dyDescent="0.25">
      <c r="A1457" s="2">
        <v>40</v>
      </c>
      <c r="B1457" t="s">
        <v>43</v>
      </c>
      <c r="C1457" t="s">
        <v>36</v>
      </c>
      <c r="D1457" s="2">
        <v>1322</v>
      </c>
      <c r="E1457" t="s">
        <v>45</v>
      </c>
      <c r="F1457" s="2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 s="2">
        <v>2809</v>
      </c>
      <c r="T1457">
        <v>2725</v>
      </c>
      <c r="U1457">
        <v>2</v>
      </c>
      <c r="V1457" t="s">
        <v>42</v>
      </c>
      <c r="W1457" t="s">
        <v>43</v>
      </c>
      <c r="X1457" s="2">
        <v>14</v>
      </c>
      <c r="Y1457">
        <v>3</v>
      </c>
      <c r="Z1457">
        <v>4</v>
      </c>
      <c r="AA1457">
        <v>80</v>
      </c>
      <c r="AB1457">
        <v>0</v>
      </c>
      <c r="AC1457" s="2">
        <v>8</v>
      </c>
      <c r="AD1457">
        <v>2</v>
      </c>
      <c r="AE1457">
        <v>3</v>
      </c>
      <c r="AF1457" s="2">
        <v>2</v>
      </c>
      <c r="AG1457">
        <v>2</v>
      </c>
      <c r="AH1457">
        <v>2</v>
      </c>
      <c r="AI1457">
        <v>2</v>
      </c>
      <c r="AJ1457" s="2" t="str">
        <f>IF(A1457 A1457 &lt;= 25, "18-25", IF(A1457 &lt;=35, "26-35", IF(A1457 &lt;=45, "36-45", IF(Table3[[#This Row],[Age]] &lt;=55, "46-55", "56+"))))</f>
        <v>36-45</v>
      </c>
      <c r="AK1457" t="str">
        <f t="shared" si="22"/>
        <v>Low</v>
      </c>
      <c r="AL1457" s="2" t="str">
        <f>IF(AF1457 &lt; 3, "0-2 Years", IF(AF1457 &lt;= 5, "3-5 Years", IF(AF1457 &lt;= 10, "6-10 Years",IF(Table3[[#This Row],[Years At Company]]&lt;=20, "11-20 Years","20+ Years"))))</f>
        <v>0-2 Years</v>
      </c>
    </row>
    <row r="1458" spans="1:38" x14ac:dyDescent="0.25">
      <c r="A1458" s="2">
        <v>35</v>
      </c>
      <c r="B1458" t="s">
        <v>43</v>
      </c>
      <c r="C1458" t="s">
        <v>44</v>
      </c>
      <c r="D1458" s="2">
        <v>1199</v>
      </c>
      <c r="E1458" t="s">
        <v>45</v>
      </c>
      <c r="F1458" s="2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 s="2">
        <v>5689</v>
      </c>
      <c r="T1458">
        <v>24594</v>
      </c>
      <c r="U1458">
        <v>1</v>
      </c>
      <c r="V1458" t="s">
        <v>42</v>
      </c>
      <c r="W1458" t="s">
        <v>35</v>
      </c>
      <c r="X1458" s="2">
        <v>14</v>
      </c>
      <c r="Y1458">
        <v>3</v>
      </c>
      <c r="Z1458">
        <v>4</v>
      </c>
      <c r="AA1458">
        <v>80</v>
      </c>
      <c r="AB1458">
        <v>2</v>
      </c>
      <c r="AC1458" s="2">
        <v>10</v>
      </c>
      <c r="AD1458">
        <v>2</v>
      </c>
      <c r="AE1458">
        <v>4</v>
      </c>
      <c r="AF1458" s="2">
        <v>10</v>
      </c>
      <c r="AG1458">
        <v>2</v>
      </c>
      <c r="AH1458">
        <v>0</v>
      </c>
      <c r="AI1458">
        <v>2</v>
      </c>
      <c r="AJ1458" s="2" t="str">
        <f>IF(A1458 A1458 &lt;= 25, "18-25", IF(A1458 &lt;=35, "26-35", IF(A1458 &lt;=45, "36-45", IF(Table3[[#This Row],[Age]] &lt;=55, "46-55", "56+"))))</f>
        <v>26-35</v>
      </c>
      <c r="AK1458" t="str">
        <f t="shared" si="22"/>
        <v>Medium</v>
      </c>
      <c r="AL1458" s="2" t="str">
        <f>IF(AF1458 &lt; 3, "0-2 Years", IF(AF1458 &lt;= 5, "3-5 Years", IF(AF1458 &lt;= 10, "6-10 Years",IF(Table3[[#This Row],[Years At Company]]&lt;=20, "11-20 Years","20+ Years"))))</f>
        <v>6-10 Years</v>
      </c>
    </row>
    <row r="1459" spans="1:38" x14ac:dyDescent="0.25">
      <c r="A1459" s="2">
        <v>40</v>
      </c>
      <c r="B1459" t="s">
        <v>43</v>
      </c>
      <c r="C1459" t="s">
        <v>36</v>
      </c>
      <c r="D1459" s="2">
        <v>1194</v>
      </c>
      <c r="E1459" t="s">
        <v>45</v>
      </c>
      <c r="F1459" s="2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 s="2">
        <v>2001</v>
      </c>
      <c r="T1459">
        <v>12549</v>
      </c>
      <c r="U1459">
        <v>2</v>
      </c>
      <c r="V1459" t="s">
        <v>42</v>
      </c>
      <c r="W1459" t="s">
        <v>43</v>
      </c>
      <c r="X1459" s="2">
        <v>14</v>
      </c>
      <c r="Y1459">
        <v>3</v>
      </c>
      <c r="Z1459">
        <v>2</v>
      </c>
      <c r="AA1459">
        <v>80</v>
      </c>
      <c r="AB1459">
        <v>3</v>
      </c>
      <c r="AC1459" s="2">
        <v>20</v>
      </c>
      <c r="AD1459">
        <v>2</v>
      </c>
      <c r="AE1459">
        <v>3</v>
      </c>
      <c r="AF1459" s="2">
        <v>5</v>
      </c>
      <c r="AG1459">
        <v>3</v>
      </c>
      <c r="AH1459">
        <v>0</v>
      </c>
      <c r="AI1459">
        <v>2</v>
      </c>
      <c r="AJ1459" s="2" t="str">
        <f>IF(A1459 A1459 &lt;= 25, "18-25", IF(A1459 &lt;=35, "26-35", IF(A1459 &lt;=45, "36-45", IF(Table3[[#This Row],[Age]] &lt;=55, "46-55", "56+"))))</f>
        <v>36-45</v>
      </c>
      <c r="AK1459" t="str">
        <f t="shared" si="22"/>
        <v>Low</v>
      </c>
      <c r="AL1459" s="2" t="str">
        <f>IF(AF1459 &lt; 3, "0-2 Years", IF(AF1459 &lt;= 5, "3-5 Years", IF(AF1459 &lt;= 10, "6-10 Years",IF(Table3[[#This Row],[Years At Company]]&lt;=20, "11-20 Years","20+ Years"))))</f>
        <v>3-5 Years</v>
      </c>
    </row>
    <row r="1460" spans="1:38" x14ac:dyDescent="0.25">
      <c r="A1460" s="2">
        <v>35</v>
      </c>
      <c r="B1460" t="s">
        <v>43</v>
      </c>
      <c r="C1460" t="s">
        <v>36</v>
      </c>
      <c r="D1460" s="2">
        <v>287</v>
      </c>
      <c r="E1460" t="s">
        <v>45</v>
      </c>
      <c r="F1460" s="2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 s="2">
        <v>2977</v>
      </c>
      <c r="T1460">
        <v>8952</v>
      </c>
      <c r="U1460">
        <v>1</v>
      </c>
      <c r="V1460" t="s">
        <v>42</v>
      </c>
      <c r="W1460" t="s">
        <v>43</v>
      </c>
      <c r="X1460" s="2">
        <v>12</v>
      </c>
      <c r="Y1460">
        <v>3</v>
      </c>
      <c r="Z1460">
        <v>4</v>
      </c>
      <c r="AA1460">
        <v>80</v>
      </c>
      <c r="AB1460">
        <v>1</v>
      </c>
      <c r="AC1460" s="2">
        <v>4</v>
      </c>
      <c r="AD1460">
        <v>5</v>
      </c>
      <c r="AE1460">
        <v>3</v>
      </c>
      <c r="AF1460" s="2">
        <v>4</v>
      </c>
      <c r="AG1460">
        <v>3</v>
      </c>
      <c r="AH1460">
        <v>1</v>
      </c>
      <c r="AI1460">
        <v>1</v>
      </c>
      <c r="AJ1460" s="2" t="str">
        <f>IF(A1460 A1460 &lt;= 25, "18-25", IF(A1460 &lt;=35, "26-35", IF(A1460 &lt;=45, "36-45", IF(Table3[[#This Row],[Age]] &lt;=55, "46-55", "56+"))))</f>
        <v>26-35</v>
      </c>
      <c r="AK1460" t="str">
        <f t="shared" si="22"/>
        <v>Low</v>
      </c>
      <c r="AL1460" s="2" t="str">
        <f>IF(AF1460 &lt; 3, "0-2 Years", IF(AF1460 &lt;= 5, "3-5 Years", IF(AF1460 &lt;= 10, "6-10 Years",IF(Table3[[#This Row],[Years At Company]]&lt;=20, "11-20 Years","20+ Years"))))</f>
        <v>3-5 Years</v>
      </c>
    </row>
    <row r="1461" spans="1:38" x14ac:dyDescent="0.25">
      <c r="A1461" s="2">
        <v>29</v>
      </c>
      <c r="B1461" t="s">
        <v>43</v>
      </c>
      <c r="C1461" t="s">
        <v>36</v>
      </c>
      <c r="D1461" s="2">
        <v>1378</v>
      </c>
      <c r="E1461" t="s">
        <v>45</v>
      </c>
      <c r="F1461" s="2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 s="2">
        <v>4025</v>
      </c>
      <c r="T1461">
        <v>23679</v>
      </c>
      <c r="U1461">
        <v>4</v>
      </c>
      <c r="V1461" t="s">
        <v>42</v>
      </c>
      <c r="W1461" t="s">
        <v>35</v>
      </c>
      <c r="X1461" s="2">
        <v>13</v>
      </c>
      <c r="Y1461">
        <v>3</v>
      </c>
      <c r="Z1461">
        <v>1</v>
      </c>
      <c r="AA1461">
        <v>80</v>
      </c>
      <c r="AB1461">
        <v>1</v>
      </c>
      <c r="AC1461" s="2">
        <v>10</v>
      </c>
      <c r="AD1461">
        <v>2</v>
      </c>
      <c r="AE1461">
        <v>3</v>
      </c>
      <c r="AF1461" s="2">
        <v>4</v>
      </c>
      <c r="AG1461">
        <v>3</v>
      </c>
      <c r="AH1461">
        <v>0</v>
      </c>
      <c r="AI1461">
        <v>3</v>
      </c>
      <c r="AJ1461" s="2" t="str">
        <f>IF(A1461 A1461 &lt;= 25, "18-25", IF(A1461 &lt;=35, "26-35", IF(A1461 &lt;=45, "36-45", IF(Table3[[#This Row],[Age]] &lt;=55, "46-55", "56+"))))</f>
        <v>26-35</v>
      </c>
      <c r="AK1461" t="str">
        <f t="shared" si="22"/>
        <v>Low</v>
      </c>
      <c r="AL1461" s="2" t="str">
        <f>IF(AF1461 &lt; 3, "0-2 Years", IF(AF1461 &lt;= 5, "3-5 Years", IF(AF1461 &lt;= 10, "6-10 Years",IF(Table3[[#This Row],[Years At Company]]&lt;=20, "11-20 Years","20+ Years"))))</f>
        <v>3-5 Years</v>
      </c>
    </row>
    <row r="1462" spans="1:38" x14ac:dyDescent="0.25">
      <c r="A1462" s="2">
        <v>29</v>
      </c>
      <c r="B1462" t="s">
        <v>43</v>
      </c>
      <c r="C1462" t="s">
        <v>36</v>
      </c>
      <c r="D1462" s="2">
        <v>468</v>
      </c>
      <c r="E1462" t="s">
        <v>45</v>
      </c>
      <c r="F1462" s="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 s="2">
        <v>3785</v>
      </c>
      <c r="T1462">
        <v>8489</v>
      </c>
      <c r="U1462">
        <v>1</v>
      </c>
      <c r="V1462" t="s">
        <v>42</v>
      </c>
      <c r="W1462" t="s">
        <v>43</v>
      </c>
      <c r="X1462" s="2">
        <v>14</v>
      </c>
      <c r="Y1462">
        <v>3</v>
      </c>
      <c r="Z1462">
        <v>2</v>
      </c>
      <c r="AA1462">
        <v>80</v>
      </c>
      <c r="AB1462">
        <v>0</v>
      </c>
      <c r="AC1462" s="2">
        <v>5</v>
      </c>
      <c r="AD1462">
        <v>3</v>
      </c>
      <c r="AE1462">
        <v>1</v>
      </c>
      <c r="AF1462" s="2">
        <v>5</v>
      </c>
      <c r="AG1462">
        <v>4</v>
      </c>
      <c r="AH1462">
        <v>0</v>
      </c>
      <c r="AI1462">
        <v>4</v>
      </c>
      <c r="AJ1462" s="2" t="str">
        <f>IF(A1462 A1462 &lt;= 25, "18-25", IF(A1462 &lt;=35, "26-35", IF(A1462 &lt;=45, "36-45", IF(Table3[[#This Row],[Age]] &lt;=55, "46-55", "56+"))))</f>
        <v>26-35</v>
      </c>
      <c r="AK1462" t="str">
        <f t="shared" si="22"/>
        <v>Low</v>
      </c>
      <c r="AL1462" s="2" t="str">
        <f>IF(AF1462 &lt; 3, "0-2 Years", IF(AF1462 &lt;= 5, "3-5 Years", IF(AF1462 &lt;= 10, "6-10 Years",IF(Table3[[#This Row],[Years At Company]]&lt;=20, "11-20 Years","20+ Years"))))</f>
        <v>3-5 Years</v>
      </c>
    </row>
    <row r="1463" spans="1:38" x14ac:dyDescent="0.25">
      <c r="A1463" s="2">
        <v>50</v>
      </c>
      <c r="B1463" t="s">
        <v>35</v>
      </c>
      <c r="C1463" t="s">
        <v>36</v>
      </c>
      <c r="D1463" s="2">
        <v>410</v>
      </c>
      <c r="E1463" t="s">
        <v>37</v>
      </c>
      <c r="F1463" s="2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 s="2">
        <v>10854</v>
      </c>
      <c r="T1463">
        <v>16586</v>
      </c>
      <c r="U1463">
        <v>4</v>
      </c>
      <c r="V1463" t="s">
        <v>42</v>
      </c>
      <c r="W1463" t="s">
        <v>35</v>
      </c>
      <c r="X1463" s="2">
        <v>13</v>
      </c>
      <c r="Y1463">
        <v>3</v>
      </c>
      <c r="Z1463">
        <v>2</v>
      </c>
      <c r="AA1463">
        <v>80</v>
      </c>
      <c r="AB1463">
        <v>1</v>
      </c>
      <c r="AC1463" s="2">
        <v>20</v>
      </c>
      <c r="AD1463">
        <v>3</v>
      </c>
      <c r="AE1463">
        <v>3</v>
      </c>
      <c r="AF1463" s="2">
        <v>3</v>
      </c>
      <c r="AG1463">
        <v>2</v>
      </c>
      <c r="AH1463">
        <v>2</v>
      </c>
      <c r="AI1463">
        <v>0</v>
      </c>
      <c r="AJ1463" s="2" t="str">
        <f>IF(A1463 A1463 &lt;= 25, "18-25", IF(A1463 &lt;=35, "26-35", IF(A1463 &lt;=45, "36-45", IF(Table3[[#This Row],[Age]] &lt;=55, "46-55", "56+"))))</f>
        <v>46-55</v>
      </c>
      <c r="AK1463" t="str">
        <f t="shared" si="22"/>
        <v>High</v>
      </c>
      <c r="AL1463" s="2" t="str">
        <f>IF(AF1463 &lt; 3, "0-2 Years", IF(AF1463 &lt;= 5, "3-5 Years", IF(AF1463 &lt;= 10, "6-10 Years",IF(Table3[[#This Row],[Years At Company]]&lt;=20, "11-20 Years","20+ Years"))))</f>
        <v>3-5 Years</v>
      </c>
    </row>
    <row r="1464" spans="1:38" x14ac:dyDescent="0.25">
      <c r="A1464" s="2">
        <v>39</v>
      </c>
      <c r="B1464" t="s">
        <v>43</v>
      </c>
      <c r="C1464" t="s">
        <v>36</v>
      </c>
      <c r="D1464" s="2">
        <v>722</v>
      </c>
      <c r="E1464" t="s">
        <v>37</v>
      </c>
      <c r="F1464" s="2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 s="2">
        <v>12031</v>
      </c>
      <c r="T1464">
        <v>8828</v>
      </c>
      <c r="U1464">
        <v>0</v>
      </c>
      <c r="V1464" t="s">
        <v>42</v>
      </c>
      <c r="W1464" t="s">
        <v>43</v>
      </c>
      <c r="X1464" s="2">
        <v>11</v>
      </c>
      <c r="Y1464">
        <v>3</v>
      </c>
      <c r="Z1464">
        <v>1</v>
      </c>
      <c r="AA1464">
        <v>80</v>
      </c>
      <c r="AB1464">
        <v>1</v>
      </c>
      <c r="AC1464" s="2">
        <v>21</v>
      </c>
      <c r="AD1464">
        <v>2</v>
      </c>
      <c r="AE1464">
        <v>2</v>
      </c>
      <c r="AF1464" s="2">
        <v>20</v>
      </c>
      <c r="AG1464">
        <v>9</v>
      </c>
      <c r="AH1464">
        <v>9</v>
      </c>
      <c r="AI1464">
        <v>6</v>
      </c>
      <c r="AJ1464" s="2" t="str">
        <f>IF(A1464 A1464 &lt;= 25, "18-25", IF(A1464 &lt;=35, "26-35", IF(A1464 &lt;=45, "36-45", IF(Table3[[#This Row],[Age]] &lt;=55, "46-55", "56+"))))</f>
        <v>36-45</v>
      </c>
      <c r="AK1464" t="str">
        <f t="shared" si="22"/>
        <v>High</v>
      </c>
      <c r="AL1464" s="2" t="str">
        <f>IF(AF1464 &lt; 3, "0-2 Years", IF(AF1464 &lt;= 5, "3-5 Years", IF(AF1464 &lt;= 10, "6-10 Years",IF(Table3[[#This Row],[Years At Company]]&lt;=20, "11-20 Years","20+ Years"))))</f>
        <v>11-20 Years</v>
      </c>
    </row>
    <row r="1465" spans="1:38" x14ac:dyDescent="0.25">
      <c r="A1465" s="2">
        <v>31</v>
      </c>
      <c r="B1465" t="s">
        <v>43</v>
      </c>
      <c r="C1465" t="s">
        <v>55</v>
      </c>
      <c r="D1465" s="2">
        <v>325</v>
      </c>
      <c r="E1465" t="s">
        <v>45</v>
      </c>
      <c r="F1465" s="2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 s="2">
        <v>9936</v>
      </c>
      <c r="T1465">
        <v>3787</v>
      </c>
      <c r="U1465">
        <v>0</v>
      </c>
      <c r="V1465" t="s">
        <v>42</v>
      </c>
      <c r="W1465" t="s">
        <v>43</v>
      </c>
      <c r="X1465" s="2">
        <v>19</v>
      </c>
      <c r="Y1465">
        <v>3</v>
      </c>
      <c r="Z1465">
        <v>2</v>
      </c>
      <c r="AA1465">
        <v>80</v>
      </c>
      <c r="AB1465">
        <v>0</v>
      </c>
      <c r="AC1465" s="2">
        <v>10</v>
      </c>
      <c r="AD1465">
        <v>2</v>
      </c>
      <c r="AE1465">
        <v>3</v>
      </c>
      <c r="AF1465" s="2">
        <v>9</v>
      </c>
      <c r="AG1465">
        <v>4</v>
      </c>
      <c r="AH1465">
        <v>1</v>
      </c>
      <c r="AI1465">
        <v>7</v>
      </c>
      <c r="AJ1465" s="2" t="str">
        <f>IF(A1465 A1465 &lt;= 25, "18-25", IF(A1465 &lt;=35, "26-35", IF(A1465 &lt;=45, "36-45", IF(Table3[[#This Row],[Age]] &lt;=55, "46-55", "56+"))))</f>
        <v>26-35</v>
      </c>
      <c r="AK1465" t="str">
        <f t="shared" si="22"/>
        <v>Medium</v>
      </c>
      <c r="AL1465" s="2" t="str">
        <f>IF(AF1465 &lt; 3, "0-2 Years", IF(AF1465 &lt;= 5, "3-5 Years", IF(AF1465 &lt;= 10, "6-10 Years",IF(Table3[[#This Row],[Years At Company]]&lt;=20, "11-20 Years","20+ Years"))))</f>
        <v>6-10 Years</v>
      </c>
    </row>
    <row r="1466" spans="1:38" x14ac:dyDescent="0.25">
      <c r="A1466" s="2">
        <v>26</v>
      </c>
      <c r="B1466" t="s">
        <v>43</v>
      </c>
      <c r="C1466" t="s">
        <v>36</v>
      </c>
      <c r="D1466" s="2">
        <v>1167</v>
      </c>
      <c r="E1466" t="s">
        <v>37</v>
      </c>
      <c r="F1466" s="2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 s="2">
        <v>2966</v>
      </c>
      <c r="T1466">
        <v>21378</v>
      </c>
      <c r="U1466">
        <v>0</v>
      </c>
      <c r="V1466" t="s">
        <v>42</v>
      </c>
      <c r="W1466" t="s">
        <v>43</v>
      </c>
      <c r="X1466" s="2">
        <v>18</v>
      </c>
      <c r="Y1466">
        <v>3</v>
      </c>
      <c r="Z1466">
        <v>4</v>
      </c>
      <c r="AA1466">
        <v>80</v>
      </c>
      <c r="AB1466">
        <v>0</v>
      </c>
      <c r="AC1466" s="2">
        <v>5</v>
      </c>
      <c r="AD1466">
        <v>2</v>
      </c>
      <c r="AE1466">
        <v>3</v>
      </c>
      <c r="AF1466" s="2">
        <v>4</v>
      </c>
      <c r="AG1466">
        <v>2</v>
      </c>
      <c r="AH1466">
        <v>0</v>
      </c>
      <c r="AI1466">
        <v>0</v>
      </c>
      <c r="AJ1466" s="2" t="str">
        <f>IF(A1466 A1466 &lt;= 25, "18-25", IF(A1466 &lt;=35, "26-35", IF(A1466 &lt;=45, "36-45", IF(Table3[[#This Row],[Age]] &lt;=55, "46-55", "56+"))))</f>
        <v>26-35</v>
      </c>
      <c r="AK1466" t="str">
        <f t="shared" si="22"/>
        <v>Low</v>
      </c>
      <c r="AL1466" s="2" t="str">
        <f>IF(AF1466 &lt; 3, "0-2 Years", IF(AF1466 &lt;= 5, "3-5 Years", IF(AF1466 &lt;= 10, "6-10 Years",IF(Table3[[#This Row],[Years At Company]]&lt;=20, "11-20 Years","20+ Years"))))</f>
        <v>3-5 Years</v>
      </c>
    </row>
    <row r="1467" spans="1:38" x14ac:dyDescent="0.25">
      <c r="A1467" s="2">
        <v>36</v>
      </c>
      <c r="B1467" t="s">
        <v>43</v>
      </c>
      <c r="C1467" t="s">
        <v>44</v>
      </c>
      <c r="D1467" s="2">
        <v>884</v>
      </c>
      <c r="E1467" t="s">
        <v>45</v>
      </c>
      <c r="F1467" s="2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 s="2">
        <v>2571</v>
      </c>
      <c r="T1467">
        <v>12290</v>
      </c>
      <c r="U1467">
        <v>4</v>
      </c>
      <c r="V1467" t="s">
        <v>42</v>
      </c>
      <c r="W1467" t="s">
        <v>43</v>
      </c>
      <c r="X1467" s="2">
        <v>17</v>
      </c>
      <c r="Y1467">
        <v>3</v>
      </c>
      <c r="Z1467">
        <v>3</v>
      </c>
      <c r="AA1467">
        <v>80</v>
      </c>
      <c r="AB1467">
        <v>1</v>
      </c>
      <c r="AC1467" s="2">
        <v>17</v>
      </c>
      <c r="AD1467">
        <v>3</v>
      </c>
      <c r="AE1467">
        <v>3</v>
      </c>
      <c r="AF1467" s="2">
        <v>5</v>
      </c>
      <c r="AG1467">
        <v>2</v>
      </c>
      <c r="AH1467">
        <v>0</v>
      </c>
      <c r="AI1467">
        <v>3</v>
      </c>
      <c r="AJ1467" s="2" t="str">
        <f>IF(A1467 A1467 &lt;= 25, "18-25", IF(A1467 &lt;=35, "26-35", IF(A1467 &lt;=45, "36-45", IF(Table3[[#This Row],[Age]] &lt;=55, "46-55", "56+"))))</f>
        <v>36-45</v>
      </c>
      <c r="AK1467" t="str">
        <f t="shared" si="22"/>
        <v>Low</v>
      </c>
      <c r="AL1467" s="2" t="str">
        <f>IF(AF1467 &lt; 3, "0-2 Years", IF(AF1467 &lt;= 5, "3-5 Years", IF(AF1467 &lt;= 10, "6-10 Years",IF(Table3[[#This Row],[Years At Company]]&lt;=20, "11-20 Years","20+ Years"))))</f>
        <v>3-5 Years</v>
      </c>
    </row>
    <row r="1468" spans="1:38" x14ac:dyDescent="0.25">
      <c r="A1468" s="2">
        <v>39</v>
      </c>
      <c r="B1468" t="s">
        <v>43</v>
      </c>
      <c r="C1468" t="s">
        <v>36</v>
      </c>
      <c r="D1468" s="2">
        <v>613</v>
      </c>
      <c r="E1468" t="s">
        <v>45</v>
      </c>
      <c r="F1468" s="2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 s="2">
        <v>9991</v>
      </c>
      <c r="T1468">
        <v>21457</v>
      </c>
      <c r="U1468">
        <v>4</v>
      </c>
      <c r="V1468" t="s">
        <v>42</v>
      </c>
      <c r="W1468" t="s">
        <v>43</v>
      </c>
      <c r="X1468" s="2">
        <v>15</v>
      </c>
      <c r="Y1468">
        <v>3</v>
      </c>
      <c r="Z1468">
        <v>1</v>
      </c>
      <c r="AA1468">
        <v>80</v>
      </c>
      <c r="AB1468">
        <v>1</v>
      </c>
      <c r="AC1468" s="2">
        <v>9</v>
      </c>
      <c r="AD1468">
        <v>5</v>
      </c>
      <c r="AE1468">
        <v>3</v>
      </c>
      <c r="AF1468" s="2">
        <v>7</v>
      </c>
      <c r="AG1468">
        <v>7</v>
      </c>
      <c r="AH1468">
        <v>1</v>
      </c>
      <c r="AI1468">
        <v>7</v>
      </c>
      <c r="AJ1468" s="2" t="str">
        <f>IF(A1468 A1468 &lt;= 25, "18-25", IF(A1468 &lt;=35, "26-35", IF(A1468 &lt;=45, "36-45", IF(Table3[[#This Row],[Age]] &lt;=55, "46-55", "56+"))))</f>
        <v>36-45</v>
      </c>
      <c r="AK1468" t="str">
        <f t="shared" si="22"/>
        <v>Medium</v>
      </c>
      <c r="AL1468" s="2" t="str">
        <f>IF(AF1468 &lt; 3, "0-2 Years", IF(AF1468 &lt;= 5, "3-5 Years", IF(AF1468 &lt;= 10, "6-10 Years",IF(Table3[[#This Row],[Years At Company]]&lt;=20, "11-20 Years","20+ Years"))))</f>
        <v>6-10 Years</v>
      </c>
    </row>
    <row r="1469" spans="1:38" x14ac:dyDescent="0.25">
      <c r="A1469" s="2">
        <v>27</v>
      </c>
      <c r="B1469" t="s">
        <v>43</v>
      </c>
      <c r="C1469" t="s">
        <v>36</v>
      </c>
      <c r="D1469" s="2">
        <v>155</v>
      </c>
      <c r="E1469" t="s">
        <v>45</v>
      </c>
      <c r="F1469" s="2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 s="2">
        <v>6142</v>
      </c>
      <c r="T1469">
        <v>5174</v>
      </c>
      <c r="U1469">
        <v>1</v>
      </c>
      <c r="V1469" t="s">
        <v>42</v>
      </c>
      <c r="W1469" t="s">
        <v>35</v>
      </c>
      <c r="X1469" s="2">
        <v>20</v>
      </c>
      <c r="Y1469">
        <v>4</v>
      </c>
      <c r="Z1469">
        <v>2</v>
      </c>
      <c r="AA1469">
        <v>80</v>
      </c>
      <c r="AB1469">
        <v>1</v>
      </c>
      <c r="AC1469" s="2">
        <v>6</v>
      </c>
      <c r="AD1469">
        <v>0</v>
      </c>
      <c r="AE1469">
        <v>3</v>
      </c>
      <c r="AF1469" s="2">
        <v>6</v>
      </c>
      <c r="AG1469">
        <v>2</v>
      </c>
      <c r="AH1469">
        <v>0</v>
      </c>
      <c r="AI1469">
        <v>3</v>
      </c>
      <c r="AJ1469" s="2" t="str">
        <f>IF(A1469 A1469 &lt;= 25, "18-25", IF(A1469 &lt;=35, "26-35", IF(A1469 &lt;=45, "36-45", IF(Table3[[#This Row],[Age]] &lt;=55, "46-55", "56+"))))</f>
        <v>26-35</v>
      </c>
      <c r="AK1469" t="str">
        <f t="shared" si="22"/>
        <v>Medium</v>
      </c>
      <c r="AL1469" s="2" t="str">
        <f>IF(AF1469 &lt; 3, "0-2 Years", IF(AF1469 &lt;= 5, "3-5 Years", IF(AF1469 &lt;= 10, "6-10 Years",IF(Table3[[#This Row],[Years At Company]]&lt;=20, "11-20 Years","20+ Years"))))</f>
        <v>6-10 Years</v>
      </c>
    </row>
    <row r="1470" spans="1:38" x14ac:dyDescent="0.25">
      <c r="A1470" s="2">
        <v>49</v>
      </c>
      <c r="B1470" t="s">
        <v>43</v>
      </c>
      <c r="C1470" t="s">
        <v>44</v>
      </c>
      <c r="D1470" s="2">
        <v>1023</v>
      </c>
      <c r="E1470" t="s">
        <v>37</v>
      </c>
      <c r="F1470" s="2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 s="2">
        <v>5390</v>
      </c>
      <c r="T1470">
        <v>13243</v>
      </c>
      <c r="U1470">
        <v>2</v>
      </c>
      <c r="V1470" t="s">
        <v>42</v>
      </c>
      <c r="W1470" t="s">
        <v>43</v>
      </c>
      <c r="X1470" s="2">
        <v>14</v>
      </c>
      <c r="Y1470">
        <v>3</v>
      </c>
      <c r="Z1470">
        <v>4</v>
      </c>
      <c r="AA1470">
        <v>80</v>
      </c>
      <c r="AB1470">
        <v>0</v>
      </c>
      <c r="AC1470" s="2">
        <v>17</v>
      </c>
      <c r="AD1470">
        <v>3</v>
      </c>
      <c r="AE1470">
        <v>2</v>
      </c>
      <c r="AF1470" s="2">
        <v>9</v>
      </c>
      <c r="AG1470">
        <v>6</v>
      </c>
      <c r="AH1470">
        <v>0</v>
      </c>
      <c r="AI1470">
        <v>8</v>
      </c>
      <c r="AJ1470" s="2" t="str">
        <f>IF(A1470 A1470 &lt;= 25, "18-25", IF(A1470 &lt;=35, "26-35", IF(A1470 &lt;=45, "36-45", IF(Table3[[#This Row],[Age]] &lt;=55, "46-55", "56+"))))</f>
        <v>46-55</v>
      </c>
      <c r="AK1470" t="str">
        <f t="shared" si="22"/>
        <v>Medium</v>
      </c>
      <c r="AL1470" s="2" t="str">
        <f>IF(AF1470 &lt; 3, "0-2 Years", IF(AF1470 &lt;= 5, "3-5 Years", IF(AF1470 &lt;= 10, "6-10 Years",IF(Table3[[#This Row],[Years At Company]]&lt;=20, "11-20 Years","20+ Years"))))</f>
        <v>6-10 Years</v>
      </c>
    </row>
    <row r="1471" spans="1:38" x14ac:dyDescent="0.25">
      <c r="A1471" s="2">
        <v>34</v>
      </c>
      <c r="B1471" t="s">
        <v>43</v>
      </c>
      <c r="C1471" t="s">
        <v>36</v>
      </c>
      <c r="D1471" s="2">
        <v>628</v>
      </c>
      <c r="E1471" t="s">
        <v>45</v>
      </c>
      <c r="F1471" s="2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 s="2">
        <v>4404</v>
      </c>
      <c r="T1471">
        <v>10228</v>
      </c>
      <c r="U1471">
        <v>2</v>
      </c>
      <c r="V1471" t="s">
        <v>42</v>
      </c>
      <c r="W1471" t="s">
        <v>43</v>
      </c>
      <c r="X1471" s="2">
        <v>12</v>
      </c>
      <c r="Y1471">
        <v>3</v>
      </c>
      <c r="Z1471">
        <v>1</v>
      </c>
      <c r="AA1471">
        <v>80</v>
      </c>
      <c r="AB1471">
        <v>0</v>
      </c>
      <c r="AC1471" s="2">
        <v>6</v>
      </c>
      <c r="AD1471">
        <v>3</v>
      </c>
      <c r="AE1471">
        <v>4</v>
      </c>
      <c r="AF1471" s="2">
        <v>4</v>
      </c>
      <c r="AG1471">
        <v>3</v>
      </c>
      <c r="AH1471">
        <v>1</v>
      </c>
      <c r="AI1471">
        <v>2</v>
      </c>
      <c r="AJ1471" s="2" t="str">
        <f>IF(A1471 A1471 &lt;= 25, "18-25", IF(A1471 &lt;=35, "26-35", IF(A1471 &lt;=45, "36-45", IF(Table3[[#This Row],[Age]] &lt;=55, "46-55", "56+"))))</f>
        <v>26-35</v>
      </c>
      <c r="AK1471" t="str">
        <f t="shared" si="22"/>
        <v>Low</v>
      </c>
      <c r="AL1471" s="2" t="str">
        <f>IF(AF1471 &lt; 3, "0-2 Years", IF(AF1471 &lt;= 5, "3-5 Years", IF(AF1471 &lt;= 10, "6-10 Years",IF(Table3[[#This Row],[Years At Company]]&lt;=20, "11-20 Years","20+ Years"))))</f>
        <v>3-5 Years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E3B0-42B3-46E2-8685-9BC8E6291D83}">
  <dimension ref="B3:H25"/>
  <sheetViews>
    <sheetView topLeftCell="A2" workbookViewId="0">
      <selection activeCell="B14" sqref="B14"/>
    </sheetView>
  </sheetViews>
  <sheetFormatPr defaultRowHeight="15" x14ac:dyDescent="0.25"/>
  <cols>
    <col min="2" max="2" width="23.140625" bestFit="1" customWidth="1"/>
    <col min="3" max="3" width="16.85546875" bestFit="1" customWidth="1"/>
    <col min="5" max="5" width="19.5703125" bestFit="1" customWidth="1"/>
    <col min="6" max="6" width="16.85546875" bestFit="1" customWidth="1"/>
    <col min="8" max="8" width="12.42578125" hidden="1" customWidth="1"/>
    <col min="9" max="9" width="16.85546875" bestFit="1" customWidth="1"/>
  </cols>
  <sheetData>
    <row r="3" spans="2:8" x14ac:dyDescent="0.25">
      <c r="B3" s="3" t="s">
        <v>1</v>
      </c>
      <c r="C3" t="s">
        <v>35</v>
      </c>
      <c r="E3" s="3" t="s">
        <v>1</v>
      </c>
      <c r="F3" t="s">
        <v>35</v>
      </c>
    </row>
    <row r="5" spans="2:8" x14ac:dyDescent="0.25">
      <c r="B5" s="3" t="s">
        <v>4</v>
      </c>
      <c r="C5" t="s">
        <v>90</v>
      </c>
      <c r="E5" s="3" t="s">
        <v>69</v>
      </c>
      <c r="F5" t="s">
        <v>90</v>
      </c>
    </row>
    <row r="6" spans="2:8" x14ac:dyDescent="0.25">
      <c r="B6" t="s">
        <v>45</v>
      </c>
      <c r="C6">
        <v>133</v>
      </c>
      <c r="E6" t="s">
        <v>58</v>
      </c>
      <c r="F6">
        <v>2</v>
      </c>
    </row>
    <row r="7" spans="2:8" x14ac:dyDescent="0.25">
      <c r="B7" t="s">
        <v>37</v>
      </c>
      <c r="C7">
        <v>92</v>
      </c>
      <c r="E7" t="s">
        <v>56</v>
      </c>
      <c r="F7">
        <v>5</v>
      </c>
      <c r="H7" t="s">
        <v>91</v>
      </c>
    </row>
    <row r="8" spans="2:8" x14ac:dyDescent="0.25">
      <c r="B8" t="s">
        <v>61</v>
      </c>
      <c r="C8">
        <v>12</v>
      </c>
      <c r="E8" t="s">
        <v>54</v>
      </c>
      <c r="F8">
        <v>9</v>
      </c>
      <c r="H8">
        <f>COUNTA(Table3[EmployeeNumber])</f>
        <v>1470</v>
      </c>
    </row>
    <row r="9" spans="2:8" x14ac:dyDescent="0.25">
      <c r="B9" t="s">
        <v>89</v>
      </c>
      <c r="C9">
        <v>237</v>
      </c>
      <c r="E9" t="s">
        <v>53</v>
      </c>
      <c r="F9">
        <v>10</v>
      </c>
      <c r="H9">
        <f>COUNTIF(Table3[Attrition], "Yes")</f>
        <v>237</v>
      </c>
    </row>
    <row r="10" spans="2:8" x14ac:dyDescent="0.25">
      <c r="E10" t="s">
        <v>61</v>
      </c>
      <c r="F10">
        <v>12</v>
      </c>
      <c r="H10" s="5">
        <f>H9/H8</f>
        <v>0.16122448979591836</v>
      </c>
    </row>
    <row r="11" spans="2:8" x14ac:dyDescent="0.25">
      <c r="B11" s="3" t="s">
        <v>1</v>
      </c>
      <c r="C11" t="s">
        <v>35</v>
      </c>
      <c r="E11" t="s">
        <v>57</v>
      </c>
      <c r="F11">
        <v>33</v>
      </c>
      <c r="H11" s="4">
        <f>AVERAGE(Table3[Monthly Income])</f>
        <v>6502.931292517007</v>
      </c>
    </row>
    <row r="12" spans="2:8" x14ac:dyDescent="0.25">
      <c r="E12" t="s">
        <v>47</v>
      </c>
      <c r="F12">
        <v>47</v>
      </c>
      <c r="H12" s="1">
        <f>AVERAGE(Table3[Years At Company])</f>
        <v>7.0081632653061225</v>
      </c>
    </row>
    <row r="13" spans="2:8" x14ac:dyDescent="0.25">
      <c r="B13" s="3" t="s">
        <v>86</v>
      </c>
      <c r="C13" t="s">
        <v>90</v>
      </c>
      <c r="E13" t="s">
        <v>40</v>
      </c>
      <c r="F13">
        <v>57</v>
      </c>
      <c r="H13" s="1">
        <f>AVERAGE(Table3[Years Since Last Promotion])</f>
        <v>2.1877551020408164</v>
      </c>
    </row>
    <row r="14" spans="2:8" x14ac:dyDescent="0.25">
      <c r="B14" t="s">
        <v>92</v>
      </c>
      <c r="C14">
        <v>116</v>
      </c>
      <c r="E14" t="s">
        <v>50</v>
      </c>
      <c r="F14">
        <v>62</v>
      </c>
    </row>
    <row r="15" spans="2:8" x14ac:dyDescent="0.25">
      <c r="B15" t="s">
        <v>93</v>
      </c>
      <c r="C15">
        <v>44</v>
      </c>
      <c r="E15" t="s">
        <v>89</v>
      </c>
      <c r="F15">
        <v>237</v>
      </c>
    </row>
    <row r="16" spans="2:8" x14ac:dyDescent="0.25">
      <c r="B16" t="s">
        <v>94</v>
      </c>
      <c r="C16">
        <v>43</v>
      </c>
    </row>
    <row r="17" spans="2:6" x14ac:dyDescent="0.25">
      <c r="B17" t="s">
        <v>95</v>
      </c>
      <c r="C17">
        <v>26</v>
      </c>
    </row>
    <row r="18" spans="2:6" x14ac:dyDescent="0.25">
      <c r="B18" t="s">
        <v>96</v>
      </c>
      <c r="C18">
        <v>8</v>
      </c>
      <c r="E18" s="3" t="s">
        <v>1</v>
      </c>
      <c r="F18" t="s">
        <v>35</v>
      </c>
    </row>
    <row r="19" spans="2:6" x14ac:dyDescent="0.25">
      <c r="B19" t="s">
        <v>89</v>
      </c>
      <c r="C19">
        <v>237</v>
      </c>
    </row>
    <row r="20" spans="2:6" x14ac:dyDescent="0.25">
      <c r="B20" s="3" t="s">
        <v>1</v>
      </c>
      <c r="C20" t="s">
        <v>35</v>
      </c>
      <c r="E20" s="3" t="s">
        <v>81</v>
      </c>
      <c r="F20" t="s">
        <v>90</v>
      </c>
    </row>
    <row r="21" spans="2:6" x14ac:dyDescent="0.25">
      <c r="E21">
        <v>1</v>
      </c>
      <c r="F21">
        <v>25</v>
      </c>
    </row>
    <row r="22" spans="2:6" x14ac:dyDescent="0.25">
      <c r="B22" s="3" t="s">
        <v>74</v>
      </c>
      <c r="C22" t="s">
        <v>90</v>
      </c>
      <c r="E22">
        <v>2</v>
      </c>
      <c r="F22">
        <v>58</v>
      </c>
    </row>
    <row r="23" spans="2:6" x14ac:dyDescent="0.25">
      <c r="B23" t="s">
        <v>43</v>
      </c>
      <c r="C23">
        <v>110</v>
      </c>
      <c r="E23">
        <v>3</v>
      </c>
      <c r="F23">
        <v>127</v>
      </c>
    </row>
    <row r="24" spans="2:6" x14ac:dyDescent="0.25">
      <c r="B24" t="s">
        <v>35</v>
      </c>
      <c r="C24">
        <v>127</v>
      </c>
      <c r="E24">
        <v>4</v>
      </c>
      <c r="F24">
        <v>27</v>
      </c>
    </row>
    <row r="25" spans="2:6" x14ac:dyDescent="0.25">
      <c r="B25" t="s">
        <v>89</v>
      </c>
      <c r="C25">
        <v>237</v>
      </c>
      <c r="E25" t="s">
        <v>89</v>
      </c>
      <c r="F25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C021-73A7-4D76-AE94-8BCEFF951E88}">
  <dimension ref="A1"/>
  <sheetViews>
    <sheetView showGridLines="0" topLeftCell="A13" zoomScale="90" zoomScaleNormal="90" workbookViewId="0">
      <selection activeCell="Y19" sqref="Y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Pivot_Analysis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Simranpreet Kaur</cp:lastModifiedBy>
  <dcterms:created xsi:type="dcterms:W3CDTF">2026-07-25T16:04:07Z</dcterms:created>
  <dcterms:modified xsi:type="dcterms:W3CDTF">2026-07-28T16:17:52Z</dcterms:modified>
</cp:coreProperties>
</file>